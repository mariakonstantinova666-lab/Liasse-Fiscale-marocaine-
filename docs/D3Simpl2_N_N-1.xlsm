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0.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1.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5.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18.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0.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1.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1.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4.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5.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6.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2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30.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31.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32.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33.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2.xml" ContentType="application/vnd.openxmlformats-officedocument.spreadsheetml.comments+xml"/>
  <Override PartName="/xl/drawings/drawing34.xml" ContentType="application/vnd.openxmlformats-officedocument.drawing+xml"/>
  <Override PartName="/xl/ctrlProps/ctrlProp106.xml" ContentType="application/vnd.ms-excel.controlproperties+xml"/>
  <Override PartName="/xl/ctrlProps/ctrlProp107.xml" ContentType="application/vnd.ms-excel.controlproperties+xml"/>
  <Override PartName="/xl/drawings/drawing35.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Users\ACH\Documents\"/>
    </mc:Choice>
  </mc:AlternateContent>
  <xr:revisionPtr revIDLastSave="0" documentId="8_{02A60607-42AD-416D-A9FD-26A1915390CF}" xr6:coauthVersionLast="47" xr6:coauthVersionMax="47" xr10:uidLastSave="{00000000-0000-0000-0000-000000000000}"/>
  <bookViews>
    <workbookView xWindow="-108" yWindow="-108" windowWidth="23256" windowHeight="12456" tabRatio="967" activeTab="17" xr2:uid="{00000000-000D-0000-FFFF-FFFF00000000}"/>
  </bookViews>
  <sheets>
    <sheet name="PagePrincipale" sheetId="8" r:id="rId1"/>
    <sheet name="A (2)" sheetId="86" r:id="rId2"/>
    <sheet name="BalanceN" sheetId="68" r:id="rId3"/>
    <sheet name="BalanceN-1" sheetId="72" r:id="rId4"/>
    <sheet name="Balance N-1 corrigée" sheetId="88" r:id="rId5"/>
    <sheet name="A (3)" sheetId="87" r:id="rId6"/>
    <sheet name="T00" sheetId="9" r:id="rId7"/>
    <sheet name="T01" sheetId="2" r:id="rId8"/>
    <sheet name="T02" sheetId="5" r:id="rId9"/>
    <sheet name="T03" sheetId="34" r:id="rId10"/>
    <sheet name="T04" sheetId="35" r:id="rId11"/>
    <sheet name="T05" sheetId="36" r:id="rId12"/>
    <sheet name="T06" sheetId="37" r:id="rId13"/>
    <sheet name="T07" sheetId="38" r:id="rId14"/>
    <sheet name="T08" sheetId="39" r:id="rId15"/>
    <sheet name="T09" sheetId="40" r:id="rId16"/>
    <sheet name="T10" sheetId="41" r:id="rId17"/>
    <sheet name="T11" sheetId="42" r:id="rId18"/>
    <sheet name="T12" sheetId="47" r:id="rId19"/>
    <sheet name="T12 (P)" sheetId="78" state="veryHidden" r:id="rId20"/>
    <sheet name="T13" sheetId="46" r:id="rId21"/>
    <sheet name="T14" sheetId="45" r:id="rId22"/>
    <sheet name="T15" sheetId="84" r:id="rId23"/>
    <sheet name="T16" sheetId="43" r:id="rId24"/>
    <sheet name="T16_0 (0)" sheetId="77" state="veryHidden" r:id="rId25"/>
    <sheet name="T17" sheetId="50" r:id="rId26"/>
    <sheet name="T18" sheetId="49" r:id="rId27"/>
    <sheet name="T19" sheetId="48" r:id="rId28"/>
    <sheet name="T20" sheetId="33" r:id="rId29"/>
    <sheet name="T21" sheetId="83" r:id="rId30"/>
    <sheet name="T22" sheetId="79" r:id="rId31"/>
    <sheet name="T23" sheetId="80" r:id="rId32"/>
    <sheet name="T24" sheetId="81" r:id="rId33"/>
    <sheet name="T25" sheetId="82" r:id="rId34"/>
    <sheet name="T26" sheetId="44" r:id="rId35"/>
    <sheet name="Verifications" sheetId="70" r:id="rId36"/>
    <sheet name="Erreurs_XML" sheetId="71" r:id="rId37"/>
    <sheet name="Complements" sheetId="66" state="veryHidden" r:id="rId38"/>
    <sheet name="Complements2" sheetId="73" state="veryHidden" r:id="rId39"/>
  </sheets>
  <functionGroups builtInGroupCount="19"/>
  <definedNames>
    <definedName name="_xlnm._FilterDatabase" localSheetId="2" hidden="1">BalanceN!$A$1:$F$3001</definedName>
    <definedName name="_xlnm._FilterDatabase" localSheetId="3" hidden="1">'BalanceN-1'!$A$1:$F$3001</definedName>
    <definedName name="_xlnm._FilterDatabase" localSheetId="36" hidden="1">Erreurs_XML!$A$5:$C$5</definedName>
    <definedName name="_xlnm._FilterDatabase" localSheetId="10" hidden="1">'T04'!$A$4:$I$25</definedName>
    <definedName name="_xlnm._FilterDatabase" localSheetId="13" hidden="1">'T07'!#REF!</definedName>
    <definedName name="_xlnm._FilterDatabase" localSheetId="14" hidden="1">'T08'!$A$4:$E$25</definedName>
    <definedName name="_xlnm._FilterDatabase" localSheetId="16" hidden="1">'T10'!$A$3:$H$3</definedName>
    <definedName name="_xlnm._FilterDatabase" localSheetId="17" hidden="1">'T11'!$A$5:$K$5</definedName>
    <definedName name="_xlnm._FilterDatabase" localSheetId="20" hidden="1">'T13'!$A$7:$L$26</definedName>
    <definedName name="_xlnm._FilterDatabase" localSheetId="23" hidden="1">'T16'!$A$9:$J$26</definedName>
    <definedName name="_xlnm._FilterDatabase" localSheetId="26" hidden="1">'T18'!$A$4:$O$17</definedName>
    <definedName name="_xlnm._FilterDatabase" localSheetId="27" hidden="1">'T19'!$A$5:$M$5</definedName>
    <definedName name="_xlnm._FilterDatabase" localSheetId="35" hidden="1">Verifications!$C$5:$F$129</definedName>
    <definedName name="CADRE_NEANT_T01_1_OPTION" localSheetId="22">#REF!</definedName>
    <definedName name="CADRE_NEANT_T01_1_OPTION">Complements!$E$10</definedName>
    <definedName name="CADRE_NEANT_T01_2_OPTION" localSheetId="22">#REF!</definedName>
    <definedName name="CADRE_NEANT_T01_2_OPTION">Complements!$E$11</definedName>
    <definedName name="CADRE_NEANT_T02_OPTION" localSheetId="22">#REF!</definedName>
    <definedName name="CADRE_NEANT_T02_OPTION">Complements!$E$12</definedName>
    <definedName name="CADRE_NEANT_T03_OPTION" localSheetId="22">#REF!</definedName>
    <definedName name="CADRE_NEANT_T03_OPTION">Complements!$E$13</definedName>
    <definedName name="CADRE_NEANT_T04_OPTION" localSheetId="22">#REF!</definedName>
    <definedName name="CADRE_NEANT_T04_OPTION">Complements!$E$14</definedName>
    <definedName name="CADRE_NEANT_T05_OPTION" localSheetId="22">#REF!</definedName>
    <definedName name="CADRE_NEANT_T05_OPTION">Complements!$E$15</definedName>
    <definedName name="CADRE_NEANT_T06_OPTION" localSheetId="22">#REF!</definedName>
    <definedName name="CADRE_NEANT_T06_OPTION">Complements!$E$16</definedName>
    <definedName name="CADRE_NEANT_T07_OPTION" localSheetId="22">#REF!</definedName>
    <definedName name="CADRE_NEANT_T07_OPTION">Complements!$E$17</definedName>
    <definedName name="CADRE_NEANT_T08_OPTION" localSheetId="22">#REF!</definedName>
    <definedName name="CADRE_NEANT_T08_OPTION">Complements!$E$18</definedName>
    <definedName name="CADRE_NEANT_T09_OPTION" localSheetId="22">#REF!</definedName>
    <definedName name="CADRE_NEANT_T09_OPTION">Complements!$E$19</definedName>
    <definedName name="CADRE_NEANT_T10_OPTION" localSheetId="22">#REF!</definedName>
    <definedName name="CADRE_NEANT_T10_OPTION">Complements!$E$20</definedName>
    <definedName name="CADRE_NEANT_T11_OPTION" localSheetId="22">#REF!</definedName>
    <definedName name="CADRE_NEANT_T11_OPTION">Complements!$E$21</definedName>
    <definedName name="CADRE_NEANT_T12_OPTION" localSheetId="22">#REF!</definedName>
    <definedName name="CADRE_NEANT_T12_OPTION">Complements!$E$22</definedName>
    <definedName name="CADRE_NEANT_T13_OPTION" localSheetId="22">#REF!</definedName>
    <definedName name="CADRE_NEANT_T13_OPTION">Complements!$E$23</definedName>
    <definedName name="CADRE_NEANT_T14_OPTION" localSheetId="22">#REF!</definedName>
    <definedName name="CADRE_NEANT_T14_OPTION">Complements!$E$24</definedName>
    <definedName name="CADRE_NEANT_T15_OPTION">#REF!</definedName>
    <definedName name="CADRE_NEANT_T16_OPTION" localSheetId="22">#REF!</definedName>
    <definedName name="CADRE_NEANT_T16_OPTION">Complements!$E$25</definedName>
    <definedName name="CADRE_NEANT_T17_OPTION" localSheetId="22">#REF!</definedName>
    <definedName name="CADRE_NEANT_T17_OPTION">Complements!$E$26</definedName>
    <definedName name="CADRE_NEANT_T18_1_OPTION" localSheetId="22">#REF!</definedName>
    <definedName name="CADRE_NEANT_T18_1_OPTION">Complements!$E$27</definedName>
    <definedName name="CADRE_NEANT_T18_2_OPTION" localSheetId="22">#REF!</definedName>
    <definedName name="CADRE_NEANT_T18_2_OPTION">Complements!$F$27</definedName>
    <definedName name="CADRE_NEANT_T19_OPTION" localSheetId="22">#REF!</definedName>
    <definedName name="CADRE_NEANT_T19_OPTION">Complements!$E$28</definedName>
    <definedName name="CADRE_NEANT_T20_OPTION" localSheetId="22">#REF!</definedName>
    <definedName name="CADRE_NEANT_T20_OPTION">Complements!$E$29</definedName>
    <definedName name="CADRE_NEANT_T21_OPTION">Complements!$E$30</definedName>
    <definedName name="CADRE_NEANT_T22_OPTION">Complements!$E$31</definedName>
    <definedName name="CADRE_NEANT_T23_OPTION">Complements!$E$32</definedName>
    <definedName name="CADRE_NEANT_T24_OPTION">Complements!$E$33</definedName>
    <definedName name="CADRE_NEANT_T25_OPTION">Complements!$E$34</definedName>
    <definedName name="CADRE_NEANT_T26_OPTION">Complements!$E$35</definedName>
    <definedName name="DonnéesExternes_1" localSheetId="1" hidden="1">'A (2)'!$A$1:$D$62</definedName>
    <definedName name="DonnéesExternes_1" localSheetId="5" hidden="1">'A (3)'!#REF!</definedName>
    <definedName name="DonnéesExternes_1" localSheetId="4" hidden="1">'Balance N-1 corrigée'!$A$1:$D$62</definedName>
    <definedName name="LAST_CELL_ACTIVE">Complements!$C$47</definedName>
    <definedName name="LAST_CELL_ACTIVE_COLOR">Complements!$D$47</definedName>
    <definedName name="LAST_CELL_SELECTED">Complements!$C$46</definedName>
    <definedName name="LAST_SHEET_SELECTED">Complements!$B$46</definedName>
    <definedName name="NBL_Ent.12_Cod.10061">Complements!$B$128</definedName>
    <definedName name="NBL_Ent.12_Cod.1078">Complements!$B$129</definedName>
    <definedName name="NBL_Ent.12_Cod.1079">Complements!$B$130</definedName>
    <definedName name="NBL_Ent.12_Cod.1080">Complements!$B$131</definedName>
    <definedName name="NBL_Ent.12_Cod.1081">Complements!$B$132</definedName>
    <definedName name="NBL_Ent.12_Cod.1082">Complements!$B$133</definedName>
    <definedName name="NBL_Ent.12_Cod.1083">Complements!$B$134</definedName>
    <definedName name="NBL_Ent.12_Cod.1084">Complements!$B$135</definedName>
    <definedName name="NBL_Ent.12_Cod.1085">Complements!$B$136</definedName>
    <definedName name="NBL_Ent.12_Cod.1086">Complements!$B$137</definedName>
    <definedName name="NBL_Ent.201_Cod.14088">Complements!$B$185</definedName>
    <definedName name="NBL_Ent.201_Cod.14089">Complements!$B$186</definedName>
    <definedName name="NBL_Ent.201_Cod.14090">Complements!$B$187</definedName>
    <definedName name="NBL_Ent.201_Cod.14091">Complements!$B$188</definedName>
    <definedName name="NBL_Ent.201_Cod.14092">Complements!$B$189</definedName>
    <definedName name="NBL_Ent.201_Cod.14093">Complements!$B$190</definedName>
    <definedName name="NBL_Ent.23_Cod.1098">Complements!$B$86</definedName>
    <definedName name="NBL_Ent.23_Cod.1099">Complements!$B$87</definedName>
    <definedName name="NBL_Ent.23_Cod.1100">Complements!$B$88</definedName>
    <definedName name="NBL_Ent.23_Cod.1101">Complements!$B$89</definedName>
    <definedName name="NBL_Ent.23_Cod.1102">Complements!$B$90</definedName>
    <definedName name="NBL_Ent.23_Cod.1103">Complements!$B$91</definedName>
    <definedName name="NBL_Ent.23_Cod.1104">Complements!$B$92</definedName>
    <definedName name="NBL_Ent.23_Cod.1105">Complements!$B$93</definedName>
    <definedName name="NBL_Ent.23_Cod.1106">Complements!$B$94</definedName>
    <definedName name="NBL_Ent.23_Cod.1107">Complements!$B$95</definedName>
    <definedName name="NBL_Ent.23_Cod.1108">Complements!$B$96</definedName>
    <definedName name="NBL_Ent.240_Cod.14353">Complements!$B$182</definedName>
    <definedName name="NBL_Ent.240_Cod.14355">Complements!$B$183</definedName>
    <definedName name="NBL_Ent.240_Cod.14356">Complements!$B$184</definedName>
    <definedName name="NBL_Ent.240_Cod.14990">Complements!$B$181</definedName>
    <definedName name="NBL_Ent.27_Cod.1208">Complements!$B$138</definedName>
    <definedName name="NBL_Ent.27_Cod.1209">Complements!$B$140</definedName>
    <definedName name="NBL_Ent.27_Cod.1210">Complements!$B$141</definedName>
    <definedName name="NBL_Ent.27_Cod.1211">Complements!$B$143</definedName>
    <definedName name="NBL_Ent.27_Cod.1212">Complements!$B$144</definedName>
    <definedName name="NBL_Ent.27_Cod.1213">Complements!$B$145</definedName>
    <definedName name="NBL_Ent.27_Cod.1214">Complements!$B$146</definedName>
    <definedName name="NBL_Ent.27_Cod.1215">Complements!$B$147</definedName>
    <definedName name="NBL_Ent.27_Cod.1216">Complements!$B$148</definedName>
    <definedName name="NBL_Ent.27_Cod.1217">Complements!$B$149</definedName>
    <definedName name="NBL_Ent.27_Cod.1218">Complements!$B$150</definedName>
    <definedName name="NBL_Ent.27_Cod.1219">Complements!$B$151</definedName>
    <definedName name="NBL_Ent.27_Cod.1220">Complements!$B$152</definedName>
    <definedName name="NBL_Ent.27_Cod.1221">Complements!$B$153</definedName>
    <definedName name="NBL_Ent.27_Cod.1222">Complements!$B$155</definedName>
    <definedName name="NBL_Ent.27_Cod.1223">Complements!$B$156</definedName>
    <definedName name="NBL_Ent.27_Cod.1224">Complements!$B$158</definedName>
    <definedName name="NBL_Ent.27_Cod.1225">Complements!$B$159</definedName>
    <definedName name="NBL_Ent.27_Cod.1226">Complements!$B$160</definedName>
    <definedName name="NBL_Ent.27_Cod.1227">Complements!$B$161</definedName>
    <definedName name="NBL_Ent.27_Cod.1228">Complements!$B$162</definedName>
    <definedName name="NBL_Ent.27_Cod.1229">Complements!$B$163</definedName>
    <definedName name="NBL_Ent.27_Cod.1250">Complements!$B$164</definedName>
    <definedName name="NBL_Ent.27_Cod.1251">Complements!$B$165</definedName>
    <definedName name="NBL_Ent.27_Cod.1252">Complements!$B$166</definedName>
    <definedName name="NBL_Ent.27_Cod.1253">Complements!$B$167</definedName>
    <definedName name="NBL_Ent.27_Cod.14968">Complements!$B$142</definedName>
    <definedName name="NBL_Ent.27_Cod.14969">Complements!$B$139</definedName>
    <definedName name="NBL_Ent.27_Cod.14970">Complements!$B$154</definedName>
    <definedName name="NBL_Ent.27_Cod.14971">Complements!$B$157</definedName>
    <definedName name="NBL_Ent.28_Cod.1267">Complements!$B$168</definedName>
    <definedName name="NBL_Ent.28_Cod.1268">Complements!$B$169</definedName>
    <definedName name="NBL_Ent.28_Cod.1269">Complements!$B$170</definedName>
    <definedName name="NBL_Ent.28_Cod.1270">Complements!$B$176</definedName>
    <definedName name="NBL_Ent.28_Cod.1271">Complements!$B$177</definedName>
    <definedName name="NBL_Ent.28_Cod.1272">Complements!$B$178</definedName>
    <definedName name="NBL_Ent.28_Cod.1273">Complements!$B$179</definedName>
    <definedName name="NBL_Ent.28_Cod.1274">Complements!$B$180</definedName>
    <definedName name="NBL_Ent.28_Cod.14040">Complements!$B$173</definedName>
    <definedName name="NBL_Ent.28_Cod.14041">Complements!$B$174</definedName>
    <definedName name="NBL_Ent.28_Cod.14964">Complements!$B$171</definedName>
    <definedName name="NBL_Ent.28_Cod.14965">Complements!$B$172</definedName>
    <definedName name="NBL_Ent.28_Cod.17919">Complements!$B$175</definedName>
    <definedName name="NBL_Ent.38_Cod.1929">Complements!$B$97</definedName>
    <definedName name="NBL_Ent.38_Cod.1930">Complements!$B$98</definedName>
    <definedName name="NBL_Ent.38_Cod.1931">Complements!$B$99</definedName>
    <definedName name="NBL_Ent.38_Cod.1932">Complements!$B$100</definedName>
    <definedName name="NBL_Ent.38_Cod.1933">Complements!$B$101</definedName>
    <definedName name="NBL_Ent.38_Cod.1934">Complements!$B$102</definedName>
    <definedName name="NBL_Ent.38_Cod.1935">Complements!$B$103</definedName>
    <definedName name="NBL_Ent.38_Cod.1936">Complements!$B$104</definedName>
    <definedName name="NBL_Ent.39_Cod.14065">Complements!$B$106</definedName>
    <definedName name="NBL_Ent.39_Cod.2044">Complements!$B$105</definedName>
    <definedName name="NBL_Ent.39_Cod.2045">Complements!$B$107</definedName>
    <definedName name="NBL_Ent.39_Cod.2046">Complements!$B$108</definedName>
    <definedName name="NBL_Ent.39_Cod.2047">Complements!$B$109</definedName>
    <definedName name="NBL_Ent.39_Cod.2048">Complements!$B$110</definedName>
    <definedName name="NBL_Ent.39_Cod.2049">Complements!$B$111</definedName>
    <definedName name="NBL_Ent.39_Cod.2050">Complements!$B$112</definedName>
    <definedName name="NBL_Ent.39_Cod.2051">Complements!$B$113</definedName>
    <definedName name="NBL_Ent.39_Cod.2052">Complements!$B$114</definedName>
    <definedName name="NBL_Ent.39_Cod.2053">Complements!$B$115</definedName>
    <definedName name="NBL_Ent.41_Cod.13536">Complements!$B$118</definedName>
    <definedName name="NBL_Ent.41_Cod.13537">Complements!$B$119</definedName>
    <definedName name="NBL_Ent.41_Cod.14560">Complements!$B$120</definedName>
    <definedName name="NBL_Ent.41_Cod.17887">Complements!$B$117</definedName>
    <definedName name="NBL_Ent.41_Cod.2094">Complements!$B$116</definedName>
    <definedName name="NBL_Ent.41_Cod.2095">Complements!$B$121</definedName>
    <definedName name="NBL_Ent.41_Cod.2096">Complements!$B$122</definedName>
    <definedName name="NBL_Ent.41_Cod.2097">Complements!$B$123</definedName>
    <definedName name="NBL_Ent.41_Cod.2098">Complements!$B$124</definedName>
    <definedName name="NBL_Ent.41_Cod.2099">Complements!$B$125</definedName>
    <definedName name="NBL_Ent.41_Cod.2100">Complements!$B$126</definedName>
    <definedName name="NBL_Ent.41_Cod.2101">Complements!$B$127</definedName>
    <definedName name="NBL_Ent.7_Cod.7830">Complements!$B$85</definedName>
    <definedName name="NBL_Ent.7_Cod.821">Complements!$B$74</definedName>
    <definedName name="NBL_Ent.7_Cod.822">Complements!$B$75</definedName>
    <definedName name="NBL_Ent.7_Cod.823">Complements!$B$76</definedName>
    <definedName name="NBL_Ent.7_Cod.824">Complements!$B$77</definedName>
    <definedName name="NBL_Ent.7_Cod.825">Complements!$B$78</definedName>
    <definedName name="NBL_Ent.7_Cod.826">Complements!$B$79</definedName>
    <definedName name="NBL_Ent.7_Cod.827">Complements!$B$80</definedName>
    <definedName name="NBL_Ent.7_Cod.828">Complements!$B$81</definedName>
    <definedName name="NBL_Ent.7_Cod.829">Complements!$B$83</definedName>
    <definedName name="NBL_Ent.7_Cod.830">Complements!$B$82</definedName>
    <definedName name="NBL_Ent.7_Cod.831">Complements!$B$84</definedName>
    <definedName name="Nbre_Erreurs_Verifications_N">Complements!$B$40</definedName>
    <definedName name="Nbre_Erreurs_Verifications_N_1">Complements!$B$41</definedName>
    <definedName name="NEANT_TAB1_OPTION">Complements!$G$11</definedName>
    <definedName name="NEANT_TAB11_OPTION">Complements!$G$14</definedName>
    <definedName name="NEANT_TAB12_OPTION">Complements!$G$25</definedName>
    <definedName name="NEANT_TAB2_OPTION">Complements!$G$10</definedName>
    <definedName name="NEANT_TAB200_OPTION">Complements!$G$30</definedName>
    <definedName name="NEANT_TAB201_OPTION">Complements!$G$34</definedName>
    <definedName name="NEANT_TAB202_OPTION">Complements!$G$33</definedName>
    <definedName name="NEANT_TAB203_OPTION">Complements!$G$31</definedName>
    <definedName name="NEANT_TAB220_OPTION">Complements!$G$32</definedName>
    <definedName name="NEANT_TAB23_OPTION">Complements!$G$17</definedName>
    <definedName name="NEANT_TAB24_OPTION">Complements!$G$18</definedName>
    <definedName name="NEANT_TAB240_OPTION">Complements!$G$35</definedName>
    <definedName name="NEANT_TAB26_OPTION">Complements!$G$26</definedName>
    <definedName name="NEANT_TAB27_OPTION">Complements!$G$27</definedName>
    <definedName name="NEANT_TAB28_OPTION">Complements!$G$28</definedName>
    <definedName name="NEANT_TAB32_OPTION">Complements!$G$15</definedName>
    <definedName name="NEANT_TAB34_OPTION">Complements!$G$16</definedName>
    <definedName name="NEANT_TAB36_OPTION">Complements!$G$29</definedName>
    <definedName name="NEANT_TAB37_OPTION">Complements!$G$19</definedName>
    <definedName name="NEANT_TAB38_OPTION">Complements!$G$20</definedName>
    <definedName name="NEANT_TAB39_OPTION">Complements!$G$21</definedName>
    <definedName name="NEANT_TAB40_OPTION">Complements!$G$22</definedName>
    <definedName name="NEANT_TAB41_OPTION">Complements!$G$23</definedName>
    <definedName name="NEANT_TAB5_OPTION">Complements!$G$24</definedName>
    <definedName name="NEANT_TAB6_OPTION">Complements!$G$12</definedName>
    <definedName name="NEANT_TAB7_OPTION">Complements!$G$13</definedName>
    <definedName name="PCNG_MN">Complements!$A$193:$A$559</definedName>
    <definedName name="Point0_N">BalanceN!$B$1</definedName>
    <definedName name="Point0_N_1">'BalanceN-1'!$B$1</definedName>
    <definedName name="SIMPL_Balance_N_0_NbreComptes">Complements!$C$56</definedName>
    <definedName name="SIMPL_Balance_N_0_NbreKeys">Complements!$B$56</definedName>
    <definedName name="SIMPL_Balance_N_1_NbreComptes">Complements!$C$57</definedName>
    <definedName name="SIMPL_Balance_N_1_NbreKeys">Complements!$B$57</definedName>
    <definedName name="SIMPL_Cell_adresse" localSheetId="22">#REF!</definedName>
    <definedName name="SIMPL_Cell_adresse">PagePrincipale!$F$19</definedName>
    <definedName name="SIMPL_Cell_exerciceFiscalAu" localSheetId="22">#REF!</definedName>
    <definedName name="SIMPL_Cell_exerciceFiscalAu">PagePrincipale!$F$17</definedName>
    <definedName name="SIMPL_Cell_exerciceFiscalDu" localSheetId="22">#REF!</definedName>
    <definedName name="SIMPL_Cell_exerciceFiscalDu">PagePrincipale!$F$15</definedName>
    <definedName name="SIMPL_Cell_identifiantCommun">PagePrincipale!$F$13</definedName>
    <definedName name="SIMPL_Cell_identifiantFiscal" localSheetId="22">#REF!</definedName>
    <definedName name="SIMPL_Cell_identifiantFiscal">PagePrincipale!$F$11</definedName>
    <definedName name="SIMPL_CELL_Societe" localSheetId="22">#REF!</definedName>
    <definedName name="SIMPL_Cell_societe">PagePrincipale!$F$9</definedName>
    <definedName name="SIMPL_Cell_ville" localSheetId="22">#REF!</definedName>
    <definedName name="SIMPL_Cell_ville">PagePrincipale!$F$21</definedName>
    <definedName name="SIMPL_CheckVersion_Nbre">Complements!$B$54</definedName>
    <definedName name="SIMPL_CheckVersion_Option">Complements!$B$55</definedName>
    <definedName name="SIMPL_Ent.12_Cod.10061_Lin.0_Typ.Texte_Extra.0" localSheetId="22">#REF!</definedName>
    <definedName name="SIMPL_Ent.12_Cod.10061_Lin.0_Typ.Texte_Extra.0">'T16'!$A$9</definedName>
    <definedName name="SIMPL_Ent.12_Cod.1078_Lin.0_Typ.Date_Extra.0">'T16'!$B$9</definedName>
    <definedName name="SIMPL_Ent.12_Cod.1079_Lin.0_Typ.Double_Extra.0" localSheetId="22">#REF!</definedName>
    <definedName name="SIMPL_Ent.12_Cod.1079_Lin.0_Typ.Double_Extra.0">'T16'!$C$9</definedName>
    <definedName name="SIMPL_Ent.12_Cod.1080_Lin.0_Typ.Double_Extra.0">'T16'!$D$9</definedName>
    <definedName name="SIMPL_Ent.12_Cod.1081_Lin.0_Typ.Double_Extra.0">'T16'!$E$9</definedName>
    <definedName name="SIMPL_Ent.12_Cod.1082_Lin.0_Typ.Double_Extra.0">'T16'!$F$9</definedName>
    <definedName name="SIMPL_Ent.12_Cod.1083_Lin.0_Typ.Entier_Extra.0">'T16'!$G$9</definedName>
    <definedName name="SIMPL_Ent.12_Cod.1084_Lin.0_Typ.Double_Extra.0">'T16'!$H$9</definedName>
    <definedName name="SIMPL_Ent.12_Cod.1085_Lin.0_Typ.Double_Extra.0">'T16'!$I$9</definedName>
    <definedName name="SIMPL_Ent.12_Cod.1086_Lin.0_Typ.Texte_Extra.0">'T16'!$J$9</definedName>
    <definedName name="SIMPL_Ent.201_Cod.14088_Lin.0_Typ.Texte_Extra.0">'T25'!$A$4</definedName>
    <definedName name="SIMPL_Ent.201_Cod.14089_Lin.0_Typ.Texte_Extra.0">'T25'!$B$4</definedName>
    <definedName name="SIMPL_Ent.201_Cod.14090_Lin.0_Typ.Texte_Extra.0">'T25'!$C$4</definedName>
    <definedName name="SIMPL_Ent.201_Cod.14091_Lin.0_Typ.Texte_Extra.0">'T25'!$A$14</definedName>
    <definedName name="SIMPL_Ent.201_Cod.14092_Lin.0_Typ.Texte_Extra.0">'T25'!$B$14</definedName>
    <definedName name="SIMPL_Ent.201_Cod.14093_Lin.0_Typ.Texte_Extra.0">'T25'!$C$14</definedName>
    <definedName name="SIMPL_Ent.23_Cod.1098_Lin.0_Typ.Texte_Extra.0">'T07'!$A$5</definedName>
    <definedName name="SIMPL_Ent.23_Cod.1099_Lin.0_Typ.Date_Extra.0">'T07'!$B$5</definedName>
    <definedName name="SIMPL_Ent.23_Cod.1100_Lin.0_Typ.Entier_Extra.0">'T07'!$C$5</definedName>
    <definedName name="SIMPL_Ent.23_Cod.1101_Lin.0_Typ.Double_Extra.0">'T07'!$D$5</definedName>
    <definedName name="SIMPL_Ent.23_Cod.1102_Lin.0_Typ.Double_Extra.0">'T07'!$E$5</definedName>
    <definedName name="SIMPL_Ent.23_Cod.1103_Lin.0_Typ.Double_Extra.0">'T07'!$F$5</definedName>
    <definedName name="SIMPL_Ent.23_Cod.1104_Lin.0_Typ.Double_Extra.0">'T07'!$G$5</definedName>
    <definedName name="SIMPL_Ent.23_Cod.1105_Lin.0_Typ.Double_Extra.0">'T07'!$H$5</definedName>
    <definedName name="SIMPL_Ent.23_Cod.1106_Lin.0_Typ.Double_Extra.0">'T07'!$I$5</definedName>
    <definedName name="SIMPL_Ent.23_Cod.1107_Lin.0_Typ.Double_Extra.0">'T07'!$J$5</definedName>
    <definedName name="SIMPL_Ent.23_Cod.1108_Lin.0_Typ.Texte_Extra.0">'T07'!$K$5</definedName>
    <definedName name="SIMPL_Ent.240_Cod.14353_Lin.0_Typ.Double_Extra.0">'T26'!$D$7</definedName>
    <definedName name="SIMPL_Ent.240_Cod.14990_Lin.0_Typ.Double_Extra.0">'T26'!$C$7</definedName>
    <definedName name="SIMPL_Ent.27_Cod.1208_Lin.0_Typ.Texte_Extra.0">'T18'!$A$5</definedName>
    <definedName name="SIMPL_Ent.27_Cod.1209_Lin.0_Typ.Texte_Extra.0">'T18'!$C$5</definedName>
    <definedName name="SIMPL_Ent.27_Cod.1210_Lin.0_Typ.Entier_Extra.0">'T18'!$D$5</definedName>
    <definedName name="SIMPL_Ent.27_Cod.1211_Lin.0_Typ.Double_Extra.0">'T18'!$F$5</definedName>
    <definedName name="SIMPL_Ent.27_Cod.1212_Lin.0_Typ.Date_Extra.0">'T18'!$G$5</definedName>
    <definedName name="SIMPL_Ent.27_Cod.1213_Lin.0_Typ.Entier_Extra.0">'T18'!$H$5</definedName>
    <definedName name="SIMPL_Ent.27_Cod.1214_Lin.0_Typ.Texte_Extra.0">'T18'!$I$5</definedName>
    <definedName name="SIMPL_Ent.27_Cod.1215_Lin.0_Typ.Double_Extra.0">'T18'!$J$5</definedName>
    <definedName name="SIMPL_Ent.27_Cod.1216_Lin.0_Typ.Double_Extra.0">'T18'!$K$5</definedName>
    <definedName name="SIMPL_Ent.27_Cod.1217_Lin.0_Typ.Double_Extra.0">'T18'!$L$5</definedName>
    <definedName name="SIMPL_Ent.27_Cod.1218_Lin.0_Typ.Double_Extra.0">'T18'!$M$5</definedName>
    <definedName name="SIMPL_Ent.27_Cod.1219_Lin.0_Typ.Double_Extra.0">'T18'!$N$5</definedName>
    <definedName name="SIMPL_Ent.27_Cod.1220_Lin.0_Typ.Texte_Extra.0">'T18'!$O$5</definedName>
    <definedName name="SIMPL_Ent.27_Cod.1221_Lin.0_Typ.Texte_Extra.0">'T18'!$A$11</definedName>
    <definedName name="SIMPL_Ent.27_Cod.1222_Lin.0_Typ.Texte_Extra.0">'T18'!$C$11</definedName>
    <definedName name="SIMPL_Ent.27_Cod.1223_Lin.0_Typ.Texte_Extra.0">'T18'!$D$11</definedName>
    <definedName name="SIMPL_Ent.27_Cod.1224_Lin.0_Typ.Double_Extra.0">'T18'!$F$11</definedName>
    <definedName name="SIMPL_Ent.27_Cod.1225_Lin.0_Typ.Date_Extra.0">'T18'!$G$11</definedName>
    <definedName name="SIMPL_Ent.27_Cod.1226_Lin.0_Typ.Entier_Extra.0">'T18'!$H$11</definedName>
    <definedName name="SIMPL_Ent.27_Cod.1227_Lin.0_Typ.Texte_Extra.0">'T18'!$I$11</definedName>
    <definedName name="SIMPL_Ent.27_Cod.1228_Lin.0_Typ.Double_Extra.0">'T18'!$J$11</definedName>
    <definedName name="SIMPL_Ent.27_Cod.1229_Lin.0_Typ.Double_Extra.0">'T18'!$K$11</definedName>
    <definedName name="SIMPL_Ent.27_Cod.1250_Lin.0_Typ.Double_Extra.0">'T18'!$L$11</definedName>
    <definedName name="SIMPL_Ent.27_Cod.1251_Lin.0_Typ.Double_Extra.0">'T18'!$M$11</definedName>
    <definedName name="SIMPL_Ent.27_Cod.1252_Lin.0_Typ.Double_Extra.0">'T18'!$N$11</definedName>
    <definedName name="SIMPL_Ent.27_Cod.1253_Lin.0_Typ.Texte_Extra.0">'T18'!$O$11</definedName>
    <definedName name="SIMPL_Ent.27_Cod.14968_Lin.0_Typ.Texte_Extra.0">'T18'!$E$5</definedName>
    <definedName name="SIMPL_Ent.27_Cod.14969_Lin.0_Typ.Texte_Extra.0">'T18'!$B$5</definedName>
    <definedName name="SIMPL_Ent.27_Cod.14970_Lin.0_Typ.Texte_Extra.0">'T18'!$B$11</definedName>
    <definedName name="SIMPL_Ent.27_Cod.14971_Lin.0_Typ.Texte_Extra.0">'T18'!$E$11</definedName>
    <definedName name="SIMPL_Ent.28_Cod.1267_Lin.0_Typ.Texte_Extra.0">'T19'!$A$5</definedName>
    <definedName name="SIMPL_Ent.28_Cod.1268_Lin.0_Typ.Texte_Extra.0">'T19'!$B$5</definedName>
    <definedName name="SIMPL_Ent.28_Cod.1269_Lin.0_Typ.Texte_Extra.0">'T19'!$C$5</definedName>
    <definedName name="SIMPL_Ent.28_Cod.1270_Lin.0_Typ.Date_Extra.0">'T19'!$I$5</definedName>
    <definedName name="SIMPL_Ent.28_Cod.1271_Lin.0_Typ.Double_Extra.0">'T19'!$J$5</definedName>
    <definedName name="SIMPL_Ent.28_Cod.1272_Lin.0_Typ.Double_Extra.0">'T19'!$K$5</definedName>
    <definedName name="SIMPL_Ent.28_Cod.1273_Lin.0_Typ.Texte_Extra.0">'T19'!$L$5</definedName>
    <definedName name="SIMPL_Ent.28_Cod.1274_Lin.0_Typ.Texte_Extra.0">'T19'!$M$5</definedName>
    <definedName name="SIMPL_Ent.28_Cod.14040_Lin.0_Typ.Entier_Extra.0">'T19'!$F$5</definedName>
    <definedName name="SIMPL_Ent.28_Cod.14041_Lin.0_Typ.Texte_Extra.0">'T19'!$G$5</definedName>
    <definedName name="SIMPL_Ent.28_Cod.14964_Lin.0_Typ.Texte_Extra.0">'T19'!$D$5</definedName>
    <definedName name="SIMPL_Ent.28_Cod.14965_Lin.0_Typ.Texte_Extra.0">'T19'!$E$5</definedName>
    <definedName name="SIMPL_Ent.28_Cod.17919_Lin.0_Typ.Texte_Extra.0">'T19'!$H$5</definedName>
    <definedName name="SIMPL_Ent.38_Cod.1929_Lin.0_Typ.Date_Extra.0">'T10'!$A$3</definedName>
    <definedName name="SIMPL_Ent.38_Cod.1930_Lin.0_Typ.Entier_Extra.0">'T10'!$B$3</definedName>
    <definedName name="SIMPL_Ent.38_Cod.1931_Lin.0_Typ.Double_Extra.0">'T10'!$C$3</definedName>
    <definedName name="SIMPL_Ent.38_Cod.1932_Lin.0_Typ.Double_Extra.0">'T10'!$D$3</definedName>
    <definedName name="SIMPL_Ent.38_Cod.1933_Lin.0_Typ.Double_Extra.0">'T10'!$E$3</definedName>
    <definedName name="SIMPL_Ent.38_Cod.1934_Lin.0_Typ.Double_Extra.0">'T10'!$F$3</definedName>
    <definedName name="SIMPL_Ent.38_Cod.1935_Lin.0_Typ.Double_Extra.0">'T10'!$G$3</definedName>
    <definedName name="SIMPL_Ent.38_Cod.1936_Lin.0_Typ.Double_Extra.0">'T10'!$H$3</definedName>
    <definedName name="SIMPL_Ent.39_Cod.14065_Lin.0_Typ.Entier_Extra.0">'T11'!$B$5</definedName>
    <definedName name="SIMPL_Ent.39_Cod.2044_Lin.0_Typ.Texte_Extra.0">'T11'!$A$5</definedName>
    <definedName name="SIMPL_Ent.39_Cod.2045_Lin.0_Typ.Texte_Extra.0">'T11'!$C$5</definedName>
    <definedName name="SIMPL_Ent.39_Cod.2046_Lin.0_Typ.Double_Extra.0">'T11'!$D$5</definedName>
    <definedName name="SIMPL_Ent.39_Cod.2047_Lin.0_Typ.Double_Extra.0">'T11'!$E$5</definedName>
    <definedName name="SIMPL_Ent.39_Cod.2048_Lin.0_Typ.Double_Extra.0">'T11'!$F$5</definedName>
    <definedName name="SIMPL_Ent.39_Cod.2049_Lin.0_Typ.Double_Extra.0">'T11'!$G$5</definedName>
    <definedName name="SIMPL_Ent.39_Cod.2050_Lin.0_Typ.Date_Extra.0">'T11'!$H$5</definedName>
    <definedName name="SIMPL_Ent.39_Cod.2051_Lin.0_Typ.Double_Extra.0">'T11'!$I$5</definedName>
    <definedName name="SIMPL_Ent.39_Cod.2052_Lin.0_Typ.Double_Extra.0">'T11'!$J$5</definedName>
    <definedName name="SIMPL_Ent.39_Cod.2053_Lin.0_Typ.Double_Extra.0">'T11'!$K$5</definedName>
    <definedName name="SIMPL_Ent.41_Cod.13536_Lin.0_Typ.Entier_Extra.0">'T13'!$C$7</definedName>
    <definedName name="SIMPL_Ent.41_Cod.13537_Lin.0_Typ.Texte_Extra.0">'T13'!$D$7</definedName>
    <definedName name="SIMPL_Ent.41_Cod.14560_Lin.0_Typ.Texte_Extra.0">'T13'!$E$7</definedName>
    <definedName name="SIMPL_Ent.41_Cod.17887_Lin.0_Typ.Texte_Extra.0">'T13'!$B$7</definedName>
    <definedName name="SIMPL_Ent.41_Cod.2094_Lin.0_Typ.Texte_Extra.0">'T13'!$A$7</definedName>
    <definedName name="SIMPL_Ent.41_Cod.2095_Lin.0_Typ.Texte_Extra.0">'T13'!$F$7</definedName>
    <definedName name="SIMPL_Ent.41_Cod.2096_Lin.0_Typ.Entier_Extra.0">'T13'!$G$7</definedName>
    <definedName name="SIMPL_Ent.41_Cod.2097_Lin.0_Typ.Entier_Extra.0">'T13'!$H$7</definedName>
    <definedName name="SIMPL_Ent.41_Cod.2098_Lin.0_Typ.Double_Extra.0">'T13'!$I$7</definedName>
    <definedName name="SIMPL_Ent.41_Cod.2099_Lin.0_Typ.Double_Extra.0">'T13'!$J$7</definedName>
    <definedName name="SIMPL_Ent.41_Cod.2100_Lin.0_Typ.Double_Extra.0">'T13'!$K$7</definedName>
    <definedName name="SIMPL_Ent.41_Cod.2101_Lin.0_Typ.Double_Extra.0">'T13'!$L$7</definedName>
    <definedName name="SIMPL_Ent.7_Cod.7830_Lin.0_Typ.Double_Extra.0">'T03'!$C$31</definedName>
    <definedName name="SIMPL_Ent.7_Cod.821_Lin.0_Typ.Texte_Extra.0">'T03'!$A$9</definedName>
    <definedName name="SIMPL_Ent.7_Cod.822_Lin.0_Typ.Double_Extra.0">'T03'!$B$9</definedName>
    <definedName name="SIMPL_Ent.7_Cod.823_Lin.0_Typ.Double_Extra.0">'T03'!$C$9</definedName>
    <definedName name="SIMPL_Ent.7_Cod.824_Lin.0_Typ.Texte_Extra.0">'T03'!$A$17</definedName>
    <definedName name="SIMPL_Ent.7_Cod.825_Lin.0_Typ.Double_Extra.0">'T03'!$B$17</definedName>
    <definedName name="SIMPL_Ent.7_Cod.826_Lin.0_Typ.Double_Extra.0">'T03'!$C$17</definedName>
    <definedName name="SIMPL_Ent.7_Cod.827_Lin.0_Typ.Texte_Extra.0">'T03'!$A$25</definedName>
    <definedName name="SIMPL_Ent.7_Cod.828_Lin.0_Typ.Double_Extra.0">'T03'!$B$25</definedName>
    <definedName name="SIMPL_Ent.7_Cod.829_Lin.0_Typ.Texte_Extra.0">'T03'!$A$31</definedName>
    <definedName name="SIMPL_Ent.7_Cod.830_Lin.0_Typ.Double_Extra.0">'T03'!$C$25</definedName>
    <definedName name="SIMPL_Ent.7_Cod.831_Lin.0_Typ.Double_Extra.0">'T03'!$B$31</definedName>
    <definedName name="SIMPL_Erreur_Adr">Erreurs_XML!$A$5</definedName>
    <definedName name="SIMPL_Erreur_Not">Erreurs_XML!$C$5</definedName>
    <definedName name="SIMPL_Erreur_Val">Erreurs_XML!$B$5</definedName>
    <definedName name="SIMPL_Liste_Tableaux">Complements!$A$7:$A$37</definedName>
    <definedName name="SIMPL_Liste_Tableaux_Selection" localSheetId="22">#REF!</definedName>
    <definedName name="SIMPL_Liste_Tableaux_Selection">Complements!$A$51</definedName>
    <definedName name="SIMPL_Liste_Tableaux_Selection_Adresse">Complements!$C$51</definedName>
    <definedName name="SIMPL_Liste_Tableaux_Selection_Feuille">Complements!$B$51</definedName>
    <definedName name="SIMPL_Tab.1_Cod.13339_Lin.1_Typ.Double_Extra.0">'T01'!$B$72</definedName>
    <definedName name="SIMPL_Tab.1_Cod.13343_Lin.1_Typ.Double_Extra.0">'T01'!$B$76</definedName>
    <definedName name="SIMPL_Tab.1_Cod.13368_Lin.0_Typ.Double_Extra.0">'T01'!$D$101</definedName>
    <definedName name="SIMPL_Tab.1_Cod.13369_Lin.0_Typ.Double_Extra.0">'T01'!$D$100</definedName>
    <definedName name="SIMPL_Tab.1_Cod.13370_Lin.0_Typ.Double_Extra.0">'T01'!$D$97</definedName>
    <definedName name="SIMPL_Tab.1_Cod.13371_Lin.0_Typ.Double_Extra.0">'T01'!$D$98</definedName>
    <definedName name="SIMPL_Tab.1_Cod.13372_Lin.0_Typ.Double_Extra.0">'T01'!$D$99</definedName>
    <definedName name="SIMPL_Tab.1_Cod.13373_Lin.0_Typ.Double_Extra.0">'T01'!$D$95</definedName>
    <definedName name="SIMPL_Tab.1_Cod.13374_Lin.0_Typ.Double_Extra.0">'T01'!$D$94</definedName>
    <definedName name="SIMPL_Tab.1_Cod.13375_Lin.0_Typ.Double_Extra.0">'T01'!$D$93</definedName>
    <definedName name="SIMPL_Tab.1_Cod.13376_Lin.0_Typ.Double_Extra.0">'T01'!$D$84</definedName>
    <definedName name="SIMPL_Tab.1_Cod.13377_Lin.0_Typ.Double_Extra.0">'T01'!$D$85</definedName>
    <definedName name="SIMPL_Tab.1_Cod.13378_Lin.0_Typ.Double_Extra.0">'T01'!$D$86</definedName>
    <definedName name="SIMPL_Tab.1_Cod.13379_Lin.0_Typ.Double_Extra.0">'T01'!$D$87</definedName>
    <definedName name="SIMPL_Tab.1_Cod.13380_Lin.0_Typ.Double_Extra.0">'T01'!$D$88</definedName>
    <definedName name="SIMPL_Tab.1_Cod.13381_Lin.0_Typ.Double_Extra.0">'T01'!$D$89</definedName>
    <definedName name="SIMPL_Tab.1_Cod.13382_Lin.0_Typ.Double_Extra.0">'T01'!$D$90</definedName>
    <definedName name="SIMPL_Tab.1_Cod.13383_Lin.0_Typ.Double_Extra.0">'T01'!$D$91</definedName>
    <definedName name="SIMPL_Tab.1_Cod.13384_Lin.0_Typ.Double_Extra.0">'T01'!$D$92</definedName>
    <definedName name="SIMPL_Tab.1_Cod.13385_Lin.0_Typ.Double_Extra.0">'T01'!$D$83</definedName>
    <definedName name="SIMPL_Tab.1_Cod.13386_Lin.0_Typ.Double_Extra.0">'T01'!$D$80</definedName>
    <definedName name="SIMPL_Tab.1_Cod.13387_Lin.0_Typ.Double_Extra.0">'T01'!$D$81</definedName>
    <definedName name="SIMPL_Tab.1_Cod.13388_Lin.0_Typ.Double_Extra.0">'T01'!$D$82</definedName>
    <definedName name="SIMPL_Tab.1_Cod.13389_Lin.0_Typ.Double_Extra.0">'T01'!$D$77</definedName>
    <definedName name="SIMPL_Tab.1_Cod.13390_Lin.0_Typ.Double_Extra.0">'T01'!$D$78</definedName>
    <definedName name="SIMPL_Tab.1_Cod.13391_Lin.0_Typ.Double_Extra.0">'T01'!$D$79</definedName>
    <definedName name="SIMPL_Tab.1_Cod.13392_Lin.1_Typ.Double_Extra.0">'T01'!$D$76</definedName>
    <definedName name="SIMPL_Tab.1_Cod.13393_Lin.0_Typ.Double_Extra.0">'T01'!$D$73</definedName>
    <definedName name="SIMPL_Tab.1_Cod.13394_Lin.0_Typ.Double_Extra.0">'T01'!$D$74</definedName>
    <definedName name="SIMPL_Tab.1_Cod.13395_Lin.0_Typ.Double_Extra.0">'T01'!$D$75</definedName>
    <definedName name="SIMPL_Tab.1_Cod.13396_Lin.1_Typ.Double_Extra.0">'T01'!$D$72</definedName>
    <definedName name="SIMPL_Tab.1_Cod.13397_Lin.0_Typ.Double_Extra.0">'T01'!$D$69</definedName>
    <definedName name="SIMPL_Tab.1_Cod.13398_Lin.0_Typ.Double_Extra.0">'T01'!$D$70</definedName>
    <definedName name="SIMPL_Tab.1_Cod.13399_Lin.0_Typ.Double_Extra.0">'T01'!$D$71</definedName>
    <definedName name="SIMPL_Tab.1_Cod.13400_Lin.0_Typ.Double_Extra.0">'T01'!$D$59</definedName>
    <definedName name="SIMPL_Tab.1_Cod.13401_Lin.0_Typ.Double_Extra.0">'T01'!$D$60</definedName>
    <definedName name="SIMPL_Tab.1_Cod.13402_Lin.0_Typ.Double_Extra.0">Complements!$B$58</definedName>
    <definedName name="SIMPL_Tab.1_Cod.13403_Lin.0_Typ.Double_Extra.0">Complements!$B$59</definedName>
    <definedName name="SIMPL_Tab.1_Cod.13404_Lin.0_Typ.Double_Extra.0">'T01'!$D$61</definedName>
    <definedName name="SIMPL_Tab.1_Cod.13405_Lin.0_Typ.Double_Extra.0">'T01'!$D$62</definedName>
    <definedName name="SIMPL_Tab.1_Cod.13406_Lin.0_Typ.Double_Extra.0">'T01'!$D$63</definedName>
    <definedName name="SIMPL_Tab.1_Cod.13407_Lin.0_Typ.Double_Extra.0">'T01'!$D$64</definedName>
    <definedName name="SIMPL_Tab.1_Cod.13408_Lin.0_Typ.Double_Extra.0">'T01'!$D$65</definedName>
    <definedName name="SIMPL_Tab.1_Cod.13409_Lin.0_Typ.Double_Extra.0">'T01'!$D$67</definedName>
    <definedName name="SIMPL_Tab.1_Cod.13410_Lin.0_Typ.Double_Extra.0">'T01'!$D$68</definedName>
    <definedName name="SIMPL_Tab.1_Cod.13411_Lin.0_Typ.Double_Extra.0">'T01'!$E$59</definedName>
    <definedName name="SIMPL_Tab.1_Cod.13412_Lin.0_Typ.Double_Extra.0">'T01'!$E$60</definedName>
    <definedName name="SIMPL_Tab.1_Cod.13413_Lin.0_Typ.Double_Extra.0">Complements!$B$60</definedName>
    <definedName name="SIMPL_Tab.1_Cod.13414_Lin.0_Typ.Double_Extra.0">Complements!$B$61</definedName>
    <definedName name="SIMPL_Tab.1_Cod.13415_Lin.0_Typ.Double_Extra.0">'T01'!$E$61</definedName>
    <definedName name="SIMPL_Tab.1_Cod.13416_Lin.0_Typ.Double_Extra.0">'T01'!$E$62</definedName>
    <definedName name="SIMPL_Tab.1_Cod.13417_Lin.0_Typ.Double_Extra.0">'T01'!$E$63</definedName>
    <definedName name="SIMPL_Tab.1_Cod.13418_Lin.0_Typ.Double_Extra.0">'T01'!$E$64</definedName>
    <definedName name="SIMPL_Tab.1_Cod.13419_Lin.0_Typ.Double_Extra.0">'T01'!$E$65</definedName>
    <definedName name="SIMPL_Tab.1_Cod.13420_Lin.0_Typ.Double_Extra.0">'T01'!$E$67</definedName>
    <definedName name="SIMPL_Tab.1_Cod.13421_Lin.0_Typ.Double_Extra.0">'T01'!$E$68</definedName>
    <definedName name="SIMPL_Tab.1_Cod.13422_Lin.0_Typ.Double_Extra.0">'T01'!$E$69</definedName>
    <definedName name="SIMPL_Tab.1_Cod.13423_Lin.0_Typ.Double_Extra.0">'T01'!$E$70</definedName>
    <definedName name="SIMPL_Tab.1_Cod.13424_Lin.0_Typ.Double_Extra.0">'T01'!$E$71</definedName>
    <definedName name="SIMPL_Tab.1_Cod.13425_Lin.1_Typ.Double_Extra.0">'T01'!$E$72</definedName>
    <definedName name="SIMPL_Tab.1_Cod.13426_Lin.0_Typ.Double_Extra.0">'T01'!$E$73</definedName>
    <definedName name="SIMPL_Tab.1_Cod.13427_Lin.0_Typ.Double_Extra.0">'T01'!$E$74</definedName>
    <definedName name="SIMPL_Tab.1_Cod.13428_Lin.0_Typ.Double_Extra.0">'T01'!$E$75</definedName>
    <definedName name="SIMPL_Tab.1_Cod.13429_Lin.1_Typ.Double_Extra.0">'T01'!$E$76</definedName>
    <definedName name="SIMPL_Tab.1_Cod.13430_Lin.0_Typ.Double_Extra.0">'T01'!$E$77</definedName>
    <definedName name="SIMPL_Tab.1_Cod.13431_Lin.0_Typ.Double_Extra.0">'T01'!$E$78</definedName>
    <definedName name="SIMPL_Tab.1_Cod.13432_Lin.0_Typ.Double_Extra.0">'T01'!$E$79</definedName>
    <definedName name="SIMPL_Tab.1_Cod.13433_Lin.0_Typ.Double_Extra.0">'T01'!$E$80</definedName>
    <definedName name="SIMPL_Tab.1_Cod.13434_Lin.0_Typ.Double_Extra.0">'T01'!$E$81</definedName>
    <definedName name="SIMPL_Tab.1_Cod.13435_Lin.0_Typ.Double_Extra.0">'T01'!$E$82</definedName>
    <definedName name="SIMPL_Tab.1_Cod.13436_Lin.0_Typ.Double_Extra.0">'T01'!$E$83</definedName>
    <definedName name="SIMPL_Tab.1_Cod.13437_Lin.0_Typ.Double_Extra.0">'T01'!$E$84</definedName>
    <definedName name="SIMPL_Tab.1_Cod.13438_Lin.0_Typ.Double_Extra.0">'T01'!$E$85</definedName>
    <definedName name="SIMPL_Tab.1_Cod.13439_Lin.0_Typ.Double_Extra.0">'T01'!$E$86</definedName>
    <definedName name="SIMPL_Tab.1_Cod.13440_Lin.0_Typ.Double_Extra.0">'T01'!$E$87</definedName>
    <definedName name="SIMPL_Tab.1_Cod.13441_Lin.0_Typ.Double_Extra.0">'T01'!$E$88</definedName>
    <definedName name="SIMPL_Tab.1_Cod.13442_Lin.0_Typ.Double_Extra.0">'T01'!$E$89</definedName>
    <definedName name="SIMPL_Tab.1_Cod.13443_Lin.0_Typ.Double_Extra.0">'T01'!$E$90</definedName>
    <definedName name="SIMPL_Tab.1_Cod.13444_Lin.0_Typ.Double_Extra.0">'T01'!$E$91</definedName>
    <definedName name="SIMPL_Tab.1_Cod.13445_Lin.0_Typ.Double_Extra.0">'T01'!$E$92</definedName>
    <definedName name="SIMPL_Tab.1_Cod.13446_Lin.0_Typ.Double_Extra.0">'T01'!$E$93</definedName>
    <definedName name="SIMPL_Tab.1_Cod.13447_Lin.0_Typ.Double_Extra.0">'T01'!$E$94</definedName>
    <definedName name="SIMPL_Tab.1_Cod.13448_Lin.0_Typ.Double_Extra.0">'T01'!$E$95</definedName>
    <definedName name="SIMPL_Tab.1_Cod.13449_Lin.0_Typ.Double_Extra.0">'T01'!$E$97</definedName>
    <definedName name="SIMPL_Tab.1_Cod.13450_Lin.0_Typ.Double_Extra.0">'T01'!$E$98</definedName>
    <definedName name="SIMPL_Tab.1_Cod.13451_Lin.0_Typ.Double_Extra.0">'T01'!$E$99</definedName>
    <definedName name="SIMPL_Tab.1_Cod.13452_Lin.0_Typ.Double_Extra.0">'T01'!$E$100</definedName>
    <definedName name="SIMPL_Tab.1_Cod.13453_Lin.0_Typ.Double_Extra.0">'T01'!$E$101</definedName>
    <definedName name="SIMPL_Tab.1_Cod.14001_Lin.0_Typ.Double_Extra.0">'T01'!$D$66</definedName>
    <definedName name="SIMPL_Tab.1_Cod.14002_Lin.0_Typ.Double_Extra.0">'T01'!$E$66</definedName>
    <definedName name="SIMPL_Tab.10_Cod.10022_Lin.0_Typ.Double_Extra.0" localSheetId="22">'T15'!$C$25</definedName>
    <definedName name="SIMPL_Tab.10_Cod.10022_Lin.0_Typ.Double_Extra.0">#REF!</definedName>
    <definedName name="SIMPL_Tab.10_Cod.10023_Lin.0_Typ.Double_Extra.0" localSheetId="22">'T15'!$C$26</definedName>
    <definedName name="SIMPL_Tab.10_Cod.10023_Lin.0_Typ.Double_Extra.0">#REF!</definedName>
    <definedName name="SIMPL_Tab.10_Cod.10024_Lin.0_Typ.Double_Extra.0" localSheetId="22">'T15'!$D$25</definedName>
    <definedName name="SIMPL_Tab.10_Cod.10024_Lin.0_Typ.Double_Extra.0">#REF!</definedName>
    <definedName name="SIMPL_Tab.10_Cod.10025_Lin.0_Typ.Double_Extra.0" localSheetId="22">'T15'!$D$26</definedName>
    <definedName name="SIMPL_Tab.10_Cod.10025_Lin.0_Typ.Double_Extra.0">#REF!</definedName>
    <definedName name="SIMPL_Tab.10_Cod.10026_Lin.0_Typ.Double_Extra.0" localSheetId="22">'T15'!$E$25</definedName>
    <definedName name="SIMPL_Tab.10_Cod.10026_Lin.0_Typ.Double_Extra.0">#REF!</definedName>
    <definedName name="SIMPL_Tab.10_Cod.10027_Lin.0_Typ.Double_Extra.0" localSheetId="22">'T15'!$E$26</definedName>
    <definedName name="SIMPL_Tab.10_Cod.10027_Lin.0_Typ.Double_Extra.0">#REF!</definedName>
    <definedName name="SIMPL_Tab.10_Cod.10028_Lin.0_Typ.Double_Extra.0" localSheetId="22">'T15'!$E$18</definedName>
    <definedName name="SIMPL_Tab.10_Cod.10028_Lin.0_Typ.Double_Extra.0">#REF!</definedName>
    <definedName name="SIMPL_Tab.10_Cod.10029_Lin.0_Typ.Double_Extra.0" localSheetId="22">'T15'!$E$19</definedName>
    <definedName name="SIMPL_Tab.10_Cod.10029_Lin.0_Typ.Double_Extra.0">#REF!</definedName>
    <definedName name="SIMPL_Tab.10_Cod.10040_Lin.0_Typ.Double_Extra.0" localSheetId="22">'T15'!$C$18</definedName>
    <definedName name="SIMPL_Tab.10_Cod.10040_Lin.0_Typ.Double_Extra.0">#REF!</definedName>
    <definedName name="SIMPL_Tab.10_Cod.10041_Lin.0_Typ.Double_Extra.0" localSheetId="22">'T15'!$C$19</definedName>
    <definedName name="SIMPL_Tab.10_Cod.10041_Lin.0_Typ.Double_Extra.0">#REF!</definedName>
    <definedName name="SIMPL_Tab.10_Cod.10042_Lin.0_Typ.Double_Extra.0" localSheetId="22">'T15'!$D$18</definedName>
    <definedName name="SIMPL_Tab.10_Cod.10042_Lin.0_Typ.Double_Extra.0">#REF!</definedName>
    <definedName name="SIMPL_Tab.10_Cod.10043_Lin.0_Typ.Double_Extra.0" localSheetId="22">'T15'!$D$19</definedName>
    <definedName name="SIMPL_Tab.10_Cod.10043_Lin.0_Typ.Double_Extra.0">#REF!</definedName>
    <definedName name="SIMPL_Tab.10_Cod.873_Lin.0_Typ.Double_Extra.0" localSheetId="22">'T15'!$C$6</definedName>
    <definedName name="SIMPL_Tab.10_Cod.873_Lin.0_Typ.Double_Extra.0">#REF!</definedName>
    <definedName name="SIMPL_Tab.10_Cod.874_Lin.0_Typ.Double_Extra.0" localSheetId="22">'T15'!$D$6</definedName>
    <definedName name="SIMPL_Tab.10_Cod.874_Lin.0_Typ.Double_Extra.0">#REF!</definedName>
    <definedName name="SIMPL_Tab.10_Cod.875_Lin.0_Typ.Double_Extra.0" localSheetId="22">'T15'!$E$6</definedName>
    <definedName name="SIMPL_Tab.10_Cod.875_Lin.0_Typ.Double_Extra.0">#REF!</definedName>
    <definedName name="SIMPL_Tab.10_Cod.877_Lin.0_Typ.Double_Extra.0" localSheetId="22">'T15'!$C$7</definedName>
    <definedName name="SIMPL_Tab.10_Cod.877_Lin.0_Typ.Double_Extra.0">#REF!</definedName>
    <definedName name="SIMPL_Tab.10_Cod.878_Lin.0_Typ.Double_Extra.0" localSheetId="22">'T15'!$D$7</definedName>
    <definedName name="SIMPL_Tab.10_Cod.878_Lin.0_Typ.Double_Extra.0">#REF!</definedName>
    <definedName name="SIMPL_Tab.10_Cod.879_Lin.0_Typ.Double_Extra.0" localSheetId="22">'T15'!$E$7</definedName>
    <definedName name="SIMPL_Tab.10_Cod.879_Lin.0_Typ.Double_Extra.0">#REF!</definedName>
    <definedName name="SIMPL_Tab.10_Cod.881_Lin.0_Typ.Double_Extra.0" localSheetId="22">'T15'!$C$8</definedName>
    <definedName name="SIMPL_Tab.10_Cod.881_Lin.0_Typ.Double_Extra.0">#REF!</definedName>
    <definedName name="SIMPL_Tab.10_Cod.882_Lin.0_Typ.Double_Extra.0" localSheetId="22">'T15'!$D$8</definedName>
    <definedName name="SIMPL_Tab.10_Cod.882_Lin.0_Typ.Double_Extra.0">#REF!</definedName>
    <definedName name="SIMPL_Tab.10_Cod.883_Lin.0_Typ.Double_Extra.0" localSheetId="22">'T15'!$E$8</definedName>
    <definedName name="SIMPL_Tab.10_Cod.883_Lin.0_Typ.Double_Extra.0">#REF!</definedName>
    <definedName name="SIMPL_Tab.10_Cod.885_Lin.0_Typ.Double_Extra.0" localSheetId="22">'T15'!$C$10</definedName>
    <definedName name="SIMPL_Tab.10_Cod.885_Lin.0_Typ.Double_Extra.0">#REF!</definedName>
    <definedName name="SIMPL_Tab.10_Cod.886_Lin.0_Typ.Double_Extra.0" localSheetId="22">'T15'!$D$10</definedName>
    <definedName name="SIMPL_Tab.10_Cod.886_Lin.0_Typ.Double_Extra.0">#REF!</definedName>
    <definedName name="SIMPL_Tab.10_Cod.887_Lin.0_Typ.Double_Extra.0" localSheetId="22">'T15'!$E$10</definedName>
    <definedName name="SIMPL_Tab.10_Cod.887_Lin.0_Typ.Double_Extra.0">#REF!</definedName>
    <definedName name="SIMPL_Tab.10_Cod.893_Lin.0_Typ.Double_Extra.0" localSheetId="22">'T15'!$C$11</definedName>
    <definedName name="SIMPL_Tab.10_Cod.893_Lin.0_Typ.Double_Extra.0">#REF!</definedName>
    <definedName name="SIMPL_Tab.10_Cod.894_Lin.0_Typ.Double_Extra.0" localSheetId="22">'T15'!$D$11</definedName>
    <definedName name="SIMPL_Tab.10_Cod.894_Lin.0_Typ.Double_Extra.0">#REF!</definedName>
    <definedName name="SIMPL_Tab.10_Cod.895_Lin.0_Typ.Double_Extra.0" localSheetId="22">'T15'!$E$11</definedName>
    <definedName name="SIMPL_Tab.10_Cod.895_Lin.0_Typ.Double_Extra.0">#REF!</definedName>
    <definedName name="SIMPL_Tab.10_Cod.897_Lin.0_Typ.Double_Extra.0" localSheetId="22">'T15'!$C$12</definedName>
    <definedName name="SIMPL_Tab.10_Cod.897_Lin.0_Typ.Double_Extra.0">#REF!</definedName>
    <definedName name="SIMPL_Tab.10_Cod.898_Lin.0_Typ.Double_Extra.0" localSheetId="22">'T15'!$D$12</definedName>
    <definedName name="SIMPL_Tab.10_Cod.898_Lin.0_Typ.Double_Extra.0">#REF!</definedName>
    <definedName name="SIMPL_Tab.10_Cod.899_Lin.0_Typ.Double_Extra.0" localSheetId="22">'T15'!$E$12</definedName>
    <definedName name="SIMPL_Tab.10_Cod.899_Lin.0_Typ.Double_Extra.0">#REF!</definedName>
    <definedName name="SIMPL_Tab.10_Cod.901_Lin.0_Typ.Double_Extra.0" localSheetId="22">'T15'!$C$14</definedName>
    <definedName name="SIMPL_Tab.10_Cod.901_Lin.0_Typ.Double_Extra.0">#REF!</definedName>
    <definedName name="SIMPL_Tab.10_Cod.902_Lin.0_Typ.Double_Extra.0" localSheetId="22">'T15'!$D$14</definedName>
    <definedName name="SIMPL_Tab.10_Cod.902_Lin.0_Typ.Double_Extra.0">#REF!</definedName>
    <definedName name="SIMPL_Tab.10_Cod.903_Lin.0_Typ.Double_Extra.0" localSheetId="22">'T15'!$E$14</definedName>
    <definedName name="SIMPL_Tab.10_Cod.903_Lin.0_Typ.Double_Extra.0">#REF!</definedName>
    <definedName name="SIMPL_Tab.10_Cod.905_Lin.0_Typ.Double_Extra.0" localSheetId="22">'T15'!$C$15</definedName>
    <definedName name="SIMPL_Tab.10_Cod.905_Lin.0_Typ.Double_Extra.0">#REF!</definedName>
    <definedName name="SIMPL_Tab.10_Cod.906_Lin.0_Typ.Double_Extra.0" localSheetId="22">'T15'!$D$15</definedName>
    <definedName name="SIMPL_Tab.10_Cod.906_Lin.0_Typ.Double_Extra.0">#REF!</definedName>
    <definedName name="SIMPL_Tab.10_Cod.907_Lin.0_Typ.Double_Extra.0" localSheetId="22">'T15'!$E$15</definedName>
    <definedName name="SIMPL_Tab.10_Cod.907_Lin.0_Typ.Double_Extra.0">#REF!</definedName>
    <definedName name="SIMPL_Tab.10_Cod.909_Lin.0_Typ.Double_Extra.0" localSheetId="22">'T15'!$C$16</definedName>
    <definedName name="SIMPL_Tab.10_Cod.909_Lin.0_Typ.Double_Extra.0">#REF!</definedName>
    <definedName name="SIMPL_Tab.10_Cod.910_Lin.0_Typ.Double_Extra.0" localSheetId="22">'T15'!$D$16</definedName>
    <definedName name="SIMPL_Tab.10_Cod.910_Lin.0_Typ.Double_Extra.0">#REF!</definedName>
    <definedName name="SIMPL_Tab.10_Cod.911_Lin.0_Typ.Double_Extra.0" localSheetId="22">'T15'!$E$16</definedName>
    <definedName name="SIMPL_Tab.10_Cod.911_Lin.0_Typ.Double_Extra.0">#REF!</definedName>
    <definedName name="SIMPL_Tab.10_Cod.921_Lin.0_Typ.Double_Extra.0" localSheetId="22">'T15'!$C$20</definedName>
    <definedName name="SIMPL_Tab.10_Cod.921_Lin.0_Typ.Double_Extra.0">#REF!</definedName>
    <definedName name="SIMPL_Tab.10_Cod.922_Lin.0_Typ.Double_Extra.0" localSheetId="22">'T15'!$D$20</definedName>
    <definedName name="SIMPL_Tab.10_Cod.922_Lin.0_Typ.Double_Extra.0">#REF!</definedName>
    <definedName name="SIMPL_Tab.10_Cod.923_Lin.0_Typ.Double_Extra.0" localSheetId="22">'T15'!$E$20</definedName>
    <definedName name="SIMPL_Tab.10_Cod.923_Lin.0_Typ.Double_Extra.0">#REF!</definedName>
    <definedName name="SIMPL_Tab.10_Cod.925_Lin.0_Typ.Double_Extra.0" localSheetId="22">'T15'!$C$21</definedName>
    <definedName name="SIMPL_Tab.10_Cod.925_Lin.0_Typ.Double_Extra.0">#REF!</definedName>
    <definedName name="SIMPL_Tab.10_Cod.926_Lin.0_Typ.Double_Extra.0" localSheetId="22">'T15'!$D$21</definedName>
    <definedName name="SIMPL_Tab.10_Cod.926_Lin.0_Typ.Double_Extra.0">#REF!</definedName>
    <definedName name="SIMPL_Tab.10_Cod.927_Lin.0_Typ.Double_Extra.0" localSheetId="22">'T15'!$E$21</definedName>
    <definedName name="SIMPL_Tab.10_Cod.927_Lin.0_Typ.Double_Extra.0">#REF!</definedName>
    <definedName name="SIMPL_Tab.10_Cod.929_Lin.0_Typ.Double_Extra.0" localSheetId="22">'T15'!$C$22</definedName>
    <definedName name="SIMPL_Tab.10_Cod.929_Lin.0_Typ.Double_Extra.0">#REF!</definedName>
    <definedName name="SIMPL_Tab.10_Cod.930_Lin.0_Typ.Double_Extra.0" localSheetId="22">'T15'!$D$22</definedName>
    <definedName name="SIMPL_Tab.10_Cod.930_Lin.0_Typ.Double_Extra.0">#REF!</definedName>
    <definedName name="SIMPL_Tab.10_Cod.931_Lin.0_Typ.Double_Extra.0" localSheetId="22">'T15'!$E$22</definedName>
    <definedName name="SIMPL_Tab.10_Cod.931_Lin.0_Typ.Double_Extra.0">#REF!</definedName>
    <definedName name="SIMPL_Tab.10_Cod.933_Lin.0_Typ.Double_Extra.0" localSheetId="22">'T15'!$C$23</definedName>
    <definedName name="SIMPL_Tab.10_Cod.933_Lin.0_Typ.Double_Extra.0">#REF!</definedName>
    <definedName name="SIMPL_Tab.10_Cod.934_Lin.0_Typ.Double_Extra.0" localSheetId="22">'T15'!$D$23</definedName>
    <definedName name="SIMPL_Tab.10_Cod.934_Lin.0_Typ.Double_Extra.0">#REF!</definedName>
    <definedName name="SIMPL_Tab.10_Cod.935_Lin.0_Typ.Double_Extra.0" localSheetId="22">'T15'!$E$23</definedName>
    <definedName name="SIMPL_Tab.10_Cod.935_Lin.0_Typ.Double_Extra.0">#REF!</definedName>
    <definedName name="SIMPL_Tab.10_Cod.937_Lin.0_Typ.Double_Extra.0" localSheetId="22">'T15'!$C$24</definedName>
    <definedName name="SIMPL_Tab.10_Cod.937_Lin.0_Typ.Double_Extra.0">#REF!</definedName>
    <definedName name="SIMPL_Tab.10_Cod.938_Lin.0_Typ.Double_Extra.0" localSheetId="22">'T15'!$D$24</definedName>
    <definedName name="SIMPL_Tab.10_Cod.938_Lin.0_Typ.Double_Extra.0">#REF!</definedName>
    <definedName name="SIMPL_Tab.10_Cod.939_Lin.0_Typ.Double_Extra.0" localSheetId="22">'T15'!$E$24</definedName>
    <definedName name="SIMPL_Tab.10_Cod.939_Lin.0_Typ.Double_Extra.0">#REF!</definedName>
    <definedName name="SIMPL_Tab.10_Cod.949_Lin.0_Typ.Double_Extra.0" localSheetId="22">'T15'!$C$27</definedName>
    <definedName name="SIMPL_Tab.10_Cod.949_Lin.0_Typ.Double_Extra.0">#REF!</definedName>
    <definedName name="SIMPL_Tab.10_Cod.950_Lin.0_Typ.Double_Extra.0" localSheetId="22">'T15'!$D$27</definedName>
    <definedName name="SIMPL_Tab.10_Cod.950_Lin.0_Typ.Double_Extra.0">#REF!</definedName>
    <definedName name="SIMPL_Tab.10_Cod.951_Lin.0_Typ.Double_Extra.0" localSheetId="22">'T15'!$E$27</definedName>
    <definedName name="SIMPL_Tab.10_Cod.951_Lin.0_Typ.Double_Extra.0">#REF!</definedName>
    <definedName name="SIMPL_Tab.11_Cod.1000_Lin.0_Typ.Double_Extra.0">'T04'!$D$16</definedName>
    <definedName name="SIMPL_Tab.11_Cod.1001_Lin.0_Typ.Double_Extra.0">'T04'!$D$18</definedName>
    <definedName name="SIMPL_Tab.11_Cod.1002_Lin.0_Typ.Double_Extra.0">'T04'!$D$19</definedName>
    <definedName name="SIMPL_Tab.11_Cod.1003_Lin.0_Typ.Double_Extra.0">'T04'!$D$20</definedName>
    <definedName name="SIMPL_Tab.11_Cod.1004_Lin.0_Typ.Double_Extra.0">'T04'!$D$21</definedName>
    <definedName name="SIMPL_Tab.11_Cod.1005_Lin.0_Typ.Double_Extra.0">'T04'!$D$24</definedName>
    <definedName name="SIMPL_Tab.11_Cod.1006_Lin.0_Typ.Double_Extra.0">'T04'!$D$22</definedName>
    <definedName name="SIMPL_Tab.11_Cod.10064_Lin.0_Typ.Double_Extra.0">'T04'!$B$5</definedName>
    <definedName name="SIMPL_Tab.11_Cod.10065_Lin.0_Typ.Double_Extra.0">'T04'!$C$5</definedName>
    <definedName name="SIMPL_Tab.11_Cod.10066_Lin.0_Typ.Double_Extra.0">'T04'!$D$5</definedName>
    <definedName name="SIMPL_Tab.11_Cod.10067_Lin.0_Typ.Double_Extra.0">'T04'!$E$5</definedName>
    <definedName name="SIMPL_Tab.11_Cod.10068_Lin.0_Typ.Double_Extra.0">'T04'!$F$5</definedName>
    <definedName name="SIMPL_Tab.11_Cod.10069_Lin.0_Typ.Double_Extra.0">'T04'!$G$5</definedName>
    <definedName name="SIMPL_Tab.11_Cod.1007_Lin.0_Typ.Double_Extra.0">'T04'!$D$23</definedName>
    <definedName name="SIMPL_Tab.11_Cod.10070_Lin.0_Typ.Double_Extra.0">'T04'!$H$5</definedName>
    <definedName name="SIMPL_Tab.11_Cod.10071_Lin.0_Typ.Double_Extra.0">'T04'!$I$5</definedName>
    <definedName name="SIMPL_Tab.11_Cod.10073_Lin.0_Typ.Double_Extra.0">'T04'!$B$12</definedName>
    <definedName name="SIMPL_Tab.11_Cod.10074_Lin.0_Typ.Double_Extra.0">'T04'!$C$12</definedName>
    <definedName name="SIMPL_Tab.11_Cod.10075_Lin.0_Typ.Double_Extra.0">'T04'!$D$12</definedName>
    <definedName name="SIMPL_Tab.11_Cod.10076_Lin.0_Typ.Double_Extra.0">'T04'!$E$12</definedName>
    <definedName name="SIMPL_Tab.11_Cod.10077_Lin.0_Typ.Double_Extra.0">'T04'!$F$12</definedName>
    <definedName name="SIMPL_Tab.11_Cod.10078_Lin.0_Typ.Double_Extra.0">'T04'!$G$12</definedName>
    <definedName name="SIMPL_Tab.11_Cod.10079_Lin.0_Typ.Double_Extra.0">'T04'!$H$12</definedName>
    <definedName name="SIMPL_Tab.11_Cod.1008_Lin.0_Typ.Double_Extra.0">'T04'!$E$6</definedName>
    <definedName name="SIMPL_Tab.11_Cod.10080_Lin.0_Typ.Double_Extra.0">'T04'!$I$12</definedName>
    <definedName name="SIMPL_Tab.11_Cod.10082_Lin.0_Typ.Double_Extra.0">'T04'!$B$17</definedName>
    <definedName name="SIMPL_Tab.11_Cod.10083_Lin.0_Typ.Double_Extra.0">'T04'!$C$17</definedName>
    <definedName name="SIMPL_Tab.11_Cod.10084_Lin.0_Typ.Double_Extra.0">'T04'!$D$17</definedName>
    <definedName name="SIMPL_Tab.11_Cod.10085_Lin.0_Typ.Double_Extra.0">'T04'!$E$17</definedName>
    <definedName name="SIMPL_Tab.11_Cod.10086_Lin.0_Typ.Double_Extra.0">'T04'!$F$17</definedName>
    <definedName name="SIMPL_Tab.11_Cod.10087_Lin.0_Typ.Double_Extra.0">'T04'!$G$17</definedName>
    <definedName name="SIMPL_Tab.11_Cod.10088_Lin.0_Typ.Double_Extra.0">'T04'!$H$17</definedName>
    <definedName name="SIMPL_Tab.11_Cod.10089_Lin.0_Typ.Double_Extra.0">'T04'!$I$17</definedName>
    <definedName name="SIMPL_Tab.11_Cod.1009_Lin.0_Typ.Double_Extra.0">'T04'!$E$7</definedName>
    <definedName name="SIMPL_Tab.11_Cod.1010_Lin.0_Typ.Double_Extra.0">'T04'!$E$8</definedName>
    <definedName name="SIMPL_Tab.11_Cod.1011_Lin.0_Typ.Double_Extra.0">'T04'!$E$13</definedName>
    <definedName name="SIMPL_Tab.11_Cod.1012_Lin.0_Typ.Double_Extra.0">'T04'!$E$14</definedName>
    <definedName name="SIMPL_Tab.11_Cod.1013_Lin.0_Typ.Double_Extra.0">'T04'!$E$15</definedName>
    <definedName name="SIMPL_Tab.11_Cod.1014_Lin.0_Typ.Double_Extra.0">'T04'!$E$16</definedName>
    <definedName name="SIMPL_Tab.11_Cod.1015_Lin.0_Typ.Double_Extra.0">'T04'!$E$18</definedName>
    <definedName name="SIMPL_Tab.11_Cod.1016_Lin.0_Typ.Double_Extra.0">'T04'!$E$19</definedName>
    <definedName name="SIMPL_Tab.11_Cod.1017_Lin.0_Typ.Double_Extra.0">'T04'!$E$20</definedName>
    <definedName name="SIMPL_Tab.11_Cod.1018_Lin.0_Typ.Double_Extra.0">'T04'!$E$21</definedName>
    <definedName name="SIMPL_Tab.11_Cod.1019_Lin.0_Typ.Double_Extra.0">'T04'!$E$24</definedName>
    <definedName name="SIMPL_Tab.11_Cod.1020_Lin.0_Typ.Double_Extra.0">'T04'!$E$22</definedName>
    <definedName name="SIMPL_Tab.11_Cod.1021_Lin.0_Typ.Double_Extra.0">'T04'!$E$23</definedName>
    <definedName name="SIMPL_Tab.11_Cod.1022_Lin.0_Typ.Double_Extra.0">'T04'!$F$6</definedName>
    <definedName name="SIMPL_Tab.11_Cod.1023_Lin.0_Typ.Double_Extra.0">'T04'!$F$7</definedName>
    <definedName name="SIMPL_Tab.11_Cod.1024_Lin.0_Typ.Double_Extra.0">'T04'!$F$8</definedName>
    <definedName name="SIMPL_Tab.11_Cod.1025_Lin.0_Typ.Double_Extra.0">'T04'!$F$13</definedName>
    <definedName name="SIMPL_Tab.11_Cod.1026_Lin.0_Typ.Double_Extra.0">'T04'!$F$14</definedName>
    <definedName name="SIMPL_Tab.11_Cod.1027_Lin.0_Typ.Double_Extra.0">'T04'!$F$15</definedName>
    <definedName name="SIMPL_Tab.11_Cod.1028_Lin.0_Typ.Double_Extra.0">'T04'!$F$16</definedName>
    <definedName name="SIMPL_Tab.11_Cod.1029_Lin.0_Typ.Double_Extra.0">'T04'!$F$18</definedName>
    <definedName name="SIMPL_Tab.11_Cod.1030_Lin.0_Typ.Double_Extra.0">'T04'!$F$19</definedName>
    <definedName name="SIMPL_Tab.11_Cod.1031_Lin.0_Typ.Double_Extra.0">'T04'!$F$20</definedName>
    <definedName name="SIMPL_Tab.11_Cod.1032_Lin.0_Typ.Double_Extra.0">'T04'!$F$21</definedName>
    <definedName name="SIMPL_Tab.11_Cod.1033_Lin.0_Typ.Double_Extra.0">'T04'!$F$24</definedName>
    <definedName name="SIMPL_Tab.11_Cod.1034_Lin.0_Typ.Double_Extra.0">'T04'!$F$22</definedName>
    <definedName name="SIMPL_Tab.11_Cod.1035_Lin.0_Typ.Double_Extra.0">'T04'!$F$23</definedName>
    <definedName name="SIMPL_Tab.11_Cod.1036_Lin.0_Typ.Double_Extra.0">'T04'!$G$6</definedName>
    <definedName name="SIMPL_Tab.11_Cod.1037_Lin.0_Typ.Double_Extra.0">'T04'!$G$7</definedName>
    <definedName name="SIMPL_Tab.11_Cod.1038_Lin.0_Typ.Double_Extra.0">'T04'!$G$8</definedName>
    <definedName name="SIMPL_Tab.11_Cod.1039_Lin.0_Typ.Double_Extra.0">'T04'!$G$13</definedName>
    <definedName name="SIMPL_Tab.11_Cod.1040_Lin.0_Typ.Double_Extra.0">'T04'!$G$14</definedName>
    <definedName name="SIMPL_Tab.11_Cod.1041_Lin.0_Typ.Double_Extra.0">'T04'!$G$15</definedName>
    <definedName name="SIMPL_Tab.11_Cod.1042_Lin.0_Typ.Double_Extra.0">'T04'!$G$16</definedName>
    <definedName name="SIMPL_Tab.11_Cod.1043_Lin.0_Typ.Double_Extra.0">'T04'!$G$18</definedName>
    <definedName name="SIMPL_Tab.11_Cod.1044_Lin.0_Typ.Double_Extra.0">'T04'!$G$19</definedName>
    <definedName name="SIMPL_Tab.11_Cod.1045_Lin.0_Typ.Double_Extra.0">'T04'!$G$20</definedName>
    <definedName name="SIMPL_Tab.11_Cod.1046_Lin.0_Typ.Double_Extra.0">'T04'!$G$21</definedName>
    <definedName name="SIMPL_Tab.11_Cod.1047_Lin.0_Typ.Double_Extra.0">'T04'!$G$24</definedName>
    <definedName name="SIMPL_Tab.11_Cod.1048_Lin.0_Typ.Double_Extra.0">'T04'!$G$22</definedName>
    <definedName name="SIMPL_Tab.11_Cod.1049_Lin.0_Typ.Double_Extra.0">'T04'!$G$23</definedName>
    <definedName name="SIMPL_Tab.11_Cod.1050_Lin.0_Typ.Double_Extra.0">'T04'!$H$6</definedName>
    <definedName name="SIMPL_Tab.11_Cod.1051_Lin.0_Typ.Double_Extra.0">'T04'!$H$7</definedName>
    <definedName name="SIMPL_Tab.11_Cod.1052_Lin.0_Typ.Double_Extra.0">'T04'!$H$8</definedName>
    <definedName name="SIMPL_Tab.11_Cod.1053_Lin.0_Typ.Double_Extra.0">'T04'!$H$13</definedName>
    <definedName name="SIMPL_Tab.11_Cod.1054_Lin.0_Typ.Double_Extra.0">'T04'!$H$14</definedName>
    <definedName name="SIMPL_Tab.11_Cod.1055_Lin.0_Typ.Double_Extra.0">'T04'!$H$15</definedName>
    <definedName name="SIMPL_Tab.11_Cod.1056_Lin.0_Typ.Double_Extra.0">'T04'!$H$16</definedName>
    <definedName name="SIMPL_Tab.11_Cod.1057_Lin.0_Typ.Double_Extra.0">'T04'!$H$18</definedName>
    <definedName name="SIMPL_Tab.11_Cod.1058_Lin.0_Typ.Double_Extra.0">'T04'!$H$19</definedName>
    <definedName name="SIMPL_Tab.11_Cod.1059_Lin.0_Typ.Double_Extra.0">'T04'!$H$20</definedName>
    <definedName name="SIMPL_Tab.11_Cod.1060_Lin.0_Typ.Double_Extra.0">'T04'!$H$21</definedName>
    <definedName name="SIMPL_Tab.11_Cod.1061_Lin.0_Typ.Double_Extra.0">'T04'!$H$24</definedName>
    <definedName name="SIMPL_Tab.11_Cod.1062_Lin.0_Typ.Double_Extra.0">'T04'!$H$22</definedName>
    <definedName name="SIMPL_Tab.11_Cod.1063_Lin.0_Typ.Double_Extra.0">'T04'!$H$23</definedName>
    <definedName name="SIMPL_Tab.11_Cod.1064_Lin.0_Typ.Double_Extra.0">'T04'!$I$6</definedName>
    <definedName name="SIMPL_Tab.11_Cod.1065_Lin.0_Typ.Double_Extra.0">'T04'!$I$7</definedName>
    <definedName name="SIMPL_Tab.11_Cod.1066_Lin.0_Typ.Double_Extra.0">'T04'!$I$8</definedName>
    <definedName name="SIMPL_Tab.11_Cod.1067_Lin.0_Typ.Double_Extra.0">'T04'!$I$13</definedName>
    <definedName name="SIMPL_Tab.11_Cod.1068_Lin.0_Typ.Double_Extra.0">'T04'!$I$14</definedName>
    <definedName name="SIMPL_Tab.11_Cod.1069_Lin.0_Typ.Double_Extra.0">'T04'!$I$15</definedName>
    <definedName name="SIMPL_Tab.11_Cod.1070_Lin.0_Typ.Double_Extra.0">'T04'!$I$16</definedName>
    <definedName name="SIMPL_Tab.11_Cod.1071_Lin.0_Typ.Double_Extra.0">'T04'!$I$18</definedName>
    <definedName name="SIMPL_Tab.11_Cod.1072_Lin.0_Typ.Double_Extra.0">'T04'!$I$19</definedName>
    <definedName name="SIMPL_Tab.11_Cod.1073_Lin.0_Typ.Double_Extra.0">'T04'!$I$20</definedName>
    <definedName name="SIMPL_Tab.11_Cod.1074_Lin.0_Typ.Double_Extra.0">'T04'!$I$21</definedName>
    <definedName name="SIMPL_Tab.11_Cod.1075_Lin.0_Typ.Double_Extra.0">'T04'!$I$24</definedName>
    <definedName name="SIMPL_Tab.11_Cod.1076_Lin.0_Typ.Double_Extra.0">'T04'!$I$22</definedName>
    <definedName name="SIMPL_Tab.11_Cod.1077_Lin.0_Typ.Double_Extra.0">'T04'!$I$23</definedName>
    <definedName name="SIMPL_Tab.11_Cod.13505_Lin.1_Typ.Texte_Extra.0">'T04'!$A$9</definedName>
    <definedName name="SIMPL_Tab.11_Cod.13505_Lin.2_Typ.Texte_Extra.0">'T04'!$A$10</definedName>
    <definedName name="SIMPL_Tab.11_Cod.13505_Lin.3_Typ.Texte_Extra.0">'T04'!$A$11</definedName>
    <definedName name="SIMPL_Tab.11_Cod.13506_Lin.1_Typ.Double_Extra.0">'T04'!$B$9</definedName>
    <definedName name="SIMPL_Tab.11_Cod.13506_Lin.2_Typ.Double_Extra.0">'T04'!$B$10</definedName>
    <definedName name="SIMPL_Tab.11_Cod.13506_Lin.3_Typ.Double_Extra.0">'T04'!$B$11</definedName>
    <definedName name="SIMPL_Tab.11_Cod.13507_Lin.1_Typ.Double_Extra.0">'T04'!$C$9</definedName>
    <definedName name="SIMPL_Tab.11_Cod.13507_Lin.2_Typ.Double_Extra.0">'T04'!$C$10</definedName>
    <definedName name="SIMPL_Tab.11_Cod.13507_Lin.3_Typ.Double_Extra.0">'T04'!$C$11</definedName>
    <definedName name="SIMPL_Tab.11_Cod.13508_Lin.1_Typ.Double_Extra.0">'T04'!$D$9</definedName>
    <definedName name="SIMPL_Tab.11_Cod.13508_Lin.2_Typ.Double_Extra.0">'T04'!$D$10</definedName>
    <definedName name="SIMPL_Tab.11_Cod.13508_Lin.3_Typ.Double_Extra.0">'T04'!$D$11</definedName>
    <definedName name="SIMPL_Tab.11_Cod.13509_Lin.1_Typ.Double_Extra.0">'T04'!$E$9</definedName>
    <definedName name="SIMPL_Tab.11_Cod.13509_Lin.2_Typ.Double_Extra.0">'T04'!$E$10</definedName>
    <definedName name="SIMPL_Tab.11_Cod.13509_Lin.3_Typ.Double_Extra.0">'T04'!$E$11</definedName>
    <definedName name="SIMPL_Tab.11_Cod.13510_Lin.1_Typ.Double_Extra.0">'T04'!$F$9</definedName>
    <definedName name="SIMPL_Tab.11_Cod.13510_Lin.2_Typ.Double_Extra.0">'T04'!$F$10</definedName>
    <definedName name="SIMPL_Tab.11_Cod.13510_Lin.3_Typ.Double_Extra.0">'T04'!$F$11</definedName>
    <definedName name="SIMPL_Tab.11_Cod.13511_Lin.1_Typ.Double_Extra.0">'T04'!$G$9</definedName>
    <definedName name="SIMPL_Tab.11_Cod.13511_Lin.2_Typ.Double_Extra.0">'T04'!$G$10</definedName>
    <definedName name="SIMPL_Tab.11_Cod.13511_Lin.3_Typ.Double_Extra.0">'T04'!$G$11</definedName>
    <definedName name="SIMPL_Tab.11_Cod.13512_Lin.1_Typ.Double_Extra.0">'T04'!$H$9</definedName>
    <definedName name="SIMPL_Tab.11_Cod.13512_Lin.2_Typ.Double_Extra.0">'T04'!$H$10</definedName>
    <definedName name="SIMPL_Tab.11_Cod.13512_Lin.3_Typ.Double_Extra.0">'T04'!$H$11</definedName>
    <definedName name="SIMPL_Tab.11_Cod.13513_Lin.1_Typ.Double_Extra.0">'T04'!$I$9</definedName>
    <definedName name="SIMPL_Tab.11_Cod.13513_Lin.2_Typ.Double_Extra.0">'T04'!$I$10</definedName>
    <definedName name="SIMPL_Tab.11_Cod.13513_Lin.3_Typ.Double_Extra.0">'T04'!$I$11</definedName>
    <definedName name="SIMPL_Tab.11_Cod.14045_Lin.0_Typ.Double_Extra.0">'T04'!$B$25</definedName>
    <definedName name="SIMPL_Tab.11_Cod.14046_Lin.0_Typ.Double_Extra.0">'T04'!$C$25</definedName>
    <definedName name="SIMPL_Tab.11_Cod.14047_Lin.0_Typ.Double_Extra.0">'T04'!$D$25</definedName>
    <definedName name="SIMPL_Tab.11_Cod.14048_Lin.0_Typ.Double_Extra.0">'T04'!$E$25</definedName>
    <definedName name="SIMPL_Tab.11_Cod.14049_Lin.0_Typ.Double_Extra.0">'T04'!$F$25</definedName>
    <definedName name="SIMPL_Tab.11_Cod.14050_Lin.0_Typ.Double_Extra.0">'T04'!$G$25</definedName>
    <definedName name="SIMPL_Tab.11_Cod.14051_Lin.0_Typ.Double_Extra.0">'T04'!$H$25</definedName>
    <definedName name="SIMPL_Tab.11_Cod.14052_Lin.0_Typ.Double_Extra.0">'T04'!$I$25</definedName>
    <definedName name="SIMPL_Tab.11_Cod.966_Lin.0_Typ.Double_Extra.0">'T04'!$B$6</definedName>
    <definedName name="SIMPL_Tab.11_Cod.967_Lin.0_Typ.Double_Extra.0">'T04'!$B$7</definedName>
    <definedName name="SIMPL_Tab.11_Cod.968_Lin.0_Typ.Double_Extra.0">'T04'!$B$8</definedName>
    <definedName name="SIMPL_Tab.11_Cod.969_Lin.0_Typ.Double_Extra.0">'T04'!$B$13</definedName>
    <definedName name="SIMPL_Tab.11_Cod.970_Lin.0_Typ.Double_Extra.0">'T04'!$B$14</definedName>
    <definedName name="SIMPL_Tab.11_Cod.971_Lin.0_Typ.Double_Extra.0">'T04'!$B$15</definedName>
    <definedName name="SIMPL_Tab.11_Cod.972_Lin.0_Typ.Double_Extra.0">'T04'!$B$16</definedName>
    <definedName name="SIMPL_Tab.11_Cod.973_Lin.0_Typ.Double_Extra.0">'T04'!$B$18</definedName>
    <definedName name="SIMPL_Tab.11_Cod.974_Lin.0_Typ.Double_Extra.0">'T04'!$B$19</definedName>
    <definedName name="SIMPL_Tab.11_Cod.975_Lin.0_Typ.Double_Extra.0">'T04'!$B$20</definedName>
    <definedName name="SIMPL_Tab.11_Cod.976_Lin.0_Typ.Double_Extra.0">'T04'!$B$21</definedName>
    <definedName name="SIMPL_Tab.11_Cod.977_Lin.0_Typ.Double_Extra.0">'T04'!$B$24</definedName>
    <definedName name="SIMPL_Tab.11_Cod.978_Lin.0_Typ.Double_Extra.0">'T04'!$B$22</definedName>
    <definedName name="SIMPL_Tab.11_Cod.979_Lin.0_Typ.Double_Extra.0">'T04'!$B$23</definedName>
    <definedName name="SIMPL_Tab.11_Cod.980_Lin.0_Typ.Double_Extra.0">'T04'!$C$6</definedName>
    <definedName name="SIMPL_Tab.11_Cod.981_Lin.0_Typ.Double_Extra.0">'T04'!$C$7</definedName>
    <definedName name="SIMPL_Tab.11_Cod.982_Lin.0_Typ.Double_Extra.0">'T04'!$C$8</definedName>
    <definedName name="SIMPL_Tab.11_Cod.983_Lin.0_Typ.Double_Extra.0">'T04'!$C$13</definedName>
    <definedName name="SIMPL_Tab.11_Cod.984_Lin.0_Typ.Double_Extra.0">'T04'!$C$14</definedName>
    <definedName name="SIMPL_Tab.11_Cod.985_Lin.0_Typ.Double_Extra.0">'T04'!$C$15</definedName>
    <definedName name="SIMPL_Tab.11_Cod.986_Lin.0_Typ.Double_Extra.0">'T04'!$C$16</definedName>
    <definedName name="SIMPL_Tab.11_Cod.987_Lin.0_Typ.Double_Extra.0">'T04'!$C$18</definedName>
    <definedName name="SIMPL_Tab.11_Cod.988_Lin.0_Typ.Double_Extra.0">'T04'!$C$19</definedName>
    <definedName name="SIMPL_Tab.11_Cod.989_Lin.0_Typ.Double_Extra.0">'T04'!$C$20</definedName>
    <definedName name="SIMPL_Tab.11_Cod.990_Lin.0_Typ.Double_Extra.0">'T04'!$C$21</definedName>
    <definedName name="SIMPL_Tab.11_Cod.991_Lin.0_Typ.Double_Extra.0">'T04'!$C$24</definedName>
    <definedName name="SIMPL_Tab.11_Cod.992_Lin.0_Typ.Double_Extra.0">'T04'!$C$22</definedName>
    <definedName name="SIMPL_Tab.11_Cod.993_Lin.0_Typ.Double_Extra.0">'T04'!$C$23</definedName>
    <definedName name="SIMPL_Tab.11_Cod.994_Lin.0_Typ.Double_Extra.0">'T04'!$D$6</definedName>
    <definedName name="SIMPL_Tab.11_Cod.995_Lin.0_Typ.Double_Extra.0">'T04'!$D$7</definedName>
    <definedName name="SIMPL_Tab.11_Cod.996_Lin.0_Typ.Double_Extra.0">'T04'!$D$8</definedName>
    <definedName name="SIMPL_Tab.11_Cod.997_Lin.0_Typ.Double_Extra.0">'T04'!$D$13</definedName>
    <definedName name="SIMPL_Tab.11_Cod.998_Lin.0_Typ.Double_Extra.0">'T04'!$D$14</definedName>
    <definedName name="SIMPL_Tab.11_Cod.999_Lin.0_Typ.Double_Extra.0">'T04'!$D$15</definedName>
    <definedName name="SIMPL_Tab.12_Cod.1088_Lin.0_Typ.Double_Extra.0" localSheetId="22">#REF!</definedName>
    <definedName name="SIMPL_Tab.12_Cod.1088_Lin.0_Typ.Double_Extra.0">'T16'!$C$26</definedName>
    <definedName name="SIMPL_Tab.12_Cod.1089_Lin.0_Typ.Double_Extra.0">'T16'!$D$26</definedName>
    <definedName name="SIMPL_Tab.12_Cod.1090_Lin.0_Typ.Double_Extra.0">'T16'!$E$26</definedName>
    <definedName name="SIMPL_Tab.12_Cod.1093_Lin.0_Typ.Double_Extra.0">'T16'!$H$26</definedName>
    <definedName name="SIMPL_Tab.12_Cod.1094_Lin.0_Typ.Double_Extra.0">'T16'!$I$26</definedName>
    <definedName name="SIMPL_Tab.12_Cod.22_Lin.0_Typ.Double_Extra.1">Complements!$B$66</definedName>
    <definedName name="SIMPL_Tab.12_Cod.50_Lin.0_Typ.Date_Extra.1">Complements!$B$67</definedName>
    <definedName name="SIMPL_Tab.12_Cod.51_Lin.0_Typ.Date_Extra.1">Complements!$B$68</definedName>
    <definedName name="SIMPL_Tab.12_Cod.52_Lin.0_Typ.Date_Extra.1">Complements!$B$69</definedName>
    <definedName name="SIMPL_Tab.2_Cod.122_Lin.0_Typ.Double_Extra.0">'T01'!$C$38</definedName>
    <definedName name="SIMPL_Tab.2_Cod.123_Lin.0_Typ.Double_Extra.0">'T01'!$C$39</definedName>
    <definedName name="SIMPL_Tab.2_Cod.124_Lin.0_Typ.Double_Extra.0">'T01'!$C$40</definedName>
    <definedName name="SIMPL_Tab.2_Cod.125_Lin.0_Typ.Double_Extra.0">'T01'!$C$41</definedName>
    <definedName name="SIMPL_Tab.2_Cod.126_Lin.0_Typ.Double_Extra.0">'T01'!$C$42</definedName>
    <definedName name="SIMPL_Tab.2_Cod.127_Lin.0_Typ.Double_Extra.0">'T01'!$C$43</definedName>
    <definedName name="SIMPL_Tab.2_Cod.128_Lin.0_Typ.Double_Extra.0">'T01'!$C$44</definedName>
    <definedName name="SIMPL_Tab.2_Cod.129_Lin.0_Typ.Double_Extra.0">'T01'!$D$38</definedName>
    <definedName name="SIMPL_Tab.2_Cod.130_Lin.0_Typ.Double_Extra.0">'T01'!$D$39</definedName>
    <definedName name="SIMPL_Tab.2_Cod.131_Lin.0_Typ.Double_Extra.0">'T01'!$D$40</definedName>
    <definedName name="SIMPL_Tab.2_Cod.132_Lin.0_Typ.Double_Extra.0">'T01'!$D$41</definedName>
    <definedName name="SIMPL_Tab.2_Cod.133_Lin.0_Typ.Double_Extra.0">'T01'!$D$42</definedName>
    <definedName name="SIMPL_Tab.2_Cod.134_Lin.0_Typ.Double_Extra.0">'T01'!$D$43</definedName>
    <definedName name="SIMPL_Tab.2_Cod.135_Lin.0_Typ.Double_Extra.0">'T01'!$D$44</definedName>
    <definedName name="SIMPL_Tab.2_Cod.136_Lin.0_Typ.Double_Extra.0">'T01'!$E$38</definedName>
    <definedName name="SIMPL_Tab.2_Cod.137_Lin.0_Typ.Double_Extra.0">'T01'!$E$39</definedName>
    <definedName name="SIMPL_Tab.2_Cod.138_Lin.0_Typ.Double_Extra.0">'T01'!$E$40</definedName>
    <definedName name="SIMPL_Tab.2_Cod.139_Lin.0_Typ.Double_Extra.0">'T01'!$E$41</definedName>
    <definedName name="SIMPL_Tab.2_Cod.140_Lin.0_Typ.Double_Extra.0">'T01'!$E$42</definedName>
    <definedName name="SIMPL_Tab.2_Cod.141_Lin.0_Typ.Double_Extra.0">'T01'!$E$43</definedName>
    <definedName name="SIMPL_Tab.2_Cod.142_Lin.0_Typ.Double_Extra.0">'T01'!$E$44</definedName>
    <definedName name="SIMPL_Tab.2_Cod.143_Lin.0_Typ.Double_Extra.0">'T01'!$F$38</definedName>
    <definedName name="SIMPL_Tab.2_Cod.144_Lin.0_Typ.Double_Extra.0">'T01'!$F$39</definedName>
    <definedName name="SIMPL_Tab.2_Cod.145_Lin.0_Typ.Double_Extra.0">'T01'!$F$40</definedName>
    <definedName name="SIMPL_Tab.2_Cod.146_Lin.0_Typ.Double_Extra.0">'T01'!$F$41</definedName>
    <definedName name="SIMPL_Tab.2_Cod.147_Lin.0_Typ.Double_Extra.0">'T01'!$F$42</definedName>
    <definedName name="SIMPL_Tab.2_Cod.148_Lin.0_Typ.Double_Extra.0">'T01'!$F$43</definedName>
    <definedName name="SIMPL_Tab.2_Cod.149_Lin.0_Typ.Double_Extra.0">'T01'!$F$44</definedName>
    <definedName name="SIMPL_Tab.2_Cod.151_Lin.0_Typ.Double_Extra.0">'T01'!$C$46</definedName>
    <definedName name="SIMPL_Tab.2_Cod.152_Lin.0_Typ.Double_Extra.0">'T01'!$D$46</definedName>
    <definedName name="SIMPL_Tab.2_Cod.153_Lin.0_Typ.Double_Extra.0">'T01'!$E$46</definedName>
    <definedName name="SIMPL_Tab.2_Cod.154_Lin.0_Typ.Double_Extra.0">'T01'!$F$46</definedName>
    <definedName name="SIMPL_Tab.2_Cod.160_Lin.0_Typ.Double_Extra.0">'T01'!$C$32</definedName>
    <definedName name="SIMPL_Tab.2_Cod.161_Lin.0_Typ.Double_Extra.0">'T01'!$C$33</definedName>
    <definedName name="SIMPL_Tab.2_Cod.162_Lin.0_Typ.Double_Extra.0">'T01'!$C$34</definedName>
    <definedName name="SIMPL_Tab.2_Cod.163_Lin.0_Typ.Double_Extra.0">'T01'!$C$35</definedName>
    <definedName name="SIMPL_Tab.2_Cod.164_Lin.0_Typ.Double_Extra.0">'T01'!$C$36</definedName>
    <definedName name="SIMPL_Tab.2_Cod.165_Lin.0_Typ.Double_Extra.0">'T01'!$D$32</definedName>
    <definedName name="SIMPL_Tab.2_Cod.166_Lin.0_Typ.Double_Extra.0">'T01'!$D$33</definedName>
    <definedName name="SIMPL_Tab.2_Cod.167_Lin.0_Typ.Double_Extra.0">'T01'!$D$34</definedName>
    <definedName name="SIMPL_Tab.2_Cod.168_Lin.0_Typ.Double_Extra.0">'T01'!$D$35</definedName>
    <definedName name="SIMPL_Tab.2_Cod.169_Lin.0_Typ.Double_Extra.0">'T01'!$D$36</definedName>
    <definedName name="SIMPL_Tab.2_Cod.170_Lin.0_Typ.Double_Extra.0">'T01'!$E$32</definedName>
    <definedName name="SIMPL_Tab.2_Cod.171_Lin.0_Typ.Double_Extra.0">'T01'!$E$33</definedName>
    <definedName name="SIMPL_Tab.2_Cod.172_Lin.0_Typ.Double_Extra.0">'T01'!$E$34</definedName>
    <definedName name="SIMPL_Tab.2_Cod.173_Lin.0_Typ.Double_Extra.0">'T01'!$E$35</definedName>
    <definedName name="SIMPL_Tab.2_Cod.174_Lin.0_Typ.Double_Extra.0">'T01'!$E$36</definedName>
    <definedName name="SIMPL_Tab.2_Cod.175_Lin.0_Typ.Double_Extra.0">'T01'!$F$32</definedName>
    <definedName name="SIMPL_Tab.2_Cod.176_Lin.0_Typ.Double_Extra.0">'T01'!$F$33</definedName>
    <definedName name="SIMPL_Tab.2_Cod.177_Lin.0_Typ.Double_Extra.0">'T01'!$F$34</definedName>
    <definedName name="SIMPL_Tab.2_Cod.178_Lin.0_Typ.Double_Extra.0">'T01'!$F$35</definedName>
    <definedName name="SIMPL_Tab.2_Cod.179_Lin.0_Typ.Double_Extra.0">'T01'!$F$36</definedName>
    <definedName name="SIMPL_Tab.2_Cod.181_Lin.0_Typ.Double_Extra.0">'T01'!$C$45</definedName>
    <definedName name="SIMPL_Tab.2_Cod.182_Lin.0_Typ.Double_Extra.0">'T01'!$D$45</definedName>
    <definedName name="SIMPL_Tab.2_Cod.183_Lin.0_Typ.Double_Extra.0">'T01'!$E$45</definedName>
    <definedName name="SIMPL_Tab.2_Cod.184_Lin.0_Typ.Double_Extra.0">'T01'!$F$45</definedName>
    <definedName name="SIMPL_Tab.2_Cod.186_Lin.0_Typ.Double_Extra.0">'T01'!$C$53</definedName>
    <definedName name="SIMPL_Tab.2_Cod.187_Lin.0_Typ.Double_Extra.0">'T01'!$D$53</definedName>
    <definedName name="SIMPL_Tab.2_Cod.188_Lin.0_Typ.Double_Extra.0">'T01'!$E$53</definedName>
    <definedName name="SIMPL_Tab.2_Cod.189_Lin.0_Typ.Double_Extra.0">'T01'!$F$53</definedName>
    <definedName name="SIMPL_Tab.2_Cod.192_Lin.0_Typ.Double_Extra.0">'T01'!$C$28</definedName>
    <definedName name="SIMPL_Tab.2_Cod.193_Lin.0_Typ.Double_Extra.0">'T01'!$C$29</definedName>
    <definedName name="SIMPL_Tab.2_Cod.194_Lin.0_Typ.Double_Extra.0">'T01'!$D$28</definedName>
    <definedName name="SIMPL_Tab.2_Cod.195_Lin.0_Typ.Double_Extra.0">'T01'!$D$29</definedName>
    <definedName name="SIMPL_Tab.2_Cod.196_Lin.0_Typ.Double_Extra.0">'T01'!$E$28</definedName>
    <definedName name="SIMPL_Tab.2_Cod.197_Lin.0_Typ.Double_Extra.0">'T01'!$E$29</definedName>
    <definedName name="SIMPL_Tab.2_Cod.198_Lin.0_Typ.Double_Extra.0">'T01'!$F$28</definedName>
    <definedName name="SIMPL_Tab.2_Cod.199_Lin.0_Typ.Double_Extra.0">'T01'!$F$29</definedName>
    <definedName name="SIMPL_Tab.2_Cod.207_Lin.0_Typ.Double_Extra.0">'T01'!$C$15</definedName>
    <definedName name="SIMPL_Tab.2_Cod.208_Lin.0_Typ.Double_Extra.0">'T01'!$C$16</definedName>
    <definedName name="SIMPL_Tab.2_Cod.209_Lin.0_Typ.Double_Extra.0">'T01'!$C$17</definedName>
    <definedName name="SIMPL_Tab.2_Cod.210_Lin.0_Typ.Double_Extra.0">'T01'!$C$18</definedName>
    <definedName name="SIMPL_Tab.2_Cod.211_Lin.0_Typ.Double_Extra.0">'T01'!$C$19</definedName>
    <definedName name="SIMPL_Tab.2_Cod.212_Lin.0_Typ.Double_Extra.0">'T01'!$C$20</definedName>
    <definedName name="SIMPL_Tab.2_Cod.213_Lin.0_Typ.Double_Extra.0">'T01'!$C$21</definedName>
    <definedName name="SIMPL_Tab.2_Cod.214_Lin.0_Typ.Double_Extra.0">'T01'!$D$15</definedName>
    <definedName name="SIMPL_Tab.2_Cod.215_Lin.0_Typ.Double_Extra.0">'T01'!$D$16</definedName>
    <definedName name="SIMPL_Tab.2_Cod.216_Lin.0_Typ.Double_Extra.0">'T01'!$D$17</definedName>
    <definedName name="SIMPL_Tab.2_Cod.217_Lin.0_Typ.Double_Extra.0">'T01'!$D$18</definedName>
    <definedName name="SIMPL_Tab.2_Cod.218_Lin.0_Typ.Double_Extra.0">'T01'!$D$19</definedName>
    <definedName name="SIMPL_Tab.2_Cod.219_Lin.0_Typ.Double_Extra.0">'T01'!$D$20</definedName>
    <definedName name="SIMPL_Tab.2_Cod.220_Lin.0_Typ.Double_Extra.0">'T01'!$D$21</definedName>
    <definedName name="SIMPL_Tab.2_Cod.221_Lin.0_Typ.Double_Extra.0">'T01'!$E$15</definedName>
    <definedName name="SIMPL_Tab.2_Cod.222_Lin.0_Typ.Double_Extra.0">'T01'!$E$16</definedName>
    <definedName name="SIMPL_Tab.2_Cod.223_Lin.0_Typ.Double_Extra.0">'T01'!$E$17</definedName>
    <definedName name="SIMPL_Tab.2_Cod.224_Lin.0_Typ.Double_Extra.0">'T01'!$E$18</definedName>
    <definedName name="SIMPL_Tab.2_Cod.225_Lin.0_Typ.Double_Extra.0">'T01'!$E$19</definedName>
    <definedName name="SIMPL_Tab.2_Cod.226_Lin.0_Typ.Double_Extra.0">'T01'!$E$20</definedName>
    <definedName name="SIMPL_Tab.2_Cod.227_Lin.0_Typ.Double_Extra.0">'T01'!$E$21</definedName>
    <definedName name="SIMPL_Tab.2_Cod.228_Lin.0_Typ.Double_Extra.0">'T01'!$F$15</definedName>
    <definedName name="SIMPL_Tab.2_Cod.229_Lin.0_Typ.Double_Extra.0">'T01'!$F$16</definedName>
    <definedName name="SIMPL_Tab.2_Cod.230_Lin.0_Typ.Double_Extra.0">'T01'!$F$17</definedName>
    <definedName name="SIMPL_Tab.2_Cod.231_Lin.0_Typ.Double_Extra.0">'T01'!$F$18</definedName>
    <definedName name="SIMPL_Tab.2_Cod.232_Lin.0_Typ.Double_Extra.0">'T01'!$F$19</definedName>
    <definedName name="SIMPL_Tab.2_Cod.233_Lin.0_Typ.Double_Extra.0">'T01'!$F$20</definedName>
    <definedName name="SIMPL_Tab.2_Cod.234_Lin.0_Typ.Double_Extra.0">'T01'!$F$21</definedName>
    <definedName name="SIMPL_Tab.2_Cod.238_Lin.0_Typ.Double_Extra.0">'T01'!$C$6</definedName>
    <definedName name="SIMPL_Tab.2_Cod.239_Lin.0_Typ.Double_Extra.0">'T01'!$C$7</definedName>
    <definedName name="SIMPL_Tab.2_Cod.240_Lin.0_Typ.Double_Extra.0">'T01'!$C$8</definedName>
    <definedName name="SIMPL_Tab.2_Cod.241_Lin.0_Typ.Double_Extra.0">'T01'!$D$6</definedName>
    <definedName name="SIMPL_Tab.2_Cod.242_Lin.0_Typ.Double_Extra.0">'T01'!$D$7</definedName>
    <definedName name="SIMPL_Tab.2_Cod.243_Lin.0_Typ.Double_Extra.0">'T01'!$D$8</definedName>
    <definedName name="SIMPL_Tab.2_Cod.244_Lin.0_Typ.Double_Extra.0">'T01'!$E$6</definedName>
    <definedName name="SIMPL_Tab.2_Cod.245_Lin.0_Typ.Double_Extra.0">'T01'!$E$7</definedName>
    <definedName name="SIMPL_Tab.2_Cod.246_Lin.0_Typ.Double_Extra.0">'T01'!$E$8</definedName>
    <definedName name="SIMPL_Tab.2_Cod.247_Lin.0_Typ.Double_Extra.0">'T01'!$F$6</definedName>
    <definedName name="SIMPL_Tab.2_Cod.248_Lin.0_Typ.Double_Extra.0">'T01'!$F$7</definedName>
    <definedName name="SIMPL_Tab.2_Cod.249_Lin.0_Typ.Double_Extra.0">'T01'!$F$8</definedName>
    <definedName name="SIMPL_Tab.2_Cod.254_Lin.0_Typ.Double_Extra.0">'T01'!$C$23</definedName>
    <definedName name="SIMPL_Tab.2_Cod.255_Lin.0_Typ.Double_Extra.0">'T01'!$C$24</definedName>
    <definedName name="SIMPL_Tab.2_Cod.256_Lin.0_Typ.Double_Extra.0">'T01'!$C$25</definedName>
    <definedName name="SIMPL_Tab.2_Cod.257_Lin.0_Typ.Double_Extra.0">'T01'!$C$26</definedName>
    <definedName name="SIMPL_Tab.2_Cod.258_Lin.0_Typ.Double_Extra.0">'T01'!$D$23</definedName>
    <definedName name="SIMPL_Tab.2_Cod.259_Lin.0_Typ.Double_Extra.0">'T01'!$D$24</definedName>
    <definedName name="SIMPL_Tab.2_Cod.260_Lin.0_Typ.Double_Extra.0">'T01'!$D$25</definedName>
    <definedName name="SIMPL_Tab.2_Cod.261_Lin.0_Typ.Double_Extra.0">'T01'!$D$26</definedName>
    <definedName name="SIMPL_Tab.2_Cod.262_Lin.0_Typ.Double_Extra.0">'T01'!$E$23</definedName>
    <definedName name="SIMPL_Tab.2_Cod.263_Lin.0_Typ.Double_Extra.0">'T01'!$E$24</definedName>
    <definedName name="SIMPL_Tab.2_Cod.264_Lin.0_Typ.Double_Extra.0">'T01'!$E$25</definedName>
    <definedName name="SIMPL_Tab.2_Cod.265_Lin.0_Typ.Double_Extra.0">'T01'!$E$26</definedName>
    <definedName name="SIMPL_Tab.2_Cod.266_Lin.0_Typ.Double_Extra.0">'T01'!$F$23</definedName>
    <definedName name="SIMPL_Tab.2_Cod.267_Lin.0_Typ.Double_Extra.0">'T01'!$F$24</definedName>
    <definedName name="SIMPL_Tab.2_Cod.268_Lin.0_Typ.Double_Extra.0">'T01'!$F$25</definedName>
    <definedName name="SIMPL_Tab.2_Cod.269_Lin.0_Typ.Double_Extra.0">'T01'!$F$26</definedName>
    <definedName name="SIMPL_Tab.2_Cod.274_Lin.0_Typ.Double_Extra.0">'T01'!$C$10</definedName>
    <definedName name="SIMPL_Tab.2_Cod.275_Lin.0_Typ.Double_Extra.0">'T01'!$C$11</definedName>
    <definedName name="SIMPL_Tab.2_Cod.276_Lin.0_Typ.Double_Extra.0">'T01'!$C$12</definedName>
    <definedName name="SIMPL_Tab.2_Cod.277_Lin.0_Typ.Double_Extra.0">'T01'!$C$13</definedName>
    <definedName name="SIMPL_Tab.2_Cod.278_Lin.0_Typ.Double_Extra.0">'T01'!$D$10</definedName>
    <definedName name="SIMPL_Tab.2_Cod.279_Lin.0_Typ.Double_Extra.0">'T01'!$D$11</definedName>
    <definedName name="SIMPL_Tab.2_Cod.280_Lin.0_Typ.Double_Extra.0">'T01'!$D$12</definedName>
    <definedName name="SIMPL_Tab.2_Cod.281_Lin.0_Typ.Double_Extra.0">'T01'!$D$13</definedName>
    <definedName name="SIMPL_Tab.2_Cod.282_Lin.0_Typ.Double_Extra.0">'T01'!$E$10</definedName>
    <definedName name="SIMPL_Tab.2_Cod.283_Lin.0_Typ.Double_Extra.0">'T01'!$E$11</definedName>
    <definedName name="SIMPL_Tab.2_Cod.284_Lin.0_Typ.Double_Extra.0">'T01'!$E$12</definedName>
    <definedName name="SIMPL_Tab.2_Cod.285_Lin.0_Typ.Double_Extra.0">'T01'!$E$13</definedName>
    <definedName name="SIMPL_Tab.2_Cod.286_Lin.0_Typ.Double_Extra.0">'T01'!$F$10</definedName>
    <definedName name="SIMPL_Tab.2_Cod.287_Lin.0_Typ.Double_Extra.0">'T01'!$F$11</definedName>
    <definedName name="SIMPL_Tab.2_Cod.288_Lin.0_Typ.Double_Extra.0">'T01'!$F$12</definedName>
    <definedName name="SIMPL_Tab.2_Cod.289_Lin.0_Typ.Double_Extra.0">'T01'!$F$13</definedName>
    <definedName name="SIMPL_Tab.2_Cod.291_Lin.0_Typ.Double_Extra.0">'T01'!$C$30</definedName>
    <definedName name="SIMPL_Tab.2_Cod.292_Lin.0_Typ.Double_Extra.0">'T01'!$D$30</definedName>
    <definedName name="SIMPL_Tab.2_Cod.293_Lin.0_Typ.Double_Extra.0">'T01'!$E$30</definedName>
    <definedName name="SIMPL_Tab.2_Cod.294_Lin.0_Typ.Double_Extra.0">'T01'!$F$30</definedName>
    <definedName name="SIMPL_Tab.2_Cod.296_Lin.0_Typ.Double_Extra.0">'T01'!$C$47</definedName>
    <definedName name="SIMPL_Tab.2_Cod.297_Lin.0_Typ.Double_Extra.0">'T01'!$D$47</definedName>
    <definedName name="SIMPL_Tab.2_Cod.298_Lin.0_Typ.Double_Extra.0">'T01'!$E$47</definedName>
    <definedName name="SIMPL_Tab.2_Cod.299_Lin.0_Typ.Double_Extra.0">'T01'!$F$47</definedName>
    <definedName name="SIMPL_Tab.2_Cod.303_Lin.0_Typ.Double_Extra.0">'T01'!$C$49</definedName>
    <definedName name="SIMPL_Tab.2_Cod.304_Lin.0_Typ.Double_Extra.0">'T01'!$C$50</definedName>
    <definedName name="SIMPL_Tab.2_Cod.305_Lin.0_Typ.Double_Extra.0">'T01'!$C$51</definedName>
    <definedName name="SIMPL_Tab.2_Cod.306_Lin.0_Typ.Double_Extra.0">'T01'!$D$49</definedName>
    <definedName name="SIMPL_Tab.2_Cod.307_Lin.0_Typ.Double_Extra.0">'T01'!$D$50</definedName>
    <definedName name="SIMPL_Tab.2_Cod.308_Lin.0_Typ.Double_Extra.0">'T01'!$D$51</definedName>
    <definedName name="SIMPL_Tab.2_Cod.309_Lin.0_Typ.Double_Extra.0">'T01'!$E$49</definedName>
    <definedName name="SIMPL_Tab.2_Cod.310_Lin.0_Typ.Double_Extra.0">'T01'!$E$50</definedName>
    <definedName name="SIMPL_Tab.2_Cod.311_Lin.0_Typ.Double_Extra.0">'T01'!$E$51</definedName>
    <definedName name="SIMPL_Tab.2_Cod.312_Lin.0_Typ.Double_Extra.0">'T01'!$F$49</definedName>
    <definedName name="SIMPL_Tab.2_Cod.313_Lin.0_Typ.Double_Extra.0">'T01'!$F$50</definedName>
    <definedName name="SIMPL_Tab.2_Cod.314_Lin.0_Typ.Double_Extra.0">'T01'!$F$51</definedName>
    <definedName name="SIMPL_Tab.2_Cod.316_Lin.0_Typ.Double_Extra.0">'T01'!$C$52</definedName>
    <definedName name="SIMPL_Tab.2_Cod.317_Lin.0_Typ.Double_Extra.0">'T01'!$D$52</definedName>
    <definedName name="SIMPL_Tab.2_Cod.318_Lin.0_Typ.Double_Extra.0">'T01'!$E$52</definedName>
    <definedName name="SIMPL_Tab.2_Cod.319_Lin.0_Typ.Double_Extra.0">'T01'!$F$52</definedName>
    <definedName name="SIMPL_Tab.2_Cod.497_Lin.0_Typ.Double_Extra.0">'T01'!$C$5</definedName>
    <definedName name="SIMPL_Tab.2_Cod.498_Lin.0_Typ.Double_Extra.0">'T01'!$D$5</definedName>
    <definedName name="SIMPL_Tab.2_Cod.499_Lin.0_Typ.Double_Extra.0">'T01'!$E$5</definedName>
    <definedName name="SIMPL_Tab.2_Cod.500_Lin.0_Typ.Double_Extra.0">'T01'!$F$5</definedName>
    <definedName name="SIMPL_Tab.2_Cod.502_Lin.0_Typ.Double_Extra.0">'T01'!$C$9</definedName>
    <definedName name="SIMPL_Tab.2_Cod.503_Lin.0_Typ.Double_Extra.0">'T01'!$D$9</definedName>
    <definedName name="SIMPL_Tab.2_Cod.504_Lin.0_Typ.Double_Extra.0">'T01'!$E$9</definedName>
    <definedName name="SIMPL_Tab.2_Cod.505_Lin.0_Typ.Double_Extra.0">'T01'!$F$9</definedName>
    <definedName name="SIMPL_Tab.2_Cod.507_Lin.0_Typ.Double_Extra.0">'T01'!$C$14</definedName>
    <definedName name="SIMPL_Tab.2_Cod.508_Lin.0_Typ.Double_Extra.0">'T01'!$D$14</definedName>
    <definedName name="SIMPL_Tab.2_Cod.509_Lin.0_Typ.Double_Extra.0">'T01'!$E$14</definedName>
    <definedName name="SIMPL_Tab.2_Cod.510_Lin.0_Typ.Double_Extra.0">'T01'!$F$14</definedName>
    <definedName name="SIMPL_Tab.2_Cod.512_Lin.0_Typ.Double_Extra.0">'T01'!$C$22</definedName>
    <definedName name="SIMPL_Tab.2_Cod.513_Lin.0_Typ.Double_Extra.0">'T01'!$D$22</definedName>
    <definedName name="SIMPL_Tab.2_Cod.514_Lin.0_Typ.Double_Extra.0">'T01'!$E$22</definedName>
    <definedName name="SIMPL_Tab.2_Cod.515_Lin.0_Typ.Double_Extra.0">'T01'!$F$22</definedName>
    <definedName name="SIMPL_Tab.2_Cod.517_Lin.0_Typ.Double_Extra.0">'T01'!$C$27</definedName>
    <definedName name="SIMPL_Tab.2_Cod.518_Lin.0_Typ.Double_Extra.0">'T01'!$D$27</definedName>
    <definedName name="SIMPL_Tab.2_Cod.519_Lin.0_Typ.Double_Extra.0">'T01'!$E$27</definedName>
    <definedName name="SIMPL_Tab.2_Cod.520_Lin.0_Typ.Double_Extra.0">'T01'!$F$27</definedName>
    <definedName name="SIMPL_Tab.2_Cod.522_Lin.0_Typ.Double_Extra.0">'T01'!$C$31</definedName>
    <definedName name="SIMPL_Tab.2_Cod.523_Lin.0_Typ.Double_Extra.0">'T01'!$D$31</definedName>
    <definedName name="SIMPL_Tab.2_Cod.524_Lin.0_Typ.Double_Extra.0">'T01'!$E$31</definedName>
    <definedName name="SIMPL_Tab.2_Cod.525_Lin.0_Typ.Double_Extra.0">'T01'!$F$31</definedName>
    <definedName name="SIMPL_Tab.2_Cod.527_Lin.0_Typ.Double_Extra.0">'T01'!$C$37</definedName>
    <definedName name="SIMPL_Tab.2_Cod.528_Lin.0_Typ.Double_Extra.0">'T01'!$D$37</definedName>
    <definedName name="SIMPL_Tab.2_Cod.529_Lin.0_Typ.Double_Extra.0">'T01'!$E$37</definedName>
    <definedName name="SIMPL_Tab.2_Cod.530_Lin.0_Typ.Double_Extra.0">'T01'!$F$37</definedName>
    <definedName name="SIMPL_Tab.2_Cod.532_Lin.0_Typ.Double_Extra.0">'T01'!$C$48</definedName>
    <definedName name="SIMPL_Tab.2_Cod.533_Lin.0_Typ.Double_Extra.0">'T01'!$D$48</definedName>
    <definedName name="SIMPL_Tab.2_Cod.534_Lin.0_Typ.Double_Extra.0">'T01'!$E$48</definedName>
    <definedName name="SIMPL_Tab.2_Cod.535_Lin.0_Typ.Double_Extra.0">'T01'!$F$48</definedName>
    <definedName name="SIMPL_Tab.200_Cod.14068_Lin.0_Typ.Double_Extra.0">'T21'!$B$4</definedName>
    <definedName name="SIMPL_Tab.200_Cod.14069_Lin.0_Typ.Double_Extra.0">'T21'!$C$4</definedName>
    <definedName name="SIMPL_Tab.200_Cod.14071_Lin.0_Typ.Double_Extra.0">'T21'!$B$5</definedName>
    <definedName name="SIMPL_Tab.200_Cod.14072_Lin.0_Typ.Double_Extra.0">'T21'!$C$5</definedName>
    <definedName name="SIMPL_Tab.200_Cod.14074_Lin.0_Typ.Double_Extra.0">'T21'!$B$6</definedName>
    <definedName name="SIMPL_Tab.200_Cod.14075_Lin.0_Typ.Double_Extra.0">'T21'!$C$6</definedName>
    <definedName name="SIMPL_Tab.200_Cod.14077_Lin.0_Typ.Double_Extra.0">'T21'!$B$7</definedName>
    <definedName name="SIMPL_Tab.200_Cod.14078_Lin.0_Typ.Double_Extra.0">'T21'!$C$7</definedName>
    <definedName name="SIMPL_Tab.200_Cod.14080_Lin.0_Typ.Double_Extra.0">'T21'!$B$8</definedName>
    <definedName name="SIMPL_Tab.200_Cod.14081_Lin.0_Typ.Double_Extra.0">'T21'!$C$8</definedName>
    <definedName name="SIMPL_Tab.200_Cod.14083_Lin.0_Typ.Double_Extra.0">'T21'!$B$9</definedName>
    <definedName name="SIMPL_Tab.200_Cod.14084_Lin.0_Typ.Double_Extra.0">'T21'!$C$9</definedName>
    <definedName name="SIMPL_Tab.200_Cod.14086_Lin.0_Typ.Double_Extra.0">'T21'!$B$10</definedName>
    <definedName name="SIMPL_Tab.200_Cod.14087_Lin.0_Typ.Double_Extra.0">'T21'!$C$10</definedName>
    <definedName name="SIMPL_Tab.200_Cod.16394_Lin.0_Typ.Double_Extra.0">'T21'!$B$11</definedName>
    <definedName name="SIMPL_Tab.200_Cod.16395_Lin.0_Typ.Double_Extra.0">'T21'!$C$11</definedName>
    <definedName name="SIMPL_Tab.200_Cod.16397_Lin.0_Typ.Double_Extra.0">'T21'!$B$12</definedName>
    <definedName name="SIMPL_Tab.200_Cod.16398_Lin.0_Typ.Double_Extra.0">'T21'!$C$12</definedName>
    <definedName name="SIMPL_Tab.200_Cod.16400_Lin.0_Typ.Double_Extra.0">'T21'!$B$13</definedName>
    <definedName name="SIMPL_Tab.200_Cod.16401_Lin.0_Typ.Double_Extra.0">'T21'!$C$13</definedName>
    <definedName name="SIMPL_Tab.202_Cod.14098_Lin.0_Typ.Texte_Extra.0">'T24'!$B$4</definedName>
    <definedName name="SIMPL_Tab.202_Cod.14099_Lin.0_Typ.Texte_Extra.0">'T24'!$C$4</definedName>
    <definedName name="SIMPL_Tab.202_Cod.14101_Lin.0_Typ.Texte_Extra.0">'T24'!$B$5</definedName>
    <definedName name="SIMPL_Tab.202_Cod.14102_Lin.0_Typ.Texte_Extra.0">'T24'!$C$5</definedName>
    <definedName name="SIMPL_Tab.202_Cod.14104_Lin.0_Typ.Texte_Extra.0">'T24'!$B$6</definedName>
    <definedName name="SIMPL_Tab.202_Cod.14105_Lin.0_Typ.Texte_Extra.0">'T24'!$C$6</definedName>
    <definedName name="SIMPL_Tab.203_Cod.14113_Lin.0_Typ.Double_Extra.0">'T22'!$C$8</definedName>
    <definedName name="SIMPL_Tab.203_Cod.14114_Lin.0_Typ.Double_Extra.0">'T22'!$C$9</definedName>
    <definedName name="SIMPL_Tab.203_Cod.14115_Lin.0_Typ.Double_Extra.0">'T22'!$C$10</definedName>
    <definedName name="SIMPL_Tab.203_Cod.14116_Lin.0_Typ.Double_Extra.0">'T22'!$C$11</definedName>
    <definedName name="SIMPL_Tab.203_Cod.14117_Lin.0_Typ.Double_Extra.0">'T22'!$C$12</definedName>
    <definedName name="SIMPL_Tab.203_Cod.14118_Lin.0_Typ.Double_Extra.0">'T22'!$C$13</definedName>
    <definedName name="SIMPL_Tab.203_Cod.14119_Lin.0_Typ.Double_Extra.0">'T22'!$C$14</definedName>
    <definedName name="SIMPL_Tab.203_Cod.14120_Lin.0_Typ.Double_Extra.0">'T22'!$D$8</definedName>
    <definedName name="SIMPL_Tab.203_Cod.14121_Lin.0_Typ.Double_Extra.0">'T22'!$D$9</definedName>
    <definedName name="SIMPL_Tab.203_Cod.14122_Lin.0_Typ.Double_Extra.0">'T22'!$D$10</definedName>
    <definedName name="SIMPL_Tab.203_Cod.14123_Lin.0_Typ.Double_Extra.0">'T22'!$D$11</definedName>
    <definedName name="SIMPL_Tab.203_Cod.14124_Lin.0_Typ.Double_Extra.0">'T22'!$D$12</definedName>
    <definedName name="SIMPL_Tab.203_Cod.14125_Lin.0_Typ.Double_Extra.0">'T22'!$D$13</definedName>
    <definedName name="SIMPL_Tab.203_Cod.14126_Lin.0_Typ.Double_Extra.0">'T22'!$D$14</definedName>
    <definedName name="SIMPL_Tab.203_Cod.14127_Lin.0_Typ.Double_Extra.0">'T22'!$E$8</definedName>
    <definedName name="SIMPL_Tab.203_Cod.14128_Lin.0_Typ.Double_Extra.0">'T22'!$E$9</definedName>
    <definedName name="SIMPL_Tab.203_Cod.14129_Lin.0_Typ.Double_Extra.0">'T22'!$E$10</definedName>
    <definedName name="SIMPL_Tab.203_Cod.14130_Lin.0_Typ.Double_Extra.0">'T22'!$E$11</definedName>
    <definedName name="SIMPL_Tab.203_Cod.14131_Lin.0_Typ.Double_Extra.0">'T22'!$E$12</definedName>
    <definedName name="SIMPL_Tab.203_Cod.14132_Lin.0_Typ.Double_Extra.0">'T22'!$E$13</definedName>
    <definedName name="SIMPL_Tab.203_Cod.14133_Lin.0_Typ.Double_Extra.0">'T22'!$E$14</definedName>
    <definedName name="SIMPL_Tab.203_Cod.14134_Lin.0_Typ.Double_Extra.0">'T22'!$F$8</definedName>
    <definedName name="SIMPL_Tab.203_Cod.14135_Lin.0_Typ.Double_Extra.0">'T22'!$F$9</definedName>
    <definedName name="SIMPL_Tab.203_Cod.14136_Lin.0_Typ.Double_Extra.0">'T22'!$F$10</definedName>
    <definedName name="SIMPL_Tab.203_Cod.14137_Lin.0_Typ.Double_Extra.0">'T22'!$F$11</definedName>
    <definedName name="SIMPL_Tab.203_Cod.14138_Lin.0_Typ.Double_Extra.0">'T22'!$F$12</definedName>
    <definedName name="SIMPL_Tab.203_Cod.14139_Lin.0_Typ.Double_Extra.0">'T22'!$F$13</definedName>
    <definedName name="SIMPL_Tab.203_Cod.14140_Lin.0_Typ.Double_Extra.0">'T22'!$F$14</definedName>
    <definedName name="SIMPL_Tab.203_Cod.14172_Lin.0_Typ.Double_Extra.0">'T22'!$C$21</definedName>
    <definedName name="SIMPL_Tab.203_Cod.14173_Lin.0_Typ.Double_Extra.0">'T22'!$C$22</definedName>
    <definedName name="SIMPL_Tab.203_Cod.14174_Lin.0_Typ.Double_Extra.0">'T22'!$C$23</definedName>
    <definedName name="SIMPL_Tab.203_Cod.14175_Lin.0_Typ.Double_Extra.0">'T22'!$C$24</definedName>
    <definedName name="SIMPL_Tab.203_Cod.14176_Lin.0_Typ.Double_Extra.0">'T22'!$C$25</definedName>
    <definedName name="SIMPL_Tab.203_Cod.14177_Lin.0_Typ.Double_Extra.0">'T22'!$C$26</definedName>
    <definedName name="SIMPL_Tab.203_Cod.14178_Lin.0_Typ.Double_Extra.0">'T22'!$C$27</definedName>
    <definedName name="SIMPL_Tab.203_Cod.14179_Lin.0_Typ.Double_Extra.0">'T22'!$C$28</definedName>
    <definedName name="SIMPL_Tab.203_Cod.14180_Lin.0_Typ.Double_Extra.0">'T22'!$C$29</definedName>
    <definedName name="SIMPL_Tab.203_Cod.14181_Lin.0_Typ.Double_Extra.0">'T22'!$C$30</definedName>
    <definedName name="SIMPL_Tab.203_Cod.14182_Lin.0_Typ.Double_Extra.0">'T22'!$C$31</definedName>
    <definedName name="SIMPL_Tab.203_Cod.14183_Lin.0_Typ.Double_Extra.0">'T22'!$C$32</definedName>
    <definedName name="SIMPL_Tab.203_Cod.14184_Lin.0_Typ.Double_Extra.0">'T22'!$D$21</definedName>
    <definedName name="SIMPL_Tab.203_Cod.14185_Lin.0_Typ.Double_Extra.0">'T22'!$D$22</definedName>
    <definedName name="SIMPL_Tab.203_Cod.14186_Lin.0_Typ.Double_Extra.0">'T22'!$D$23</definedName>
    <definedName name="SIMPL_Tab.203_Cod.14187_Lin.0_Typ.Double_Extra.0">'T22'!$D$24</definedName>
    <definedName name="SIMPL_Tab.203_Cod.14188_Lin.0_Typ.Double_Extra.0">'T22'!$D$25</definedName>
    <definedName name="SIMPL_Tab.203_Cod.14189_Lin.0_Typ.Double_Extra.0">'T22'!$D$26</definedName>
    <definedName name="SIMPL_Tab.203_Cod.14190_Lin.0_Typ.Double_Extra.0">'T22'!$D$27</definedName>
    <definedName name="SIMPL_Tab.203_Cod.14191_Lin.0_Typ.Double_Extra.0">'T22'!$D$28</definedName>
    <definedName name="SIMPL_Tab.203_Cod.14192_Lin.0_Typ.Double_Extra.0">'T22'!$D$29</definedName>
    <definedName name="SIMPL_Tab.203_Cod.14193_Lin.0_Typ.Double_Extra.0">'T22'!$D$30</definedName>
    <definedName name="SIMPL_Tab.203_Cod.14194_Lin.0_Typ.Double_Extra.0">'T22'!$D$31</definedName>
    <definedName name="SIMPL_Tab.203_Cod.14195_Lin.0_Typ.Double_Extra.0">'T22'!$D$32</definedName>
    <definedName name="SIMPL_Tab.203_Cod.14196_Lin.0_Typ.Double_Extra.0">'T22'!$E$21</definedName>
    <definedName name="SIMPL_Tab.203_Cod.14197_Lin.0_Typ.Double_Extra.0">'T22'!$E$22</definedName>
    <definedName name="SIMPL_Tab.203_Cod.14198_Lin.0_Typ.Double_Extra.0">'T22'!$E$23</definedName>
    <definedName name="SIMPL_Tab.203_Cod.14199_Lin.0_Typ.Double_Extra.0">'T22'!$E$24</definedName>
    <definedName name="SIMPL_Tab.203_Cod.14200_Lin.0_Typ.Double_Extra.0">'T22'!$E$25</definedName>
    <definedName name="SIMPL_Tab.203_Cod.14201_Lin.0_Typ.Double_Extra.0">'T22'!$E$26</definedName>
    <definedName name="SIMPL_Tab.203_Cod.14202_Lin.0_Typ.Double_Extra.0">'T22'!$E$27</definedName>
    <definedName name="SIMPL_Tab.203_Cod.14203_Lin.0_Typ.Double_Extra.0">'T22'!$E$28</definedName>
    <definedName name="SIMPL_Tab.203_Cod.14204_Lin.0_Typ.Double_Extra.0">'T22'!$E$29</definedName>
    <definedName name="SIMPL_Tab.203_Cod.14205_Lin.0_Typ.Double_Extra.0">'T22'!$E$30</definedName>
    <definedName name="SIMPL_Tab.203_Cod.14206_Lin.0_Typ.Double_Extra.0">'T22'!$E$31</definedName>
    <definedName name="SIMPL_Tab.203_Cod.14207_Lin.0_Typ.Double_Extra.0">'T22'!$E$32</definedName>
    <definedName name="SIMPL_Tab.203_Cod.14208_Lin.0_Typ.Double_Extra.0">'T22'!$F$21</definedName>
    <definedName name="SIMPL_Tab.203_Cod.14209_Lin.0_Typ.Double_Extra.0">'T22'!$F$22</definedName>
    <definedName name="SIMPL_Tab.203_Cod.14210_Lin.0_Typ.Double_Extra.0">'T22'!$F$23</definedName>
    <definedName name="SIMPL_Tab.203_Cod.14211_Lin.0_Typ.Double_Extra.0">'T22'!$F$24</definedName>
    <definedName name="SIMPL_Tab.203_Cod.14212_Lin.0_Typ.Double_Extra.0">'T22'!$F$25</definedName>
    <definedName name="SIMPL_Tab.203_Cod.14213_Lin.0_Typ.Double_Extra.0">'T22'!$F$26</definedName>
    <definedName name="SIMPL_Tab.203_Cod.14214_Lin.0_Typ.Double_Extra.0">'T22'!$F$27</definedName>
    <definedName name="SIMPL_Tab.203_Cod.14215_Lin.0_Typ.Double_Extra.0">'T22'!$F$28</definedName>
    <definedName name="SIMPL_Tab.203_Cod.14216_Lin.0_Typ.Double_Extra.0">'T22'!$F$29</definedName>
    <definedName name="SIMPL_Tab.203_Cod.14217_Lin.0_Typ.Double_Extra.0">'T22'!$F$30</definedName>
    <definedName name="SIMPL_Tab.203_Cod.14218_Lin.0_Typ.Double_Extra.0">'T22'!$F$31</definedName>
    <definedName name="SIMPL_Tab.203_Cod.14219_Lin.0_Typ.Double_Extra.0">'T22'!$F$32</definedName>
    <definedName name="SIMPL_Tab.203_Cod.14221_Lin.0_Typ.Double_Extra.0">'T22'!$C$33</definedName>
    <definedName name="SIMPL_Tab.203_Cod.14222_Lin.0_Typ.Double_Extra.0">'T22'!$D$33</definedName>
    <definedName name="SIMPL_Tab.203_Cod.14223_Lin.0_Typ.Double_Extra.0">'T22'!$E$33</definedName>
    <definedName name="SIMPL_Tab.203_Cod.14224_Lin.0_Typ.Double_Extra.0">'T22'!$F$33</definedName>
    <definedName name="SIMPL_Tab.203_Cod.14233_Lin.0_Typ.Double_Extra.0">'T22'!$C$36</definedName>
    <definedName name="SIMPL_Tab.203_Cod.14234_Lin.0_Typ.Double_Extra.0">'T22'!$C$37</definedName>
    <definedName name="SIMPL_Tab.203_Cod.14235_Lin.0_Typ.Double_Extra.0">'T22'!$C$38</definedName>
    <definedName name="SIMPL_Tab.203_Cod.14236_Lin.0_Typ.Double_Extra.0">'T22'!$C$39</definedName>
    <definedName name="SIMPL_Tab.203_Cod.14237_Lin.0_Typ.Double_Extra.0">'T22'!$C$40</definedName>
    <definedName name="SIMPL_Tab.203_Cod.14238_Lin.0_Typ.Double_Extra.0">'T22'!$C$41</definedName>
    <definedName name="SIMPL_Tab.203_Cod.14239_Lin.0_Typ.Double_Extra.0">'T22'!$C$42</definedName>
    <definedName name="SIMPL_Tab.203_Cod.14240_Lin.0_Typ.Double_Extra.0">'T22'!$C$43</definedName>
    <definedName name="SIMPL_Tab.203_Cod.14241_Lin.0_Typ.Double_Extra.0">'T22'!$D$36</definedName>
    <definedName name="SIMPL_Tab.203_Cod.14242_Lin.0_Typ.Double_Extra.0">'T22'!$D$37</definedName>
    <definedName name="SIMPL_Tab.203_Cod.14243_Lin.0_Typ.Double_Extra.0">'T22'!$D$38</definedName>
    <definedName name="SIMPL_Tab.203_Cod.14244_Lin.0_Typ.Double_Extra.0">'T22'!$D$39</definedName>
    <definedName name="SIMPL_Tab.203_Cod.14245_Lin.0_Typ.Double_Extra.0">'T22'!$D$40</definedName>
    <definedName name="SIMPL_Tab.203_Cod.14246_Lin.0_Typ.Double_Extra.0">'T22'!$D$41</definedName>
    <definedName name="SIMPL_Tab.203_Cod.14247_Lin.0_Typ.Double_Extra.0">'T22'!$D$42</definedName>
    <definedName name="SIMPL_Tab.203_Cod.14248_Lin.0_Typ.Double_Extra.0">'T22'!$D$43</definedName>
    <definedName name="SIMPL_Tab.203_Cod.14249_Lin.0_Typ.Double_Extra.0">'T22'!$E$36</definedName>
    <definedName name="SIMPL_Tab.203_Cod.14250_Lin.0_Typ.Double_Extra.0">'T22'!$E$37</definedName>
    <definedName name="SIMPL_Tab.203_Cod.14251_Lin.0_Typ.Double_Extra.0">'T22'!$E$38</definedName>
    <definedName name="SIMPL_Tab.203_Cod.14252_Lin.0_Typ.Double_Extra.0">'T22'!$E$39</definedName>
    <definedName name="SIMPL_Tab.203_Cod.14253_Lin.0_Typ.Double_Extra.0">'T22'!$E$40</definedName>
    <definedName name="SIMPL_Tab.203_Cod.14254_Lin.0_Typ.Double_Extra.0">'T22'!$E$41</definedName>
    <definedName name="SIMPL_Tab.203_Cod.14255_Lin.0_Typ.Double_Extra.0">'T22'!$E$42</definedName>
    <definedName name="SIMPL_Tab.203_Cod.14256_Lin.0_Typ.Double_Extra.0">'T22'!$E$43</definedName>
    <definedName name="SIMPL_Tab.203_Cod.14257_Lin.0_Typ.Double_Extra.0">'T22'!$F$36</definedName>
    <definedName name="SIMPL_Tab.203_Cod.14258_Lin.0_Typ.Double_Extra.0">'T22'!$F$37</definedName>
    <definedName name="SIMPL_Tab.203_Cod.14259_Lin.0_Typ.Double_Extra.0">'T22'!$F$38</definedName>
    <definedName name="SIMPL_Tab.203_Cod.14260_Lin.0_Typ.Double_Extra.0">'T22'!$F$39</definedName>
    <definedName name="SIMPL_Tab.203_Cod.14261_Lin.0_Typ.Double_Extra.0">'T22'!$F$40</definedName>
    <definedName name="SIMPL_Tab.203_Cod.14262_Lin.0_Typ.Double_Extra.0">'T22'!$F$41</definedName>
    <definedName name="SIMPL_Tab.203_Cod.14263_Lin.0_Typ.Double_Extra.0">'T22'!$F$42</definedName>
    <definedName name="SIMPL_Tab.203_Cod.14264_Lin.0_Typ.Double_Extra.0">'T22'!$F$43</definedName>
    <definedName name="SIMPL_Tab.203_Cod.14266_Lin.0_Typ.Double_Extra.0">'T22'!$C$44</definedName>
    <definedName name="SIMPL_Tab.203_Cod.14267_Lin.0_Typ.Double_Extra.0">'T22'!$D$44</definedName>
    <definedName name="SIMPL_Tab.203_Cod.14268_Lin.0_Typ.Double_Extra.0">'T22'!$E$44</definedName>
    <definedName name="SIMPL_Tab.203_Cod.14269_Lin.0_Typ.Double_Extra.0">'T22'!$F$44</definedName>
    <definedName name="SIMPL_Tab.203_Cod.14271_Lin.0_Typ.Double_Extra.0">'T22'!$C$46</definedName>
    <definedName name="SIMPL_Tab.203_Cod.14272_Lin.0_Typ.Double_Extra.0">'T22'!$D$46</definedName>
    <definedName name="SIMPL_Tab.203_Cod.14273_Lin.0_Typ.Double_Extra.0">'T22'!$E$46</definedName>
    <definedName name="SIMPL_Tab.203_Cod.14274_Lin.0_Typ.Double_Extra.0">'T22'!$F$46</definedName>
    <definedName name="SIMPL_Tab.203_Cod.14276_Lin.0_Typ.Double_Extra.0">'T22'!$C$47</definedName>
    <definedName name="SIMPL_Tab.203_Cod.14277_Lin.0_Typ.Double_Extra.0">'T22'!$D$47</definedName>
    <definedName name="SIMPL_Tab.203_Cod.14278_Lin.0_Typ.Double_Extra.0">'T22'!$E$47</definedName>
    <definedName name="SIMPL_Tab.203_Cod.14279_Lin.0_Typ.Double_Extra.0">'T22'!$F$47</definedName>
    <definedName name="SIMPL_Tab.203_Cod.14281_Lin.0_Typ.Double_Extra.0">'T22'!$C$48</definedName>
    <definedName name="SIMPL_Tab.203_Cod.14282_Lin.0_Typ.Double_Extra.0">'T22'!$D$48</definedName>
    <definedName name="SIMPL_Tab.203_Cod.14283_Lin.0_Typ.Double_Extra.0">'T22'!$E$48</definedName>
    <definedName name="SIMPL_Tab.203_Cod.14284_Lin.0_Typ.Double_Extra.0">'T22'!$F$48</definedName>
    <definedName name="SIMPL_Tab.220_Cod.14301_Lin.0_Typ.Texte_Extra.0">'T23'!$B$10</definedName>
    <definedName name="SIMPL_Tab.220_Cod.14303_Lin.0_Typ.Texte_Extra.0">'T23'!$B$11</definedName>
    <definedName name="SIMPL_Tab.220_Cod.14305_Lin.0_Typ.Texte_Extra.0">'T23'!$B$12</definedName>
    <definedName name="SIMPL_Tab.220_Cod.14307_Lin.0_Typ.Texte_Extra.0">'T23'!$B$15</definedName>
    <definedName name="SIMPL_Tab.220_Cod.14309_Lin.0_Typ.Texte_Extra.0">'T23'!$B$16</definedName>
    <definedName name="SIMPL_Tab.220_Cod.14311_Lin.0_Typ.Texte_Extra.0">'T23'!$B$17</definedName>
    <definedName name="SIMPL_Tab.220_Cod.14313_Lin.0_Typ.Texte_Extra.0">'T23'!$B$19</definedName>
    <definedName name="SIMPL_Tab.220_Cod.14315_Lin.0_Typ.Texte_Extra.0">'T23'!$B$20</definedName>
    <definedName name="SIMPL_Tab.220_Cod.14317_Lin.0_Typ.Texte_Extra.0">'T23'!$B$22</definedName>
    <definedName name="SIMPL_Tab.220_Cod.14319_Lin.0_Typ.Texte_Extra.0">'T23'!$B$23</definedName>
    <definedName name="SIMPL_Tab.220_Cod.14321_Lin.0_Typ.Texte_Extra.0">'T23'!$B$24</definedName>
    <definedName name="SIMPL_Tab.220_Cod.14323_Lin.0_Typ.Texte_Extra.0">'T23'!$B$25</definedName>
    <definedName name="SIMPL_Tab.220_Cod.14325_Lin.0_Typ.Texte_Extra.0">'T23'!$B$26</definedName>
    <definedName name="SIMPL_Tab.220_Cod.14327_Lin.0_Typ.Texte_Extra.0">'T23'!$B$28</definedName>
    <definedName name="SIMPL_Tab.220_Cod.14329_Lin.0_Typ.Texte_Extra.0">'T23'!$B$29</definedName>
    <definedName name="SIMPL_Tab.220_Cod.14331_Lin.0_Typ.Texte_Extra.0">'T23'!$B$30</definedName>
    <definedName name="SIMPL_Tab.220_Cod.14333_Lin.0_Typ.Texte_Extra.0">'T23'!$B$32</definedName>
    <definedName name="SIMPL_Tab.220_Cod.14335_Lin.0_Typ.Texte_Extra.0">'T23'!$B$33</definedName>
    <definedName name="SIMPL_Tab.220_Cod.14337_Lin.0_Typ.Texte_Extra.0">'T23'!$B$34</definedName>
    <definedName name="SIMPL_Tab.220_Cod.14342_Lin.0_Typ.Texte_Extra.0">'T23'!$B$5</definedName>
    <definedName name="SIMPL_Tab.220_Cod.14343_Lin.0_Typ.Texte_Extra.0">'T23'!$B$6</definedName>
    <definedName name="SIMPL_Tab.220_Cod.14344_Lin.0_Typ.Texte_Extra.0">'T23'!$B$7</definedName>
    <definedName name="SIMPL_Tab.220_Cod.14345_Lin.0_Typ.Texte_Extra.0">'T23'!$B$8</definedName>
    <definedName name="SIMPL_Tab.23_Cod.53_Lin.0_Typ.Date_Extra.1">Complements!$B$63</definedName>
    <definedName name="SIMPL_Tab.24_Cod.12121_Lin.1_Typ.Texte_Extra.0">'T08'!$A$9</definedName>
    <definedName name="SIMPL_Tab.24_Cod.12121_Lin.2_Typ.Texte_Extra.0">'T08'!$A$10</definedName>
    <definedName name="SIMPL_Tab.24_Cod.12121_Lin.3_Typ.Texte_Extra.0">'T08'!$A$11</definedName>
    <definedName name="SIMPL_Tab.24_Cod.12122_Lin.1_Typ.Double_Extra.0">'T08'!$B$9</definedName>
    <definedName name="SIMPL_Tab.24_Cod.12122_Lin.2_Typ.Double_Extra.0">'T08'!$B$10</definedName>
    <definedName name="SIMPL_Tab.24_Cod.12122_Lin.3_Typ.Double_Extra.0">'T08'!$B$11</definedName>
    <definedName name="SIMPL_Tab.24_Cod.12123_Lin.1_Typ.Double_Extra.0">'T08'!$C$9</definedName>
    <definedName name="SIMPL_Tab.24_Cod.12123_Lin.2_Typ.Double_Extra.0">'T08'!$C$10</definedName>
    <definedName name="SIMPL_Tab.24_Cod.12123_Lin.3_Typ.Double_Extra.0">'T08'!$C$11</definedName>
    <definedName name="SIMPL_Tab.24_Cod.12124_Lin.1_Typ.Double_Extra.0">'T08'!$D$9</definedName>
    <definedName name="SIMPL_Tab.24_Cod.12124_Lin.2_Typ.Double_Extra.0">'T08'!$D$10</definedName>
    <definedName name="SIMPL_Tab.24_Cod.12124_Lin.3_Typ.Double_Extra.0">'T08'!$D$11</definedName>
    <definedName name="SIMPL_Tab.24_Cod.12125_Lin.1_Typ.Double_Extra.0">'T08'!$E$9</definedName>
    <definedName name="SIMPL_Tab.24_Cod.12125_Lin.2_Typ.Double_Extra.0">'T08'!$E$10</definedName>
    <definedName name="SIMPL_Tab.24_Cod.12125_Lin.3_Typ.Double_Extra.0">'T08'!$E$11</definedName>
    <definedName name="SIMPL_Tab.24_Cod.1231_Lin.0_Typ.Double_Extra.0">'T08'!$B$5</definedName>
    <definedName name="SIMPL_Tab.24_Cod.1232_Lin.0_Typ.Double_Extra.0">'T08'!$C$5</definedName>
    <definedName name="SIMPL_Tab.24_Cod.1233_Lin.0_Typ.Double_Extra.0">'T08'!$D$5</definedName>
    <definedName name="SIMPL_Tab.24_Cod.1234_Lin.0_Typ.Double_Extra.0">'T08'!$E$5</definedName>
    <definedName name="SIMPL_Tab.24_Cod.1236_Lin.0_Typ.Double_Extra.0">'T08'!$B$6</definedName>
    <definedName name="SIMPL_Tab.24_Cod.1237_Lin.0_Typ.Double_Extra.0">'T08'!$C$6</definedName>
    <definedName name="SIMPL_Tab.24_Cod.1238_Lin.0_Typ.Double_Extra.0">'T08'!$D$6</definedName>
    <definedName name="SIMPL_Tab.24_Cod.1239_Lin.0_Typ.Double_Extra.0">'T08'!$E$6</definedName>
    <definedName name="SIMPL_Tab.24_Cod.1241_Lin.0_Typ.Double_Extra.0">'T08'!$B$7</definedName>
    <definedName name="SIMPL_Tab.24_Cod.1242_Lin.0_Typ.Double_Extra.0">'T08'!$C$7</definedName>
    <definedName name="SIMPL_Tab.24_Cod.1243_Lin.0_Typ.Double_Extra.0">'T08'!$D$7</definedName>
    <definedName name="SIMPL_Tab.24_Cod.1244_Lin.0_Typ.Double_Extra.0">'T08'!$E$7</definedName>
    <definedName name="SIMPL_Tab.24_Cod.1246_Lin.0_Typ.Double_Extra.0">'T08'!$B$8</definedName>
    <definedName name="SIMPL_Tab.24_Cod.1247_Lin.0_Typ.Double_Extra.0">'T08'!$C$8</definedName>
    <definedName name="SIMPL_Tab.24_Cod.1248_Lin.0_Typ.Double_Extra.0">'T08'!$D$8</definedName>
    <definedName name="SIMPL_Tab.24_Cod.1249_Lin.0_Typ.Double_Extra.0">'T08'!$E$8</definedName>
    <definedName name="SIMPL_Tab.24_Cod.14061_Lin.0_Typ.Double_Extra.0">'T08'!$B$25</definedName>
    <definedName name="SIMPL_Tab.24_Cod.14062_Lin.0_Typ.Double_Extra.0">'T08'!$C$25</definedName>
    <definedName name="SIMPL_Tab.24_Cod.14063_Lin.0_Typ.Double_Extra.0">'T08'!$D$25</definedName>
    <definedName name="SIMPL_Tab.24_Cod.14064_Lin.0_Typ.Double_Extra.0">'T08'!$E$25</definedName>
    <definedName name="SIMPL_Tab.24_Cod.1624_Lin.0_Typ.Double_Extra.0">'T08'!$B$12</definedName>
    <definedName name="SIMPL_Tab.24_Cod.1625_Lin.0_Typ.Double_Extra.0">'T08'!$B$13</definedName>
    <definedName name="SIMPL_Tab.24_Cod.1626_Lin.0_Typ.Double_Extra.0">'T08'!$B$14</definedName>
    <definedName name="SIMPL_Tab.24_Cod.1627_Lin.0_Typ.Double_Extra.0">'T08'!$B$15</definedName>
    <definedName name="SIMPL_Tab.24_Cod.1628_Lin.0_Typ.Double_Extra.0">'T08'!$B$16</definedName>
    <definedName name="SIMPL_Tab.24_Cod.1629_Lin.0_Typ.Double_Extra.0">'T08'!$C$12</definedName>
    <definedName name="SIMPL_Tab.24_Cod.1630_Lin.0_Typ.Double_Extra.0">'T08'!$C$13</definedName>
    <definedName name="SIMPL_Tab.24_Cod.1631_Lin.0_Typ.Double_Extra.0">'T08'!$C$14</definedName>
    <definedName name="SIMPL_Tab.24_Cod.1632_Lin.0_Typ.Double_Extra.0">'T08'!$C$15</definedName>
    <definedName name="SIMPL_Tab.24_Cod.1633_Lin.0_Typ.Double_Extra.0">'T08'!$C$16</definedName>
    <definedName name="SIMPL_Tab.24_Cod.1650_Lin.0_Typ.Double_Extra.0">'T08'!$D$12</definedName>
    <definedName name="SIMPL_Tab.24_Cod.1651_Lin.0_Typ.Double_Extra.0">'T08'!$D$13</definedName>
    <definedName name="SIMPL_Tab.24_Cod.1652_Lin.0_Typ.Double_Extra.0">'T08'!$D$14</definedName>
    <definedName name="SIMPL_Tab.24_Cod.1653_Lin.0_Typ.Double_Extra.0">'T08'!$D$15</definedName>
    <definedName name="SIMPL_Tab.24_Cod.1654_Lin.0_Typ.Double_Extra.0">'T08'!$D$16</definedName>
    <definedName name="SIMPL_Tab.24_Cod.1679_Lin.0_Typ.Double_Extra.0">'T08'!$E$12</definedName>
    <definedName name="SIMPL_Tab.24_Cod.1680_Lin.0_Typ.Double_Extra.0">'T08'!$E$13</definedName>
    <definedName name="SIMPL_Tab.24_Cod.1681_Lin.0_Typ.Double_Extra.0">'T08'!$E$14</definedName>
    <definedName name="SIMPL_Tab.24_Cod.1682_Lin.0_Typ.Double_Extra.0">'T08'!$E$15</definedName>
    <definedName name="SIMPL_Tab.24_Cod.1683_Lin.0_Typ.Double_Extra.0">'T08'!$E$16</definedName>
    <definedName name="SIMPL_Tab.24_Cod.1700_Lin.0_Typ.Double_Extra.0">'T08'!$B$17</definedName>
    <definedName name="SIMPL_Tab.24_Cod.1701_Lin.0_Typ.Double_Extra.0">'T08'!$B$18</definedName>
    <definedName name="SIMPL_Tab.24_Cod.1702_Lin.0_Typ.Double_Extra.0">'T08'!$B$19</definedName>
    <definedName name="SIMPL_Tab.24_Cod.1703_Lin.0_Typ.Double_Extra.0">'T08'!$B$20</definedName>
    <definedName name="SIMPL_Tab.24_Cod.1704_Lin.0_Typ.Double_Extra.0">'T08'!$B$21</definedName>
    <definedName name="SIMPL_Tab.24_Cod.1705_Lin.0_Typ.Double_Extra.0">'T08'!$B$22</definedName>
    <definedName name="SIMPL_Tab.24_Cod.1706_Lin.0_Typ.Double_Extra.0">'T08'!$B$23</definedName>
    <definedName name="SIMPL_Tab.24_Cod.1707_Lin.0_Typ.Double_Extra.0">'T08'!$B$24</definedName>
    <definedName name="SIMPL_Tab.24_Cod.1708_Lin.0_Typ.Double_Extra.0">'T08'!$C$17</definedName>
    <definedName name="SIMPL_Tab.24_Cod.1709_Lin.0_Typ.Double_Extra.0">'T08'!$C$18</definedName>
    <definedName name="SIMPL_Tab.24_Cod.1710_Lin.0_Typ.Double_Extra.0">'T08'!$C$19</definedName>
    <definedName name="SIMPL_Tab.24_Cod.1711_Lin.0_Typ.Double_Extra.0">'T08'!$C$20</definedName>
    <definedName name="SIMPL_Tab.24_Cod.1712_Lin.0_Typ.Double_Extra.0">'T08'!$C$21</definedName>
    <definedName name="SIMPL_Tab.24_Cod.1713_Lin.0_Typ.Double_Extra.0">'T08'!$C$22</definedName>
    <definedName name="SIMPL_Tab.24_Cod.1714_Lin.0_Typ.Double_Extra.0">'T08'!$C$23</definedName>
    <definedName name="SIMPL_Tab.24_Cod.1715_Lin.0_Typ.Double_Extra.0">'T08'!$C$24</definedName>
    <definedName name="SIMPL_Tab.24_Cod.1716_Lin.0_Typ.Double_Extra.0">'T08'!$D$17</definedName>
    <definedName name="SIMPL_Tab.24_Cod.1717_Lin.0_Typ.Double_Extra.0">'T08'!$D$18</definedName>
    <definedName name="SIMPL_Tab.24_Cod.1718_Lin.0_Typ.Double_Extra.0">'T08'!$D$19</definedName>
    <definedName name="SIMPL_Tab.24_Cod.1719_Lin.0_Typ.Double_Extra.0">'T08'!$D$20</definedName>
    <definedName name="SIMPL_Tab.24_Cod.1720_Lin.0_Typ.Double_Extra.0">'T08'!$D$21</definedName>
    <definedName name="SIMPL_Tab.24_Cod.1721_Lin.0_Typ.Double_Extra.0">'T08'!$D$22</definedName>
    <definedName name="SIMPL_Tab.24_Cod.1722_Lin.0_Typ.Double_Extra.0">'T08'!$D$23</definedName>
    <definedName name="SIMPL_Tab.24_Cod.1723_Lin.0_Typ.Double_Extra.0">'T08'!$D$24</definedName>
    <definedName name="SIMPL_Tab.24_Cod.1724_Lin.0_Typ.Double_Extra.0">'T08'!$E$17</definedName>
    <definedName name="SIMPL_Tab.24_Cod.1725_Lin.0_Typ.Double_Extra.0">'T08'!$E$18</definedName>
    <definedName name="SIMPL_Tab.24_Cod.1726_Lin.0_Typ.Double_Extra.0">'T08'!$E$19</definedName>
    <definedName name="SIMPL_Tab.24_Cod.1727_Lin.0_Typ.Double_Extra.0">'T08'!$E$20</definedName>
    <definedName name="SIMPL_Tab.24_Cod.1728_Lin.0_Typ.Double_Extra.0">'T08'!$E$21</definedName>
    <definedName name="SIMPL_Tab.24_Cod.1729_Lin.0_Typ.Double_Extra.0">'T08'!$E$22</definedName>
    <definedName name="SIMPL_Tab.24_Cod.1730_Lin.0_Typ.Double_Extra.0">'T08'!$E$23</definedName>
    <definedName name="SIMPL_Tab.24_Cod.1731_Lin.0_Typ.Double_Extra.0">'T08'!$E$24</definedName>
    <definedName name="SIMPL_Tab.240_Cod.14347_Lin.0_Typ.Double_Extra.0">'T26'!$D$5</definedName>
    <definedName name="SIMPL_Tab.240_Cod.14349_Lin.0_Typ.Double_Extra.0">'T26'!$D$6</definedName>
    <definedName name="SIMPL_Tab.240_Cod.14380_Lin.0_Typ.Double_Extra.0">'T26'!$D$30</definedName>
    <definedName name="SIMPL_Tab.240_Cod.14415_Lin.0_Typ.Double_Extra.0">'T26'!$D$31</definedName>
    <definedName name="SIMPL_Tab.240_Cod.14992_Lin.0_Typ.Double_Extra.0">'T26'!$D$18</definedName>
    <definedName name="SIMPL_Tab.240_Cod.14994_Lin.0_Typ.Double_Extra.0">'T26'!$D$19</definedName>
    <definedName name="SIMPL_Tab.240_Cod.14996_Lin.0_Typ.Double_Extra.0">'T26'!$D$20</definedName>
    <definedName name="SIMPL_Tab.240_Cod.17929_Lin.0_Typ.Double_Extra.0">'T26'!$D$17</definedName>
    <definedName name="SIMPL_Tab.26_Cod.1110_Lin.0_Typ.Double_Extra.0">'T17'!$C$4</definedName>
    <definedName name="SIMPL_Tab.26_Cod.1111_Lin.0_Typ.Double_Extra.0">'T17'!$D$4</definedName>
    <definedName name="SIMPL_Tab.26_Cod.1112_Lin.0_Typ.Double_Extra.0">'T17'!$E$4</definedName>
    <definedName name="SIMPL_Tab.26_Cod.1113_Lin.0_Typ.Double_Extra.0">'T17'!$F$4</definedName>
    <definedName name="SIMPL_Tab.26_Cod.1114_Lin.0_Typ.Double_Extra.0">'T17'!$G$4</definedName>
    <definedName name="SIMPL_Tab.26_Cod.1115_Lin.0_Typ.Double_Extra.0">'T17'!$H$4</definedName>
    <definedName name="SIMPL_Tab.26_Cod.1116_Lin.0_Typ.Double_Extra.0">'T17'!$I$4</definedName>
    <definedName name="SIMPL_Tab.26_Cod.1117_Lin.0_Typ.Texte_Extra.0">'T17'!$J$4</definedName>
    <definedName name="SIMPL_Tab.26_Cod.1119_Lin.0_Typ.Double_Extra.0">'T17'!$C$5</definedName>
    <definedName name="SIMPL_Tab.26_Cod.1120_Lin.0_Typ.Double_Extra.0">'T17'!$D$5</definedName>
    <definedName name="SIMPL_Tab.26_Cod.1121_Lin.0_Typ.Double_Extra.0">'T17'!$E$5</definedName>
    <definedName name="SIMPL_Tab.26_Cod.1122_Lin.0_Typ.Double_Extra.0">'T17'!$F$5</definedName>
    <definedName name="SIMPL_Tab.26_Cod.1123_Lin.0_Typ.Double_Extra.0">'T17'!$G$5</definedName>
    <definedName name="SIMPL_Tab.26_Cod.1124_Lin.0_Typ.Double_Extra.0">'T17'!$H$5</definedName>
    <definedName name="SIMPL_Tab.26_Cod.1125_Lin.0_Typ.Double_Extra.0">'T17'!$I$5</definedName>
    <definedName name="SIMPL_Tab.26_Cod.1126_Lin.0_Typ.Texte_Extra.0">'T17'!$J$5</definedName>
    <definedName name="SIMPL_Tab.26_Cod.1128_Lin.0_Typ.Double_Extra.0">'T17'!$C$6</definedName>
    <definedName name="SIMPL_Tab.26_Cod.1129_Lin.0_Typ.Double_Extra.0">'T17'!$D$6</definedName>
    <definedName name="SIMPL_Tab.26_Cod.1130_Lin.0_Typ.Double_Extra.0">'T17'!$E$6</definedName>
    <definedName name="SIMPL_Tab.26_Cod.1131_Lin.0_Typ.Double_Extra.0">'T17'!$F$6</definedName>
    <definedName name="SIMPL_Tab.26_Cod.1132_Lin.0_Typ.Double_Extra.0">'T17'!$G$6</definedName>
    <definedName name="SIMPL_Tab.26_Cod.1133_Lin.0_Typ.Double_Extra.0">'T17'!$H$6</definedName>
    <definedName name="SIMPL_Tab.26_Cod.1134_Lin.0_Typ.Double_Extra.0">'T17'!$I$6</definedName>
    <definedName name="SIMPL_Tab.26_Cod.1135_Lin.0_Typ.Texte_Extra.0">'T17'!$J$6</definedName>
    <definedName name="SIMPL_Tab.26_Cod.1137_Lin.0_Typ.Double_Extra.0">'T17'!$C$7</definedName>
    <definedName name="SIMPL_Tab.26_Cod.1138_Lin.0_Typ.Double_Extra.0">'T17'!$D$7</definedName>
    <definedName name="SIMPL_Tab.26_Cod.1139_Lin.0_Typ.Double_Extra.0">'T17'!$E$7</definedName>
    <definedName name="SIMPL_Tab.26_Cod.1140_Lin.0_Typ.Double_Extra.0">'T17'!$F$7</definedName>
    <definedName name="SIMPL_Tab.26_Cod.1141_Lin.0_Typ.Double_Extra.0">'T17'!$G$7</definedName>
    <definedName name="SIMPL_Tab.26_Cod.1142_Lin.0_Typ.Double_Extra.0">'T17'!$H$7</definedName>
    <definedName name="SIMPL_Tab.26_Cod.1143_Lin.0_Typ.Double_Extra.0">'T17'!$I$7</definedName>
    <definedName name="SIMPL_Tab.26_Cod.1144_Lin.0_Typ.Texte_Extra.0">'T17'!$J$7</definedName>
    <definedName name="SIMPL_Tab.26_Cod.1146_Lin.0_Typ.Double_Extra.0">'T17'!$C$8</definedName>
    <definedName name="SIMPL_Tab.26_Cod.1147_Lin.0_Typ.Double_Extra.0">'T17'!$D$8</definedName>
    <definedName name="SIMPL_Tab.26_Cod.1148_Lin.0_Typ.Double_Extra.0">'T17'!$E$8</definedName>
    <definedName name="SIMPL_Tab.26_Cod.1149_Lin.0_Typ.Double_Extra.0">'T17'!$F$8</definedName>
    <definedName name="SIMPL_Tab.26_Cod.1150_Lin.0_Typ.Double_Extra.0">'T17'!$G$8</definedName>
    <definedName name="SIMPL_Tab.26_Cod.1151_Lin.0_Typ.Double_Extra.0">'T17'!$H$8</definedName>
    <definedName name="SIMPL_Tab.26_Cod.1152_Lin.0_Typ.Double_Extra.0">'T17'!$I$8</definedName>
    <definedName name="SIMPL_Tab.26_Cod.1153_Lin.0_Typ.Texte_Extra.0">'T17'!$J$8</definedName>
    <definedName name="SIMPL_Tab.26_Cod.1155_Lin.0_Typ.Double_Extra.0">'T17'!$C$9</definedName>
    <definedName name="SIMPL_Tab.26_Cod.1156_Lin.0_Typ.Double_Extra.0">'T17'!$D$9</definedName>
    <definedName name="SIMPL_Tab.26_Cod.1157_Lin.0_Typ.Double_Extra.0">'T17'!$E$9</definedName>
    <definedName name="SIMPL_Tab.26_Cod.1158_Lin.0_Typ.Double_Extra.0">'T17'!$F$9</definedName>
    <definedName name="SIMPL_Tab.26_Cod.1159_Lin.0_Typ.Double_Extra.0">'T17'!$G$9</definedName>
    <definedName name="SIMPL_Tab.26_Cod.1160_Lin.0_Typ.Double_Extra.0">'T17'!$H$9</definedName>
    <definedName name="SIMPL_Tab.26_Cod.1161_Lin.0_Typ.Double_Extra.0">'T17'!$I$9</definedName>
    <definedName name="SIMPL_Tab.26_Cod.1162_Lin.0_Typ.Texte_Extra.0">'T17'!$J$9</definedName>
    <definedName name="SIMPL_Tab.26_Cod.1164_Lin.0_Typ.Double_Extra.0">'T17'!$C$10</definedName>
    <definedName name="SIMPL_Tab.26_Cod.1165_Lin.0_Typ.Double_Extra.0">'T17'!$D$10</definedName>
    <definedName name="SIMPL_Tab.26_Cod.1166_Lin.0_Typ.Double_Extra.0">'T17'!$E$10</definedName>
    <definedName name="SIMPL_Tab.26_Cod.1167_Lin.0_Typ.Double_Extra.0">'T17'!$F$10</definedName>
    <definedName name="SIMPL_Tab.26_Cod.1168_Lin.0_Typ.Double_Extra.0">'T17'!$G$10</definedName>
    <definedName name="SIMPL_Tab.26_Cod.1169_Lin.0_Typ.Double_Extra.0">'T17'!$H$10</definedName>
    <definedName name="SIMPL_Tab.26_Cod.1170_Lin.0_Typ.Double_Extra.0">'T17'!$I$10</definedName>
    <definedName name="SIMPL_Tab.26_Cod.1171_Lin.0_Typ.Texte_Extra.0">'T17'!$J$10</definedName>
    <definedName name="SIMPL_Tab.26_Cod.1173_Lin.0_Typ.Double_Extra.0">'T17'!$C$11</definedName>
    <definedName name="SIMPL_Tab.26_Cod.1174_Lin.0_Typ.Double_Extra.0">'T17'!$D$11</definedName>
    <definedName name="SIMPL_Tab.26_Cod.1175_Lin.0_Typ.Double_Extra.0">'T17'!$E$11</definedName>
    <definedName name="SIMPL_Tab.26_Cod.1176_Lin.0_Typ.Double_Extra.0">'T17'!$F$11</definedName>
    <definedName name="SIMPL_Tab.26_Cod.1177_Lin.0_Typ.Double_Extra.0">'T17'!$G$11</definedName>
    <definedName name="SIMPL_Tab.26_Cod.1178_Lin.0_Typ.Double_Extra.0">'T17'!$H$11</definedName>
    <definedName name="SIMPL_Tab.26_Cod.1179_Lin.0_Typ.Double_Extra.0">'T17'!$I$11</definedName>
    <definedName name="SIMPL_Tab.26_Cod.1180_Lin.0_Typ.Texte_Extra.0">'T17'!$J$11</definedName>
    <definedName name="SIMPL_Tab.26_Cod.1182_Lin.0_Typ.Double_Extra.0">'T17'!$C$12</definedName>
    <definedName name="SIMPL_Tab.26_Cod.1183_Lin.0_Typ.Double_Extra.0">'T17'!$D$12</definedName>
    <definedName name="SIMPL_Tab.26_Cod.1184_Lin.0_Typ.Double_Extra.0">'T17'!$E$12</definedName>
    <definedName name="SIMPL_Tab.26_Cod.1185_Lin.0_Typ.Double_Extra.0">'T17'!$F$12</definedName>
    <definedName name="SIMPL_Tab.26_Cod.1186_Lin.0_Typ.Double_Extra.0">'T17'!$G$12</definedName>
    <definedName name="SIMPL_Tab.26_Cod.1187_Lin.0_Typ.Double_Extra.0">'T17'!$H$12</definedName>
    <definedName name="SIMPL_Tab.26_Cod.1188_Lin.0_Typ.Double_Extra.0">'T17'!$I$12</definedName>
    <definedName name="SIMPL_Tab.26_Cod.1189_Lin.0_Typ.Texte_Extra.0">'T17'!$J$12</definedName>
    <definedName name="SIMPL_Tab.26_Cod.1191_Lin.0_Typ.Double_Extra.0">'T17'!$C$13</definedName>
    <definedName name="SIMPL_Tab.26_Cod.1192_Lin.0_Typ.Double_Extra.0">'T17'!$D$13</definedName>
    <definedName name="SIMPL_Tab.26_Cod.1193_Lin.0_Typ.Double_Extra.0">'T17'!$E$13</definedName>
    <definedName name="SIMPL_Tab.26_Cod.1194_Lin.0_Typ.Double_Extra.0">'T17'!$F$13</definedName>
    <definedName name="SIMPL_Tab.26_Cod.1195_Lin.0_Typ.Double_Extra.0">'T17'!$G$13</definedName>
    <definedName name="SIMPL_Tab.26_Cod.1196_Lin.0_Typ.Double_Extra.0">'T17'!$H$13</definedName>
    <definedName name="SIMPL_Tab.26_Cod.1197_Lin.0_Typ.Double_Extra.0">'T17'!$I$13</definedName>
    <definedName name="SIMPL_Tab.26_Cod.1198_Lin.0_Typ.Texte_Extra.0">'T17'!$J$13</definedName>
    <definedName name="SIMPL_Tab.26_Cod.1200_Lin.0_Typ.Double_Extra.0">'T17'!$C$14</definedName>
    <definedName name="SIMPL_Tab.26_Cod.1201_Lin.0_Typ.Double_Extra.0">'T17'!$D$14</definedName>
    <definedName name="SIMPL_Tab.26_Cod.1202_Lin.0_Typ.Double_Extra.0">'T17'!$E$14</definedName>
    <definedName name="SIMPL_Tab.26_Cod.1203_Lin.0_Typ.Double_Extra.0">'T17'!$F$14</definedName>
    <definedName name="SIMPL_Tab.26_Cod.1204_Lin.0_Typ.Double_Extra.0">'T17'!$G$14</definedName>
    <definedName name="SIMPL_Tab.26_Cod.1205_Lin.0_Typ.Double_Extra.0">'T17'!$H$14</definedName>
    <definedName name="SIMPL_Tab.26_Cod.1206_Lin.0_Typ.Double_Extra.0">'T17'!$I$14</definedName>
    <definedName name="SIMPL_Tab.26_Cod.1207_Lin.0_Typ.Texte_Extra.0">'T17'!$J$14</definedName>
    <definedName name="SIMPL_Tab.26_Cod.54_Lin.0_Typ.Date_Extra.1">Complements!$B$70</definedName>
    <definedName name="SIMPL_Tab.27_Cod.1257_Lin.0_Typ.Double_Extra.0">'T18'!$F$17</definedName>
    <definedName name="SIMPL_Tab.27_Cod.1261_Lin.0_Typ.Double_Extra.0">'T18'!$J$17</definedName>
    <definedName name="SIMPL_Tab.27_Cod.1262_Lin.0_Typ.Double_Extra.0">'T18'!$K$17</definedName>
    <definedName name="SIMPL_Tab.27_Cod.1263_Lin.0_Typ.Double_Extra.0">'T18'!$L$17</definedName>
    <definedName name="SIMPL_Tab.27_Cod.1264_Lin.0_Typ.Double_Extra.0">'T18'!$M$17</definedName>
    <definedName name="SIMPL_Tab.27_Cod.1265_Lin.0_Typ.Double_Extra.0">'T18'!$N$17</definedName>
    <definedName name="SIMPL_Tab.27_Cod.55_Lin.0_Typ.Date_Extra.1">Complements!$B$71</definedName>
    <definedName name="SIMPL_Tab.28_Cod.1279_Lin.0_Typ.Double_Extra.0">'T19'!$J$24</definedName>
    <definedName name="SIMPL_Tab.28_Cod.1280_Lin.0_Typ.Double_Extra.0">'T19'!$K$24</definedName>
    <definedName name="SIMPL_Tab.32_Cod.1308_Lin.0_Typ.Double_Extra.0">'T05'!$E$6</definedName>
    <definedName name="SIMPL_Tab.32_Cod.1309_Lin.0_Typ.Double_Extra.0">'T05'!$E$7</definedName>
    <definedName name="SIMPL_Tab.32_Cod.1310_Lin.0_Typ.Double_Extra.0">'T05'!$E$8</definedName>
    <definedName name="SIMPL_Tab.32_Cod.1311_Lin.0_Typ.Double_Extra.0">'T05'!$E$9</definedName>
    <definedName name="SIMPL_Tab.32_Cod.1312_Lin.0_Typ.Double_Extra.0">'T05'!$E$10</definedName>
    <definedName name="SIMPL_Tab.32_Cod.1313_Lin.0_Typ.Double_Extra.0">'T05'!$E$11</definedName>
    <definedName name="SIMPL_Tab.32_Cod.1314_Lin.0_Typ.Double_Extra.0">'T05'!$E$12</definedName>
    <definedName name="SIMPL_Tab.32_Cod.1315_Lin.0_Typ.Double_Extra.0">'T05'!$E$13</definedName>
    <definedName name="SIMPL_Tab.32_Cod.1316_Lin.0_Typ.Double_Extra.0">'T05'!$E$14</definedName>
    <definedName name="SIMPL_Tab.32_Cod.1317_Lin.0_Typ.Double_Extra.0">'T05'!$E$15</definedName>
    <definedName name="SIMPL_Tab.32_Cod.1318_Lin.0_Typ.Double_Extra.0">'T05'!$E$16</definedName>
    <definedName name="SIMPL_Tab.32_Cod.1319_Lin.0_Typ.Double_Extra.0">'T05'!$E$17</definedName>
    <definedName name="SIMPL_Tab.32_Cod.1320_Lin.0_Typ.Double_Extra.0">'T05'!$E$18</definedName>
    <definedName name="SIMPL_Tab.32_Cod.1321_Lin.0_Typ.Double_Extra.0">'T05'!$E$19</definedName>
    <definedName name="SIMPL_Tab.32_Cod.1324_Lin.0_Typ.Double_Extra.0">'T05'!$E$22</definedName>
    <definedName name="SIMPL_Tab.32_Cod.1325_Lin.0_Typ.Double_Extra.0">'T05'!$E$23</definedName>
    <definedName name="SIMPL_Tab.32_Cod.1326_Lin.0_Typ.Double_Extra.0">'T05'!$E$24</definedName>
    <definedName name="SIMPL_Tab.32_Cod.1327_Lin.0_Typ.Double_Extra.0">'T05'!$E$25</definedName>
    <definedName name="SIMPL_Tab.32_Cod.1328_Lin.0_Typ.Double_Extra.0">'T05'!$E$26</definedName>
    <definedName name="SIMPL_Tab.32_Cod.1329_Lin.0_Typ.Double_Extra.0">'T05'!$E$27</definedName>
    <definedName name="SIMPL_Tab.32_Cod.1330_Lin.0_Typ.Double_Extra.0">'T05'!$E$28</definedName>
    <definedName name="SIMPL_Tab.32_Cod.1331_Lin.0_Typ.Double_Extra.0">'T05'!$E$29</definedName>
    <definedName name="SIMPL_Tab.32_Cod.1332_Lin.0_Typ.Double_Extra.0">'T05'!$E$30</definedName>
    <definedName name="SIMPL_Tab.32_Cod.1333_Lin.0_Typ.Double_Extra.0">'T05'!$F$6</definedName>
    <definedName name="SIMPL_Tab.32_Cod.1334_Lin.0_Typ.Double_Extra.0">'T05'!$F$7</definedName>
    <definedName name="SIMPL_Tab.32_Cod.1335_Lin.0_Typ.Double_Extra.0">'T05'!$F$8</definedName>
    <definedName name="SIMPL_Tab.32_Cod.1336_Lin.0_Typ.Double_Extra.0">'T05'!$F$9</definedName>
    <definedName name="SIMPL_Tab.32_Cod.1337_Lin.0_Typ.Double_Extra.0">'T05'!$F$10</definedName>
    <definedName name="SIMPL_Tab.32_Cod.1338_Lin.0_Typ.Double_Extra.0">'T05'!$F$11</definedName>
    <definedName name="SIMPL_Tab.32_Cod.1339_Lin.0_Typ.Double_Extra.0">'T05'!$F$12</definedName>
    <definedName name="SIMPL_Tab.32_Cod.1340_Lin.0_Typ.Double_Extra.0">'T05'!$F$13</definedName>
    <definedName name="SIMPL_Tab.32_Cod.1341_Lin.0_Typ.Double_Extra.0">'T05'!$F$14</definedName>
    <definedName name="SIMPL_Tab.32_Cod.1342_Lin.0_Typ.Double_Extra.0">'T05'!$F$15</definedName>
    <definedName name="SIMPL_Tab.32_Cod.1343_Lin.0_Typ.Double_Extra.0">'T05'!$F$16</definedName>
    <definedName name="SIMPL_Tab.32_Cod.1344_Lin.0_Typ.Double_Extra.0">'T05'!$F$17</definedName>
    <definedName name="SIMPL_Tab.32_Cod.1345_Lin.0_Typ.Double_Extra.0">'T05'!$F$18</definedName>
    <definedName name="SIMPL_Tab.32_Cod.1346_Lin.0_Typ.Double_Extra.0">'T05'!$F$19</definedName>
    <definedName name="SIMPL_Tab.32_Cod.1349_Lin.0_Typ.Double_Extra.0">'T05'!$F$22</definedName>
    <definedName name="SIMPL_Tab.32_Cod.1350_Lin.0_Typ.Double_Extra.0">'T05'!$F$23</definedName>
    <definedName name="SIMPL_Tab.32_Cod.1351_Lin.0_Typ.Double_Extra.0">'T05'!$F$24</definedName>
    <definedName name="SIMPL_Tab.32_Cod.1352_Lin.0_Typ.Double_Extra.0">'T05'!$F$25</definedName>
    <definedName name="SIMPL_Tab.32_Cod.1353_Lin.0_Typ.Double_Extra.0">'T05'!$F$26</definedName>
    <definedName name="SIMPL_Tab.32_Cod.1354_Lin.0_Typ.Double_Extra.0">'T05'!$F$27</definedName>
    <definedName name="SIMPL_Tab.32_Cod.1355_Lin.0_Typ.Double_Extra.0">'T05'!$F$28</definedName>
    <definedName name="SIMPL_Tab.32_Cod.1356_Lin.0_Typ.Double_Extra.0">'T05'!$F$29</definedName>
    <definedName name="SIMPL_Tab.32_Cod.1357_Lin.0_Typ.Double_Extra.0">'T05'!$F$30</definedName>
    <definedName name="SIMPL_Tab.32_Cod.1372_Lin.0_Typ.Double_Extra.0">'T05'!$E$33</definedName>
    <definedName name="SIMPL_Tab.32_Cod.1373_Lin.0_Typ.Double_Extra.0">'T05'!$E$34</definedName>
    <definedName name="SIMPL_Tab.32_Cod.1374_Lin.0_Typ.Double_Extra.0">'T05'!$E$35</definedName>
    <definedName name="SIMPL_Tab.32_Cod.1375_Lin.0_Typ.Double_Extra.0">'T05'!$E$36</definedName>
    <definedName name="SIMPL_Tab.32_Cod.1376_Lin.0_Typ.Double_Extra.0">'T05'!$E$37</definedName>
    <definedName name="SIMPL_Tab.32_Cod.1377_Lin.0_Typ.Double_Extra.0">'T05'!$E$38</definedName>
    <definedName name="SIMPL_Tab.32_Cod.1378_Lin.0_Typ.Double_Extra.0">'T05'!$E$39</definedName>
    <definedName name="SIMPL_Tab.32_Cod.1379_Lin.0_Typ.Double_Extra.0">'T05'!$E$40</definedName>
    <definedName name="SIMPL_Tab.32_Cod.1380_Lin.0_Typ.Double_Extra.0">'T05'!$E$41</definedName>
    <definedName name="SIMPL_Tab.32_Cod.1381_Lin.0_Typ.Double_Extra.0">'T05'!$E$42</definedName>
    <definedName name="SIMPL_Tab.32_Cod.1382_Lin.0_Typ.Double_Extra.0">'T05'!$E$43</definedName>
    <definedName name="SIMPL_Tab.32_Cod.1383_Lin.0_Typ.Double_Extra.0">'T05'!$E$44</definedName>
    <definedName name="SIMPL_Tab.32_Cod.1384_Lin.0_Typ.Double_Extra.0">'T05'!$E$45</definedName>
    <definedName name="SIMPL_Tab.32_Cod.1385_Lin.0_Typ.Double_Extra.0">'T05'!$E$46</definedName>
    <definedName name="SIMPL_Tab.32_Cod.1386_Lin.0_Typ.Double_Extra.0">'T05'!$F$33</definedName>
    <definedName name="SIMPL_Tab.32_Cod.1387_Lin.0_Typ.Double_Extra.0">'T05'!$F$34</definedName>
    <definedName name="SIMPL_Tab.32_Cod.1388_Lin.0_Typ.Double_Extra.0">'T05'!$F$35</definedName>
    <definedName name="SIMPL_Tab.32_Cod.1389_Lin.0_Typ.Double_Extra.0">'T05'!$F$36</definedName>
    <definedName name="SIMPL_Tab.32_Cod.1390_Lin.0_Typ.Double_Extra.0">'T05'!$F$37</definedName>
    <definedName name="SIMPL_Tab.32_Cod.1391_Lin.0_Typ.Double_Extra.0">'T05'!$F$38</definedName>
    <definedName name="SIMPL_Tab.32_Cod.1392_Lin.0_Typ.Double_Extra.0">'T05'!$F$39</definedName>
    <definedName name="SIMPL_Tab.32_Cod.1393_Lin.0_Typ.Double_Extra.0">'T05'!$F$40</definedName>
    <definedName name="SIMPL_Tab.32_Cod.1394_Lin.0_Typ.Double_Extra.0">'T05'!$F$41</definedName>
    <definedName name="SIMPL_Tab.32_Cod.1395_Lin.0_Typ.Double_Extra.0">'T05'!$F$42</definedName>
    <definedName name="SIMPL_Tab.32_Cod.1396_Lin.0_Typ.Double_Extra.0">'T05'!$F$43</definedName>
    <definedName name="SIMPL_Tab.32_Cod.1397_Lin.0_Typ.Double_Extra.0">'T05'!$F$44</definedName>
    <definedName name="SIMPL_Tab.32_Cod.1398_Lin.0_Typ.Double_Extra.0">'T05'!$F$45</definedName>
    <definedName name="SIMPL_Tab.32_Cod.1399_Lin.0_Typ.Double_Extra.0">'T05'!$F$46</definedName>
    <definedName name="SIMPL_Tab.32_Cod.4063_Lin.0_Typ.Double_Extra.0">'T05'!$E$20</definedName>
    <definedName name="SIMPL_Tab.32_Cod.4064_Lin.0_Typ.Double_Extra.0">'T05'!$F$20</definedName>
    <definedName name="SIMPL_Tab.32_Cod.4066_Lin.0_Typ.Double_Extra.0">'T05'!$E$21</definedName>
    <definedName name="SIMPL_Tab.32_Cod.4067_Lin.0_Typ.Double_Extra.0">'T05'!$F$21</definedName>
    <definedName name="SIMPL_Tab.34_Cod.10091_Lin.0_Typ.Double_Extra.0">'T06'!$D$24</definedName>
    <definedName name="SIMPL_Tab.34_Cod.10420_Lin.0_Typ.Double_Extra.0">'T06'!$D$25</definedName>
    <definedName name="SIMPL_Tab.34_Cod.1521_Lin.0_Typ.Double_Extra.0">'T06'!$C$5</definedName>
    <definedName name="SIMPL_Tab.34_Cod.1522_Lin.0_Typ.Double_Extra.0">'T06'!$C$6</definedName>
    <definedName name="SIMPL_Tab.34_Cod.1523_Lin.0_Typ.Double_Extra.0">'T06'!$C$7</definedName>
    <definedName name="SIMPL_Tab.34_Cod.1524_Lin.0_Typ.Double_Extra.0">'T06'!$C$8</definedName>
    <definedName name="SIMPL_Tab.34_Cod.1525_Lin.0_Typ.Double_Extra.0">'T06'!$C$9</definedName>
    <definedName name="SIMPL_Tab.34_Cod.1526_Lin.0_Typ.Double_Extra.0">'T06'!$C$10</definedName>
    <definedName name="SIMPL_Tab.34_Cod.1527_Lin.0_Typ.Double_Extra.0">'T06'!$C$11</definedName>
    <definedName name="SIMPL_Tab.34_Cod.1528_Lin.0_Typ.Double_Extra.0">'T06'!$C$12</definedName>
    <definedName name="SIMPL_Tab.34_Cod.1529_Lin.0_Typ.Double_Extra.0">'T06'!$C$13</definedName>
    <definedName name="SIMPL_Tab.34_Cod.1530_Lin.0_Typ.Double_Extra.0">'T06'!$C$14</definedName>
    <definedName name="SIMPL_Tab.34_Cod.1531_Lin.0_Typ.Double_Extra.0">'T06'!$C$15</definedName>
    <definedName name="SIMPL_Tab.34_Cod.1532_Lin.0_Typ.Double_Extra.0">'T06'!$C$17</definedName>
    <definedName name="SIMPL_Tab.34_Cod.1533_Lin.0_Typ.Double_Extra.0">'T06'!$C$18</definedName>
    <definedName name="SIMPL_Tab.34_Cod.1534_Lin.0_Typ.Double_Extra.0">'T06'!$C$19</definedName>
    <definedName name="SIMPL_Tab.34_Cod.1535_Lin.0_Typ.Double_Extra.0">'T06'!$C$20</definedName>
    <definedName name="SIMPL_Tab.34_Cod.1536_Lin.0_Typ.Double_Extra.0">'T06'!$C$21</definedName>
    <definedName name="SIMPL_Tab.34_Cod.1537_Lin.0_Typ.Double_Extra.0">'T06'!$C$22</definedName>
    <definedName name="SIMPL_Tab.34_Cod.1538_Lin.0_Typ.Double_Extra.0">'T06'!$C$23</definedName>
    <definedName name="SIMPL_Tab.34_Cod.1539_Lin.0_Typ.Double_Extra.0">'T06'!$C$24</definedName>
    <definedName name="SIMPL_Tab.34_Cod.1540_Lin.0_Typ.Double_Extra.0">'T06'!$C$25</definedName>
    <definedName name="SIMPL_Tab.34_Cod.1541_Lin.0_Typ.Double_Extra.0">'T06'!$C$26</definedName>
    <definedName name="SIMPL_Tab.34_Cod.1542_Lin.0_Typ.Double_Extra.0">'T06'!$C$27</definedName>
    <definedName name="SIMPL_Tab.34_Cod.1543_Lin.0_Typ.Double_Extra.0">'T06'!$C$28</definedName>
    <definedName name="SIMPL_Tab.34_Cod.1544_Lin.0_Typ.Double_Extra.0">'T06'!$C$29</definedName>
    <definedName name="SIMPL_Tab.34_Cod.1545_Lin.0_Typ.Double_Extra.0">'T06'!$C$30</definedName>
    <definedName name="SIMPL_Tab.34_Cod.1546_Lin.0_Typ.Double_Extra.0">'T06'!$C$31</definedName>
    <definedName name="SIMPL_Tab.34_Cod.1547_Lin.0_Typ.Double_Extra.0">'T06'!$C$32</definedName>
    <definedName name="SIMPL_Tab.34_Cod.1548_Lin.0_Typ.Double_Extra.0">'T06'!$C$33</definedName>
    <definedName name="SIMPL_Tab.34_Cod.1549_Lin.0_Typ.Double_Extra.0">'T06'!$C$34</definedName>
    <definedName name="SIMPL_Tab.34_Cod.1550_Lin.0_Typ.Double_Extra.0">'T06'!$C$35</definedName>
    <definedName name="SIMPL_Tab.34_Cod.1551_Lin.0_Typ.Double_Extra.0">'T06'!$C$36</definedName>
    <definedName name="SIMPL_Tab.34_Cod.1552_Lin.0_Typ.Double_Extra.0">'T06'!$C$37</definedName>
    <definedName name="SIMPL_Tab.34_Cod.1553_Lin.0_Typ.Double_Extra.0">'T06'!$C$38</definedName>
    <definedName name="SIMPL_Tab.34_Cod.1562_Lin.0_Typ.Double_Extra.0">'T06'!$D$5</definedName>
    <definedName name="SIMPL_Tab.34_Cod.1563_Lin.0_Typ.Double_Extra.0">'T06'!$D$6</definedName>
    <definedName name="SIMPL_Tab.34_Cod.1564_Lin.0_Typ.Double_Extra.0">'T06'!$D$7</definedName>
    <definedName name="SIMPL_Tab.34_Cod.1565_Lin.0_Typ.Double_Extra.0">'T06'!$D$8</definedName>
    <definedName name="SIMPL_Tab.34_Cod.1566_Lin.0_Typ.Double_Extra.0">'T06'!$D$9</definedName>
    <definedName name="SIMPL_Tab.34_Cod.1567_Lin.0_Typ.Double_Extra.0">'T06'!$D$10</definedName>
    <definedName name="SIMPL_Tab.34_Cod.1568_Lin.0_Typ.Double_Extra.0">'T06'!$D$11</definedName>
    <definedName name="SIMPL_Tab.34_Cod.1569_Lin.0_Typ.Double_Extra.0">'T06'!$D$12</definedName>
    <definedName name="SIMPL_Tab.34_Cod.1570_Lin.0_Typ.Double_Extra.0">'T06'!$D$13</definedName>
    <definedName name="SIMPL_Tab.34_Cod.1571_Lin.0_Typ.Double_Extra.0">'T06'!$D$14</definedName>
    <definedName name="SIMPL_Tab.34_Cod.1572_Lin.0_Typ.Double_Extra.0">'T06'!$D$15</definedName>
    <definedName name="SIMPL_Tab.34_Cod.1573_Lin.0_Typ.Double_Extra.0">'T06'!$D$17</definedName>
    <definedName name="SIMPL_Tab.34_Cod.1574_Lin.0_Typ.Double_Extra.0">'T06'!$D$18</definedName>
    <definedName name="SIMPL_Tab.34_Cod.1575_Lin.0_Typ.Double_Extra.0">'T06'!$D$19</definedName>
    <definedName name="SIMPL_Tab.34_Cod.1576_Lin.0_Typ.Double_Extra.0">'T06'!$D$20</definedName>
    <definedName name="SIMPL_Tab.34_Cod.1577_Lin.0_Typ.Double_Extra.0">'T06'!$D$21</definedName>
    <definedName name="SIMPL_Tab.34_Cod.1578_Lin.0_Typ.Double_Extra.0">'T06'!$D$22</definedName>
    <definedName name="SIMPL_Tab.34_Cod.1579_Lin.0_Typ.Double_Extra.0">'T06'!$D$23</definedName>
    <definedName name="SIMPL_Tab.34_Cod.1582_Lin.0_Typ.Double_Extra.0">'T06'!$D$26</definedName>
    <definedName name="SIMPL_Tab.34_Cod.1583_Lin.0_Typ.Double_Extra.0">'T06'!$D$27</definedName>
    <definedName name="SIMPL_Tab.34_Cod.1584_Lin.0_Typ.Double_Extra.0">'T06'!$D$28</definedName>
    <definedName name="SIMPL_Tab.34_Cod.1585_Lin.0_Typ.Double_Extra.0">'T06'!$D$29</definedName>
    <definedName name="SIMPL_Tab.34_Cod.1586_Lin.0_Typ.Double_Extra.0">'T06'!$D$30</definedName>
    <definedName name="SIMPL_Tab.34_Cod.1587_Lin.0_Typ.Double_Extra.0">'T06'!$D$31</definedName>
    <definedName name="SIMPL_Tab.34_Cod.1588_Lin.0_Typ.Double_Extra.0">'T06'!$D$32</definedName>
    <definedName name="SIMPL_Tab.34_Cod.1589_Lin.0_Typ.Double_Extra.0">'T06'!$D$33</definedName>
    <definedName name="SIMPL_Tab.34_Cod.1590_Lin.0_Typ.Double_Extra.0">'T06'!$D$34</definedName>
    <definedName name="SIMPL_Tab.34_Cod.1591_Lin.0_Typ.Double_Extra.0">'T06'!$D$35</definedName>
    <definedName name="SIMPL_Tab.34_Cod.1592_Lin.0_Typ.Double_Extra.0">'T06'!$D$36</definedName>
    <definedName name="SIMPL_Tab.34_Cod.1593_Lin.0_Typ.Double_Extra.0">'T06'!$D$37</definedName>
    <definedName name="SIMPL_Tab.34_Cod.1594_Lin.0_Typ.Double_Extra.0">'T06'!$D$38</definedName>
    <definedName name="SIMPL_Tab.34_Cod.1733_Lin.0_Typ.Double_Extra.0">'T06'!$C$39</definedName>
    <definedName name="SIMPL_Tab.34_Cod.1734_Lin.0_Typ.Double_Extra.0">'T06'!$D$39</definedName>
    <definedName name="SIMPL_Tab.34_Cod.1764_Lin.0_Typ.Double_Extra.0">'T06'!$C$41</definedName>
    <definedName name="SIMPL_Tab.34_Cod.1765_Lin.0_Typ.Double_Extra.0">'T06'!$C$42</definedName>
    <definedName name="SIMPL_Tab.34_Cod.1766_Lin.0_Typ.Double_Extra.0">'T06'!$C$43</definedName>
    <definedName name="SIMPL_Tab.34_Cod.1767_Lin.0_Typ.Double_Extra.0">'T06'!$C$44</definedName>
    <definedName name="SIMPL_Tab.34_Cod.1792_Lin.0_Typ.Double_Extra.0">'T06'!$C$46</definedName>
    <definedName name="SIMPL_Tab.34_Cod.1793_Lin.0_Typ.Double_Extra.0">'T06'!$C$47</definedName>
    <definedName name="SIMPL_Tab.34_Cod.1794_Lin.0_Typ.Double_Extra.0">'T06'!$C$48</definedName>
    <definedName name="SIMPL_Tab.34_Cod.1795_Lin.0_Typ.Double_Extra.0">'T06'!$C$49</definedName>
    <definedName name="SIMPL_Tab.34_Cod.1796_Lin.0_Typ.Double_Extra.0">'T06'!$C$50</definedName>
    <definedName name="SIMPL_Tab.34_Cod.1797_Lin.0_Typ.Double_Extra.0">'T06'!$C$51</definedName>
    <definedName name="SIMPL_Tab.34_Cod.1798_Lin.0_Typ.Double_Extra.0">'T06'!$C$52</definedName>
    <definedName name="SIMPL_Tab.34_Cod.1807_Lin.0_Typ.Double_Extra.0">'T06'!$D$46</definedName>
    <definedName name="SIMPL_Tab.34_Cod.1808_Lin.0_Typ.Double_Extra.0">'T06'!$D$47</definedName>
    <definedName name="SIMPL_Tab.34_Cod.1809_Lin.0_Typ.Double_Extra.0">'T06'!$D$48</definedName>
    <definedName name="SIMPL_Tab.34_Cod.1810_Lin.0_Typ.Double_Extra.0">'T06'!$D$49</definedName>
    <definedName name="SIMPL_Tab.34_Cod.1811_Lin.0_Typ.Double_Extra.0">'T06'!$D$50</definedName>
    <definedName name="SIMPL_Tab.34_Cod.1812_Lin.0_Typ.Double_Extra.0">'T06'!$D$51</definedName>
    <definedName name="SIMPL_Tab.34_Cod.1813_Lin.0_Typ.Double_Extra.0">'T06'!$D$52</definedName>
    <definedName name="SIMPL_Tab.34_Cod.1814_Lin.0_Typ.Double_Extra.0">'T06'!$D$41</definedName>
    <definedName name="SIMPL_Tab.34_Cod.1815_Lin.0_Typ.Double_Extra.0">'T06'!$D$42</definedName>
    <definedName name="SIMPL_Tab.34_Cod.1816_Lin.0_Typ.Double_Extra.0">'T06'!$D$43</definedName>
    <definedName name="SIMPL_Tab.34_Cod.1817_Lin.0_Typ.Double_Extra.0">'T06'!$D$44</definedName>
    <definedName name="SIMPL_Tab.34_Cod.1963_Lin.0_Typ.Double_Extra.0">'T06'!$C$57</definedName>
    <definedName name="SIMPL_Tab.34_Cod.1964_Lin.0_Typ.Double_Extra.0">'T06'!$C$58</definedName>
    <definedName name="SIMPL_Tab.34_Cod.1965_Lin.0_Typ.Double_Extra.0">'T06'!$C$59</definedName>
    <definedName name="SIMPL_Tab.34_Cod.1966_Lin.0_Typ.Double_Extra.0">'T06'!$C$60</definedName>
    <definedName name="SIMPL_Tab.34_Cod.1967_Lin.0_Typ.Double_Extra.0">'T06'!$C$61</definedName>
    <definedName name="SIMPL_Tab.34_Cod.1968_Lin.0_Typ.Double_Extra.0">'T06'!$C$62</definedName>
    <definedName name="SIMPL_Tab.34_Cod.1969_Lin.0_Typ.Double_Extra.0">'T06'!$C$63</definedName>
    <definedName name="SIMPL_Tab.34_Cod.1970_Lin.0_Typ.Double_Extra.0">'T06'!$C$64</definedName>
    <definedName name="SIMPL_Tab.34_Cod.1971_Lin.0_Typ.Double_Extra.0">'T06'!$C$65</definedName>
    <definedName name="SIMPL_Tab.34_Cod.1972_Lin.0_Typ.Double_Extra.0">'T06'!$C$66</definedName>
    <definedName name="SIMPL_Tab.34_Cod.1973_Lin.0_Typ.Double_Extra.0">'T06'!$C$67</definedName>
    <definedName name="SIMPL_Tab.34_Cod.1974_Lin.0_Typ.Double_Extra.0">'T06'!$C$68</definedName>
    <definedName name="SIMPL_Tab.34_Cod.1975_Lin.0_Typ.Double_Extra.0">'T06'!$C$69</definedName>
    <definedName name="SIMPL_Tab.34_Cod.1976_Lin.0_Typ.Double_Extra.0">'T06'!$C$70</definedName>
    <definedName name="SIMPL_Tab.34_Cod.1977_Lin.0_Typ.Double_Extra.0">'T06'!$C$71</definedName>
    <definedName name="SIMPL_Tab.34_Cod.1978_Lin.0_Typ.Double_Extra.0">'T06'!$C$72</definedName>
    <definedName name="SIMPL_Tab.34_Cod.1979_Lin.0_Typ.Double_Extra.0">'T06'!$C$73</definedName>
    <definedName name="SIMPL_Tab.34_Cod.1980_Lin.0_Typ.Double_Extra.0">'T06'!$C$74</definedName>
    <definedName name="SIMPL_Tab.34_Cod.1981_Lin.0_Typ.Double_Extra.0">'T06'!$C$75</definedName>
    <definedName name="SIMPL_Tab.34_Cod.1982_Lin.0_Typ.Double_Extra.0">'T06'!$C$76</definedName>
    <definedName name="SIMPL_Tab.34_Cod.1983_Lin.0_Typ.Double_Extra.0">'T06'!$C$77</definedName>
    <definedName name="SIMPL_Tab.34_Cod.1984_Lin.0_Typ.Double_Extra.0">'T06'!$C$78</definedName>
    <definedName name="SIMPL_Tab.34_Cod.1985_Lin.0_Typ.Double_Extra.0">'T06'!$C$79</definedName>
    <definedName name="SIMPL_Tab.34_Cod.1986_Lin.0_Typ.Double_Extra.0">'T06'!$C$80</definedName>
    <definedName name="SIMPL_Tab.34_Cod.1987_Lin.0_Typ.Double_Extra.0">'T06'!$C$81</definedName>
    <definedName name="SIMPL_Tab.34_Cod.1988_Lin.0_Typ.Double_Extra.0">'T06'!$C$82</definedName>
    <definedName name="SIMPL_Tab.34_Cod.1989_Lin.0_Typ.Double_Extra.0">'T06'!$D$57</definedName>
    <definedName name="SIMPL_Tab.34_Cod.1990_Lin.0_Typ.Double_Extra.0">'T06'!$D$58</definedName>
    <definedName name="SIMPL_Tab.34_Cod.1991_Lin.0_Typ.Double_Extra.0">'T06'!$D$59</definedName>
    <definedName name="SIMPL_Tab.34_Cod.1992_Lin.0_Typ.Double_Extra.0">'T06'!$D$60</definedName>
    <definedName name="SIMPL_Tab.34_Cod.1993_Lin.0_Typ.Double_Extra.0">'T06'!$D$61</definedName>
    <definedName name="SIMPL_Tab.34_Cod.1994_Lin.0_Typ.Double_Extra.0">'T06'!$D$62</definedName>
    <definedName name="SIMPL_Tab.34_Cod.1995_Lin.0_Typ.Double_Extra.0">'T06'!$D$63</definedName>
    <definedName name="SIMPL_Tab.34_Cod.1996_Lin.0_Typ.Double_Extra.0">'T06'!$D$64</definedName>
    <definedName name="SIMPL_Tab.34_Cod.1997_Lin.0_Typ.Double_Extra.0">'T06'!$D$65</definedName>
    <definedName name="SIMPL_Tab.34_Cod.1998_Lin.0_Typ.Double_Extra.0">'T06'!$D$66</definedName>
    <definedName name="SIMPL_Tab.34_Cod.1999_Lin.0_Typ.Double_Extra.0">'T06'!$D$67</definedName>
    <definedName name="SIMPL_Tab.34_Cod.2000_Lin.0_Typ.Double_Extra.0">'T06'!$D$68</definedName>
    <definedName name="SIMPL_Tab.34_Cod.2001_Lin.0_Typ.Double_Extra.0">'T06'!$D$69</definedName>
    <definedName name="SIMPL_Tab.34_Cod.2002_Lin.0_Typ.Double_Extra.0">'T06'!$D$70</definedName>
    <definedName name="SIMPL_Tab.34_Cod.2003_Lin.0_Typ.Double_Extra.0">'T06'!$D$71</definedName>
    <definedName name="SIMPL_Tab.34_Cod.2004_Lin.0_Typ.Double_Extra.0">'T06'!$D$72</definedName>
    <definedName name="SIMPL_Tab.34_Cod.2005_Lin.0_Typ.Double_Extra.0">'T06'!$D$73</definedName>
    <definedName name="SIMPL_Tab.34_Cod.2006_Lin.0_Typ.Double_Extra.0">'T06'!$D$74</definedName>
    <definedName name="SIMPL_Tab.34_Cod.2007_Lin.0_Typ.Double_Extra.0">'T06'!$D$75</definedName>
    <definedName name="SIMPL_Tab.34_Cod.2008_Lin.0_Typ.Double_Extra.0">'T06'!$D$76</definedName>
    <definedName name="SIMPL_Tab.34_Cod.2009_Lin.0_Typ.Double_Extra.0">'T06'!$D$77</definedName>
    <definedName name="SIMPL_Tab.34_Cod.2010_Lin.0_Typ.Double_Extra.0">'T06'!$D$78</definedName>
    <definedName name="SIMPL_Tab.34_Cod.2011_Lin.0_Typ.Double_Extra.0">'T06'!$D$79</definedName>
    <definedName name="SIMPL_Tab.34_Cod.2012_Lin.0_Typ.Double_Extra.0">'T06'!$D$80</definedName>
    <definedName name="SIMPL_Tab.34_Cod.2013_Lin.0_Typ.Double_Extra.0">'T06'!$D$81</definedName>
    <definedName name="SIMPL_Tab.34_Cod.2014_Lin.0_Typ.Double_Extra.0">'T06'!$D$82</definedName>
    <definedName name="SIMPL_Tab.34_Cod.2022_Lin.0_Typ.Double_Extra.0">'T06'!$C$84</definedName>
    <definedName name="SIMPL_Tab.34_Cod.2024_Lin.0_Typ.Double_Extra.0">'T06'!$C$85</definedName>
    <definedName name="SIMPL_Tab.34_Cod.2025_Lin.0_Typ.Double_Extra.0">'T06'!$C$86</definedName>
    <definedName name="SIMPL_Tab.34_Cod.2026_Lin.0_Typ.Double_Extra.0">'T06'!$C$87</definedName>
    <definedName name="SIMPL_Tab.34_Cod.2027_Lin.0_Typ.Double_Extra.0">'T06'!$C$88</definedName>
    <definedName name="SIMPL_Tab.34_Cod.2028_Lin.0_Typ.Double_Extra.0">'T06'!$C$89</definedName>
    <definedName name="SIMPL_Tab.34_Cod.2029_Lin.0_Typ.Double_Extra.0">'T06'!$D$84</definedName>
    <definedName name="SIMPL_Tab.34_Cod.2031_Lin.0_Typ.Double_Extra.0">'T06'!$D$85</definedName>
    <definedName name="SIMPL_Tab.34_Cod.2032_Lin.0_Typ.Double_Extra.0">'T06'!$D$86</definedName>
    <definedName name="SIMPL_Tab.34_Cod.2033_Lin.0_Typ.Double_Extra.0">'T06'!$D$87</definedName>
    <definedName name="SIMPL_Tab.34_Cod.2034_Lin.0_Typ.Double_Extra.0">'T06'!$D$88</definedName>
    <definedName name="SIMPL_Tab.34_Cod.2035_Lin.0_Typ.Double_Extra.0">'T06'!$D$89</definedName>
    <definedName name="SIMPL_Tab.34_Cod.70_Lin.0_Typ.Date_Extra.1">Complements!$B$62</definedName>
    <definedName name="SIMPL_Tab.36_Cod.1401_Lin.0_Typ.Double_Extra.0">'T20'!$B$6</definedName>
    <definedName name="SIMPL_Tab.36_Cod.1402_Lin.0_Typ.Double_Extra.0">'T20'!$C$6</definedName>
    <definedName name="SIMPL_Tab.36_Cod.1403_Lin.0_Typ.Double_Extra.0">'T20'!$D$6</definedName>
    <definedName name="SIMPL_Tab.36_Cod.1404_Lin.0_Typ.Double_Extra.0">'T20'!$E$6</definedName>
    <definedName name="SIMPL_Tab.36_Cod.1405_Lin.0_Typ.Double_Extra.0">'T20'!$F$6</definedName>
    <definedName name="SIMPL_Tab.36_Cod.1406_Lin.0_Typ.Double_Extra.0">'T20'!$G$6</definedName>
    <definedName name="SIMPL_Tab.36_Cod.1407_Lin.0_Typ.Double_Extra.0">'T20'!$H$6</definedName>
    <definedName name="SIMPL_Tab.36_Cod.1409_Lin.0_Typ.Double_Extra.0">'T20'!$B$7</definedName>
    <definedName name="SIMPL_Tab.36_Cod.1410_Lin.0_Typ.Double_Extra.0">'T20'!$C$7</definedName>
    <definedName name="SIMPL_Tab.36_Cod.1411_Lin.0_Typ.Double_Extra.0">'T20'!$D$7</definedName>
    <definedName name="SIMPL_Tab.36_Cod.1412_Lin.0_Typ.Double_Extra.0">'T20'!$E$7</definedName>
    <definedName name="SIMPL_Tab.36_Cod.1413_Lin.0_Typ.Double_Extra.0">'T20'!$F$7</definedName>
    <definedName name="SIMPL_Tab.36_Cod.1414_Lin.0_Typ.Double_Extra.0">'T20'!$G$7</definedName>
    <definedName name="SIMPL_Tab.36_Cod.1415_Lin.0_Typ.Double_Extra.0">'T20'!$H$7</definedName>
    <definedName name="SIMPL_Tab.36_Cod.1417_Lin.0_Typ.Double_Extra.0">'T20'!$B$8</definedName>
    <definedName name="SIMPL_Tab.36_Cod.1418_Lin.0_Typ.Double_Extra.0">'T20'!$C$8</definedName>
    <definedName name="SIMPL_Tab.36_Cod.1419_Lin.0_Typ.Double_Extra.0">'T20'!$D$8</definedName>
    <definedName name="SIMPL_Tab.36_Cod.1420_Lin.0_Typ.Double_Extra.0">'T20'!$E$8</definedName>
    <definedName name="SIMPL_Tab.36_Cod.1421_Lin.0_Typ.Double_Extra.0">'T20'!$F$8</definedName>
    <definedName name="SIMPL_Tab.36_Cod.1422_Lin.0_Typ.Double_Extra.0">'T20'!$G$8</definedName>
    <definedName name="SIMPL_Tab.36_Cod.1423_Lin.0_Typ.Double_Extra.0">'T20'!$H$8</definedName>
    <definedName name="SIMPL_Tab.36_Cod.1425_Lin.0_Typ.Double_Extra.0">'T20'!$B$9</definedName>
    <definedName name="SIMPL_Tab.36_Cod.1426_Lin.0_Typ.Double_Extra.0">'T20'!$C$9</definedName>
    <definedName name="SIMPL_Tab.36_Cod.1427_Lin.0_Typ.Double_Extra.0">'T20'!$D$9</definedName>
    <definedName name="SIMPL_Tab.36_Cod.1428_Lin.0_Typ.Double_Extra.0">'T20'!$E$9</definedName>
    <definedName name="SIMPL_Tab.36_Cod.1429_Lin.0_Typ.Double_Extra.0">'T20'!$F$9</definedName>
    <definedName name="SIMPL_Tab.36_Cod.1430_Lin.0_Typ.Double_Extra.0">'T20'!$G$9</definedName>
    <definedName name="SIMPL_Tab.36_Cod.1431_Lin.0_Typ.Double_Extra.0">'T20'!$H$9</definedName>
    <definedName name="SIMPL_Tab.36_Cod.1433_Lin.0_Typ.Double_Extra.0">'T20'!$B$10</definedName>
    <definedName name="SIMPL_Tab.36_Cod.1434_Lin.0_Typ.Double_Extra.0">'T20'!$C$10</definedName>
    <definedName name="SIMPL_Tab.36_Cod.1435_Lin.0_Typ.Double_Extra.0">'T20'!$D$10</definedName>
    <definedName name="SIMPL_Tab.36_Cod.1436_Lin.0_Typ.Double_Extra.0">'T20'!$E$10</definedName>
    <definedName name="SIMPL_Tab.36_Cod.1437_Lin.0_Typ.Double_Extra.0">'T20'!$F$10</definedName>
    <definedName name="SIMPL_Tab.36_Cod.1438_Lin.0_Typ.Double_Extra.0">'T20'!$G$10</definedName>
    <definedName name="SIMPL_Tab.36_Cod.1439_Lin.0_Typ.Double_Extra.0">'T20'!$H$10</definedName>
    <definedName name="SIMPL_Tab.36_Cod.1449_Lin.0_Typ.Double_Extra.0">'T20'!$B$11</definedName>
    <definedName name="SIMPL_Tab.36_Cod.1450_Lin.0_Typ.Double_Extra.0">'T20'!$C$11</definedName>
    <definedName name="SIMPL_Tab.36_Cod.1451_Lin.0_Typ.Double_Extra.0">'T20'!$D$11</definedName>
    <definedName name="SIMPL_Tab.36_Cod.1452_Lin.0_Typ.Double_Extra.0">'T20'!$E$11</definedName>
    <definedName name="SIMPL_Tab.36_Cod.1453_Lin.0_Typ.Double_Extra.0">'T20'!$F$11</definedName>
    <definedName name="SIMPL_Tab.36_Cod.1454_Lin.0_Typ.Double_Extra.0">'T20'!$G$11</definedName>
    <definedName name="SIMPL_Tab.36_Cod.1455_Lin.0_Typ.Double_Extra.0">'T20'!$H$11</definedName>
    <definedName name="SIMPL_Tab.36_Cod.1457_Lin.0_Typ.Double_Extra.0">'T20'!$B$12</definedName>
    <definedName name="SIMPL_Tab.36_Cod.1458_Lin.0_Typ.Double_Extra.0">'T20'!$C$12</definedName>
    <definedName name="SIMPL_Tab.36_Cod.1459_Lin.0_Typ.Double_Extra.0">'T20'!$D$12</definedName>
    <definedName name="SIMPL_Tab.36_Cod.1460_Lin.0_Typ.Double_Extra.0">'T20'!$E$12</definedName>
    <definedName name="SIMPL_Tab.36_Cod.1461_Lin.0_Typ.Double_Extra.0">'T20'!$F$12</definedName>
    <definedName name="SIMPL_Tab.36_Cod.1462_Lin.0_Typ.Double_Extra.0">'T20'!$G$12</definedName>
    <definedName name="SIMPL_Tab.36_Cod.1463_Lin.0_Typ.Double_Extra.0">'T20'!$H$12</definedName>
    <definedName name="SIMPL_Tab.36_Cod.1465_Lin.0_Typ.Double_Extra.0">'T20'!$B$13</definedName>
    <definedName name="SIMPL_Tab.36_Cod.1466_Lin.0_Typ.Double_Extra.0">'T20'!$C$13</definedName>
    <definedName name="SIMPL_Tab.36_Cod.1467_Lin.0_Typ.Double_Extra.0">'T20'!$D$13</definedName>
    <definedName name="SIMPL_Tab.36_Cod.1468_Lin.0_Typ.Double_Extra.0">'T20'!$E$13</definedName>
    <definedName name="SIMPL_Tab.36_Cod.1469_Lin.0_Typ.Double_Extra.0">'T20'!$F$13</definedName>
    <definedName name="SIMPL_Tab.36_Cod.1470_Lin.0_Typ.Double_Extra.0">'T20'!$G$13</definedName>
    <definedName name="SIMPL_Tab.36_Cod.1471_Lin.0_Typ.Double_Extra.0">'T20'!$H$13</definedName>
    <definedName name="SIMPL_Tab.36_Cod.1481_Lin.0_Typ.Double_Extra.0">'T20'!$B$14</definedName>
    <definedName name="SIMPL_Tab.36_Cod.1482_Lin.0_Typ.Double_Extra.0">'T20'!$C$14</definedName>
    <definedName name="SIMPL_Tab.36_Cod.1483_Lin.0_Typ.Double_Extra.0">'T20'!$D$14</definedName>
    <definedName name="SIMPL_Tab.36_Cod.1484_Lin.0_Typ.Double_Extra.0">'T20'!$E$14</definedName>
    <definedName name="SIMPL_Tab.36_Cod.1485_Lin.0_Typ.Double_Extra.0">'T20'!$F$14</definedName>
    <definedName name="SIMPL_Tab.36_Cod.1486_Lin.0_Typ.Double_Extra.0">'T20'!$G$14</definedName>
    <definedName name="SIMPL_Tab.36_Cod.1487_Lin.0_Typ.Double_Extra.0">'T20'!$H$14</definedName>
    <definedName name="SIMPL_Tab.36_Cod.1555_Lin.0_Typ.Double_Extra.0">'T20'!$B$15</definedName>
    <definedName name="SIMPL_Tab.36_Cod.1556_Lin.0_Typ.Double_Extra.0">'T20'!$C$15</definedName>
    <definedName name="SIMPL_Tab.36_Cod.1557_Lin.0_Typ.Double_Extra.0">'T20'!$D$15</definedName>
    <definedName name="SIMPL_Tab.36_Cod.1558_Lin.0_Typ.Double_Extra.0">'T20'!$E$15</definedName>
    <definedName name="SIMPL_Tab.36_Cod.1559_Lin.0_Typ.Double_Extra.0">'T20'!$F$15</definedName>
    <definedName name="SIMPL_Tab.36_Cod.1560_Lin.0_Typ.Double_Extra.0">'T20'!$G$15</definedName>
    <definedName name="SIMPL_Tab.36_Cod.1561_Lin.0_Typ.Double_Extra.0">'T20'!$H$15</definedName>
    <definedName name="SIMPL_Tab.36_Cod.1596_Lin.0_Typ.Double_Extra.0">'T20'!$B$16</definedName>
    <definedName name="SIMPL_Tab.36_Cod.1597_Lin.0_Typ.Double_Extra.0">'T20'!$C$16</definedName>
    <definedName name="SIMPL_Tab.36_Cod.1598_Lin.0_Typ.Double_Extra.0">'T20'!$D$16</definedName>
    <definedName name="SIMPL_Tab.36_Cod.1599_Lin.0_Typ.Double_Extra.0">'T20'!$E$16</definedName>
    <definedName name="SIMPL_Tab.36_Cod.1600_Lin.0_Typ.Double_Extra.0">'T20'!$F$16</definedName>
    <definedName name="SIMPL_Tab.36_Cod.1601_Lin.0_Typ.Double_Extra.0">'T20'!$G$16</definedName>
    <definedName name="SIMPL_Tab.36_Cod.1602_Lin.0_Typ.Double_Extra.0">'T20'!$H$16</definedName>
    <definedName name="SIMPL_Tab.36_Cod.1604_Lin.0_Typ.Double_Extra.0">'T20'!$B$17</definedName>
    <definedName name="SIMPL_Tab.36_Cod.1605_Lin.0_Typ.Double_Extra.0">'T20'!$C$17</definedName>
    <definedName name="SIMPL_Tab.36_Cod.1606_Lin.0_Typ.Double_Extra.0">'T20'!$D$17</definedName>
    <definedName name="SIMPL_Tab.36_Cod.1607_Lin.0_Typ.Double_Extra.0">'T20'!$E$17</definedName>
    <definedName name="SIMPL_Tab.36_Cod.1608_Lin.0_Typ.Double_Extra.0">'T20'!$F$17</definedName>
    <definedName name="SIMPL_Tab.36_Cod.1609_Lin.0_Typ.Double_Extra.0">'T20'!$G$17</definedName>
    <definedName name="SIMPL_Tab.36_Cod.1610_Lin.0_Typ.Double_Extra.0">'T20'!$H$17</definedName>
    <definedName name="SIMPL_Tab.36_Cod.1612_Lin.0_Typ.Double_Extra.0">'T20'!$B$18</definedName>
    <definedName name="SIMPL_Tab.36_Cod.1613_Lin.0_Typ.Double_Extra.0">'T20'!$C$18</definedName>
    <definedName name="SIMPL_Tab.36_Cod.1614_Lin.0_Typ.Double_Extra.0">'T20'!$D$18</definedName>
    <definedName name="SIMPL_Tab.36_Cod.1615_Lin.0_Typ.Double_Extra.0">'T20'!$E$18</definedName>
    <definedName name="SIMPL_Tab.36_Cod.1616_Lin.0_Typ.Double_Extra.0">'T20'!$F$18</definedName>
    <definedName name="SIMPL_Tab.36_Cod.1617_Lin.0_Typ.Double_Extra.0">'T20'!$G$18</definedName>
    <definedName name="SIMPL_Tab.36_Cod.1618_Lin.0_Typ.Double_Extra.0">'T20'!$H$18</definedName>
    <definedName name="SIMPL_Tab.36_Cod.1635_Lin.0_Typ.Double_Extra.0">'T20'!$B$19</definedName>
    <definedName name="SIMPL_Tab.36_Cod.1636_Lin.0_Typ.Double_Extra.0">'T20'!$C$19</definedName>
    <definedName name="SIMPL_Tab.36_Cod.1637_Lin.0_Typ.Double_Extra.0">'T20'!$D$19</definedName>
    <definedName name="SIMPL_Tab.36_Cod.1638_Lin.0_Typ.Double_Extra.0">'T20'!$E$19</definedName>
    <definedName name="SIMPL_Tab.36_Cod.1639_Lin.0_Typ.Double_Extra.0">'T20'!$F$19</definedName>
    <definedName name="SIMPL_Tab.36_Cod.1640_Lin.0_Typ.Double_Extra.0">'T20'!$G$19</definedName>
    <definedName name="SIMPL_Tab.36_Cod.1641_Lin.0_Typ.Double_Extra.0">'T20'!$H$19</definedName>
    <definedName name="SIMPL_Tab.36_Cod.1643_Lin.0_Typ.Double_Extra.0">'T20'!$B$20</definedName>
    <definedName name="SIMPL_Tab.36_Cod.1644_Lin.0_Typ.Double_Extra.0">'T20'!$C$20</definedName>
    <definedName name="SIMPL_Tab.36_Cod.1645_Lin.0_Typ.Double_Extra.0">'T20'!$D$20</definedName>
    <definedName name="SIMPL_Tab.36_Cod.1646_Lin.0_Typ.Double_Extra.0">'T20'!$E$20</definedName>
    <definedName name="SIMPL_Tab.36_Cod.1647_Lin.0_Typ.Double_Extra.0">'T20'!$F$20</definedName>
    <definedName name="SIMPL_Tab.36_Cod.1648_Lin.0_Typ.Double_Extra.0">'T20'!$G$20</definedName>
    <definedName name="SIMPL_Tab.36_Cod.1649_Lin.0_Typ.Double_Extra.0">'T20'!$H$20</definedName>
    <definedName name="SIMPL_Tab.36_Cod.1656_Lin.0_Typ.Double_Extra.0">'T20'!$B$21</definedName>
    <definedName name="SIMPL_Tab.36_Cod.1657_Lin.0_Typ.Double_Extra.0">'T20'!$C$21</definedName>
    <definedName name="SIMPL_Tab.36_Cod.1658_Lin.0_Typ.Double_Extra.0">'T20'!$D$21</definedName>
    <definedName name="SIMPL_Tab.36_Cod.1659_Lin.0_Typ.Double_Extra.0">'T20'!$E$21</definedName>
    <definedName name="SIMPL_Tab.36_Cod.1660_Lin.0_Typ.Double_Extra.0">'T20'!$F$21</definedName>
    <definedName name="SIMPL_Tab.36_Cod.1661_Lin.0_Typ.Double_Extra.0">'T20'!$G$21</definedName>
    <definedName name="SIMPL_Tab.36_Cod.1662_Lin.0_Typ.Double_Extra.0">'T20'!$H$21</definedName>
    <definedName name="SIMPL_Tab.36_Cod.1664_Lin.0_Typ.Double_Extra.0">'T20'!$B$22</definedName>
    <definedName name="SIMPL_Tab.36_Cod.1665_Lin.0_Typ.Double_Extra.0">'T20'!$C$22</definedName>
    <definedName name="SIMPL_Tab.36_Cod.1666_Lin.0_Typ.Double_Extra.0">'T20'!$D$22</definedName>
    <definedName name="SIMPL_Tab.36_Cod.1667_Lin.0_Typ.Double_Extra.0">'T20'!$E$22</definedName>
    <definedName name="SIMPL_Tab.36_Cod.1668_Lin.0_Typ.Double_Extra.0">'T20'!$F$22</definedName>
    <definedName name="SIMPL_Tab.36_Cod.1669_Lin.0_Typ.Double_Extra.0">'T20'!$G$22</definedName>
    <definedName name="SIMPL_Tab.36_Cod.1670_Lin.0_Typ.Double_Extra.0">'T20'!$H$22</definedName>
    <definedName name="SIMPL_Tab.36_Cod.1672_Lin.0_Typ.Double_Extra.0">'T20'!$B$23</definedName>
    <definedName name="SIMPL_Tab.36_Cod.1673_Lin.0_Typ.Double_Extra.0">'T20'!$C$23</definedName>
    <definedName name="SIMPL_Tab.36_Cod.1674_Lin.0_Typ.Double_Extra.0">'T20'!$D$23</definedName>
    <definedName name="SIMPL_Tab.36_Cod.1675_Lin.0_Typ.Double_Extra.0">'T20'!$E$23</definedName>
    <definedName name="SIMPL_Tab.36_Cod.1676_Lin.0_Typ.Double_Extra.0">'T20'!$F$23</definedName>
    <definedName name="SIMPL_Tab.36_Cod.1677_Lin.0_Typ.Double_Extra.0">'T20'!$G$23</definedName>
    <definedName name="SIMPL_Tab.36_Cod.1678_Lin.0_Typ.Double_Extra.0">'T20'!$H$23</definedName>
    <definedName name="SIMPL_Tab.36_Cod.1685_Lin.0_Typ.Double_Extra.0">'T20'!$B$24</definedName>
    <definedName name="SIMPL_Tab.36_Cod.1686_Lin.0_Typ.Double_Extra.0">'T20'!$C$24</definedName>
    <definedName name="SIMPL_Tab.36_Cod.1687_Lin.0_Typ.Double_Extra.0">'T20'!$D$24</definedName>
    <definedName name="SIMPL_Tab.36_Cod.1688_Lin.0_Typ.Double_Extra.0">'T20'!$E$24</definedName>
    <definedName name="SIMPL_Tab.36_Cod.1689_Lin.0_Typ.Double_Extra.0">'T20'!$F$24</definedName>
    <definedName name="SIMPL_Tab.36_Cod.1690_Lin.0_Typ.Double_Extra.0">'T20'!$G$24</definedName>
    <definedName name="SIMPL_Tab.36_Cod.1691_Lin.0_Typ.Double_Extra.0">'T20'!$H$24</definedName>
    <definedName name="SIMPL_Tab.36_Cod.1736_Lin.0_Typ.Double_Extra.0">'T20'!$B$25</definedName>
    <definedName name="SIMPL_Tab.36_Cod.1737_Lin.0_Typ.Double_Extra.0">'T20'!$C$25</definedName>
    <definedName name="SIMPL_Tab.36_Cod.1738_Lin.0_Typ.Double_Extra.0">'T20'!$D$25</definedName>
    <definedName name="SIMPL_Tab.36_Cod.1739_Lin.0_Typ.Double_Extra.0">'T20'!$E$25</definedName>
    <definedName name="SIMPL_Tab.36_Cod.1740_Lin.0_Typ.Double_Extra.0">'T20'!$F$25</definedName>
    <definedName name="SIMPL_Tab.36_Cod.1741_Lin.0_Typ.Double_Extra.0">'T20'!$G$25</definedName>
    <definedName name="SIMPL_Tab.36_Cod.1742_Lin.0_Typ.Double_Extra.0">'T20'!$H$25</definedName>
    <definedName name="SIMPL_Tab.36_Cod.1757_Lin.0_Typ.Double_Extra.0">'T20'!$B$26</definedName>
    <definedName name="SIMPL_Tab.36_Cod.1758_Lin.0_Typ.Double_Extra.0">'T20'!$C$26</definedName>
    <definedName name="SIMPL_Tab.36_Cod.1759_Lin.0_Typ.Double_Extra.0">'T20'!$D$26</definedName>
    <definedName name="SIMPL_Tab.36_Cod.1760_Lin.0_Typ.Double_Extra.0">'T20'!$E$26</definedName>
    <definedName name="SIMPL_Tab.36_Cod.1761_Lin.0_Typ.Double_Extra.0">'T20'!$F$26</definedName>
    <definedName name="SIMPL_Tab.36_Cod.1762_Lin.0_Typ.Double_Extra.0">'T20'!$G$26</definedName>
    <definedName name="SIMPL_Tab.36_Cod.1763_Lin.0_Typ.Double_Extra.0">'T20'!$H$26</definedName>
    <definedName name="SIMPL_Tab.36_Cod.1769_Lin.0_Typ.Double_Extra.0">'T20'!$B$27</definedName>
    <definedName name="SIMPL_Tab.36_Cod.1770_Lin.0_Typ.Double_Extra.0">'T20'!$C$27</definedName>
    <definedName name="SIMPL_Tab.36_Cod.1771_Lin.0_Typ.Double_Extra.0">'T20'!$D$27</definedName>
    <definedName name="SIMPL_Tab.36_Cod.1772_Lin.0_Typ.Double_Extra.0">'T20'!$E$27</definedName>
    <definedName name="SIMPL_Tab.36_Cod.1773_Lin.0_Typ.Double_Extra.0">'T20'!$F$27</definedName>
    <definedName name="SIMPL_Tab.36_Cod.1774_Lin.0_Typ.Double_Extra.0">'T20'!$G$27</definedName>
    <definedName name="SIMPL_Tab.36_Cod.1775_Lin.0_Typ.Double_Extra.0">'T20'!$H$27</definedName>
    <definedName name="SIMPL_Tab.36_Cod.1800_Lin.0_Typ.Double_Extra.0">'T20'!$B$28</definedName>
    <definedName name="SIMPL_Tab.36_Cod.1801_Lin.0_Typ.Double_Extra.0">'T20'!$C$28</definedName>
    <definedName name="SIMPL_Tab.36_Cod.1802_Lin.0_Typ.Double_Extra.0">'T20'!$D$28</definedName>
    <definedName name="SIMPL_Tab.36_Cod.1803_Lin.0_Typ.Double_Extra.0">'T20'!$E$28</definedName>
    <definedName name="SIMPL_Tab.36_Cod.1804_Lin.0_Typ.Double_Extra.0">'T20'!$F$28</definedName>
    <definedName name="SIMPL_Tab.36_Cod.1805_Lin.0_Typ.Double_Extra.0">'T20'!$G$28</definedName>
    <definedName name="SIMPL_Tab.36_Cod.1806_Lin.0_Typ.Double_Extra.0">'T20'!$H$28</definedName>
    <definedName name="SIMPL_Tab.36_Cod.1819_Lin.0_Typ.Double_Extra.0">'T20'!$B$29</definedName>
    <definedName name="SIMPL_Tab.36_Cod.1820_Lin.0_Typ.Double_Extra.0">'T20'!$C$29</definedName>
    <definedName name="SIMPL_Tab.36_Cod.1821_Lin.0_Typ.Double_Extra.0">'T20'!$D$29</definedName>
    <definedName name="SIMPL_Tab.36_Cod.1822_Lin.0_Typ.Double_Extra.0">'T20'!$E$29</definedName>
    <definedName name="SIMPL_Tab.36_Cod.1823_Lin.0_Typ.Double_Extra.0">'T20'!$F$29</definedName>
    <definedName name="SIMPL_Tab.36_Cod.1824_Lin.0_Typ.Double_Extra.0">'T20'!$G$29</definedName>
    <definedName name="SIMPL_Tab.36_Cod.1825_Lin.0_Typ.Double_Extra.0">'T20'!$H$29</definedName>
    <definedName name="SIMPL_Tab.36_Cod.1836_Lin.0_Typ.Double_Extra.0">'T20'!$B$30</definedName>
    <definedName name="SIMPL_Tab.36_Cod.1837_Lin.0_Typ.Double_Extra.0">'T20'!$C$30</definedName>
    <definedName name="SIMPL_Tab.36_Cod.1838_Lin.0_Typ.Double_Extra.0">'T20'!$D$30</definedName>
    <definedName name="SIMPL_Tab.36_Cod.1839_Lin.0_Typ.Double_Extra.0">'T20'!$E$30</definedName>
    <definedName name="SIMPL_Tab.36_Cod.1840_Lin.0_Typ.Double_Extra.0">'T20'!$F$30</definedName>
    <definedName name="SIMPL_Tab.36_Cod.1841_Lin.0_Typ.Double_Extra.0">'T20'!$G$30</definedName>
    <definedName name="SIMPL_Tab.36_Cod.1842_Lin.0_Typ.Double_Extra.0">'T20'!$H$30</definedName>
    <definedName name="SIMPL_Tab.36_Cod.1853_Lin.0_Typ.Double_Extra.0">'T20'!$B$31</definedName>
    <definedName name="SIMPL_Tab.36_Cod.1854_Lin.0_Typ.Double_Extra.0">'T20'!$C$31</definedName>
    <definedName name="SIMPL_Tab.36_Cod.1855_Lin.0_Typ.Double_Extra.0">'T20'!$D$31</definedName>
    <definedName name="SIMPL_Tab.36_Cod.1856_Lin.0_Typ.Double_Extra.0">'T20'!$E$31</definedName>
    <definedName name="SIMPL_Tab.36_Cod.1857_Lin.0_Typ.Double_Extra.0">'T20'!$F$31</definedName>
    <definedName name="SIMPL_Tab.36_Cod.1858_Lin.0_Typ.Double_Extra.0">'T20'!$G$31</definedName>
    <definedName name="SIMPL_Tab.36_Cod.1859_Lin.0_Typ.Double_Extra.0">'T20'!$H$31</definedName>
    <definedName name="SIMPL_Tab.36_Cod.1861_Lin.0_Typ.Double_Extra.0">'T20'!$B$32</definedName>
    <definedName name="SIMPL_Tab.36_Cod.1862_Lin.0_Typ.Double_Extra.0">'T20'!$C$32</definedName>
    <definedName name="SIMPL_Tab.36_Cod.1863_Lin.0_Typ.Double_Extra.0">'T20'!$D$32</definedName>
    <definedName name="SIMPL_Tab.36_Cod.1864_Lin.0_Typ.Double_Extra.0">'T20'!$E$32</definedName>
    <definedName name="SIMPL_Tab.36_Cod.1865_Lin.0_Typ.Double_Extra.0">'T20'!$F$32</definedName>
    <definedName name="SIMPL_Tab.36_Cod.1866_Lin.0_Typ.Double_Extra.0">'T20'!$G$32</definedName>
    <definedName name="SIMPL_Tab.36_Cod.1867_Lin.0_Typ.Double_Extra.0">'T20'!$H$32</definedName>
    <definedName name="SIMPL_Tab.36_Cod.1869_Lin.0_Typ.Double_Extra.0">'T20'!$B$33</definedName>
    <definedName name="SIMPL_Tab.36_Cod.1870_Lin.0_Typ.Double_Extra.0">'T20'!$C$33</definedName>
    <definedName name="SIMPL_Tab.36_Cod.1871_Lin.0_Typ.Double_Extra.0">'T20'!$D$33</definedName>
    <definedName name="SIMPL_Tab.36_Cod.1872_Lin.0_Typ.Double_Extra.0">'T20'!$E$33</definedName>
    <definedName name="SIMPL_Tab.36_Cod.1873_Lin.0_Typ.Double_Extra.0">'T20'!$F$33</definedName>
    <definedName name="SIMPL_Tab.36_Cod.1874_Lin.0_Typ.Double_Extra.0">'T20'!$G$33</definedName>
    <definedName name="SIMPL_Tab.36_Cod.1875_Lin.0_Typ.Double_Extra.0">'T20'!$H$33</definedName>
    <definedName name="SIMPL_Tab.36_Cod.1886_Lin.0_Typ.Double_Extra.0">'T20'!$B$34</definedName>
    <definedName name="SIMPL_Tab.36_Cod.1887_Lin.0_Typ.Double_Extra.0">'T20'!$C$34</definedName>
    <definedName name="SIMPL_Tab.36_Cod.1888_Lin.0_Typ.Double_Extra.0">'T20'!$D$34</definedName>
    <definedName name="SIMPL_Tab.36_Cod.1889_Lin.0_Typ.Double_Extra.0">'T20'!$E$34</definedName>
    <definedName name="SIMPL_Tab.36_Cod.1890_Lin.0_Typ.Double_Extra.0">'T20'!$F$34</definedName>
    <definedName name="SIMPL_Tab.36_Cod.1891_Lin.0_Typ.Double_Extra.0">'T20'!$G$34</definedName>
    <definedName name="SIMPL_Tab.36_Cod.1892_Lin.0_Typ.Double_Extra.0">'T20'!$H$34</definedName>
    <definedName name="SIMPL_Tab.37_Cod.1748_Lin.0_Typ.Double_Extra.0">'T09'!$B$5</definedName>
    <definedName name="SIMPL_Tab.37_Cod.1749_Lin.0_Typ.Double_Extra.0">'T09'!$C$5</definedName>
    <definedName name="SIMPL_Tab.37_Cod.1750_Lin.0_Typ.Double_Extra.0">'T09'!$D$5</definedName>
    <definedName name="SIMPL_Tab.37_Cod.1751_Lin.0_Typ.Double_Extra.0">'T09'!$E$5</definedName>
    <definedName name="SIMPL_Tab.37_Cod.1752_Lin.0_Typ.Double_Extra.0">'T09'!$F$5</definedName>
    <definedName name="SIMPL_Tab.37_Cod.1753_Lin.0_Typ.Double_Extra.0">'T09'!$G$5</definedName>
    <definedName name="SIMPL_Tab.37_Cod.1754_Lin.0_Typ.Double_Extra.0">'T09'!$H$5</definedName>
    <definedName name="SIMPL_Tab.37_Cod.1755_Lin.0_Typ.Double_Extra.0">'T09'!$I$5</definedName>
    <definedName name="SIMPL_Tab.37_Cod.1784_Lin.0_Typ.Double_Extra.0">'T09'!$B$6</definedName>
    <definedName name="SIMPL_Tab.37_Cod.1785_Lin.0_Typ.Double_Extra.0">'T09'!$C$6</definedName>
    <definedName name="SIMPL_Tab.37_Cod.1786_Lin.0_Typ.Double_Extra.0">'T09'!$D$6</definedName>
    <definedName name="SIMPL_Tab.37_Cod.1787_Lin.0_Typ.Double_Extra.0">'T09'!$E$6</definedName>
    <definedName name="SIMPL_Tab.37_Cod.1788_Lin.0_Typ.Double_Extra.0">'T09'!$F$6</definedName>
    <definedName name="SIMPL_Tab.37_Cod.1789_Lin.0_Typ.Double_Extra.0">'T09'!$G$6</definedName>
    <definedName name="SIMPL_Tab.37_Cod.1790_Lin.0_Typ.Double_Extra.0">'T09'!$H$6</definedName>
    <definedName name="SIMPL_Tab.37_Cod.1791_Lin.0_Typ.Double_Extra.0">'T09'!$I$6</definedName>
    <definedName name="SIMPL_Tab.37_Cod.1827_Lin.0_Typ.Double_Extra.0">'T09'!$B$7</definedName>
    <definedName name="SIMPL_Tab.37_Cod.1828_Lin.0_Typ.Double_Extra.0">'T09'!$C$7</definedName>
    <definedName name="SIMPL_Tab.37_Cod.1829_Lin.0_Typ.Double_Extra.0">'T09'!$D$7</definedName>
    <definedName name="SIMPL_Tab.37_Cod.1830_Lin.0_Typ.Double_Extra.0">'T09'!$E$7</definedName>
    <definedName name="SIMPL_Tab.37_Cod.1831_Lin.0_Typ.Double_Extra.0">'T09'!$F$7</definedName>
    <definedName name="SIMPL_Tab.37_Cod.1832_Lin.0_Typ.Double_Extra.0">'T09'!$G$7</definedName>
    <definedName name="SIMPL_Tab.37_Cod.1833_Lin.0_Typ.Double_Extra.0">'T09'!$H$7</definedName>
    <definedName name="SIMPL_Tab.37_Cod.1834_Lin.0_Typ.Double_Extra.0">'T09'!$I$7</definedName>
    <definedName name="SIMPL_Tab.37_Cod.1844_Lin.0_Typ.Double_Extra.0">'T09'!$B$8</definedName>
    <definedName name="SIMPL_Tab.37_Cod.1845_Lin.0_Typ.Double_Extra.0">'T09'!$C$8</definedName>
    <definedName name="SIMPL_Tab.37_Cod.1846_Lin.0_Typ.Double_Extra.0">'T09'!$D$8</definedName>
    <definedName name="SIMPL_Tab.37_Cod.1847_Lin.0_Typ.Double_Extra.0">'T09'!$E$8</definedName>
    <definedName name="SIMPL_Tab.37_Cod.1848_Lin.0_Typ.Double_Extra.0">'T09'!$F$8</definedName>
    <definedName name="SIMPL_Tab.37_Cod.1849_Lin.0_Typ.Double_Extra.0">'T09'!$G$8</definedName>
    <definedName name="SIMPL_Tab.37_Cod.1850_Lin.0_Typ.Double_Extra.0">'T09'!$H$8</definedName>
    <definedName name="SIMPL_Tab.37_Cod.1851_Lin.0_Typ.Double_Extra.0">'T09'!$I$8</definedName>
    <definedName name="SIMPL_Tab.37_Cod.1877_Lin.0_Typ.Double_Extra.0">'T09'!$B$9</definedName>
    <definedName name="SIMPL_Tab.37_Cod.1878_Lin.0_Typ.Double_Extra.0">'T09'!$C$9</definedName>
    <definedName name="SIMPL_Tab.37_Cod.1879_Lin.0_Typ.Double_Extra.0">'T09'!$D$9</definedName>
    <definedName name="SIMPL_Tab.37_Cod.1880_Lin.0_Typ.Double_Extra.0">'T09'!$E$9</definedName>
    <definedName name="SIMPL_Tab.37_Cod.1881_Lin.0_Typ.Double_Extra.0">'T09'!$F$9</definedName>
    <definedName name="SIMPL_Tab.37_Cod.1882_Lin.0_Typ.Double_Extra.0">'T09'!$G$9</definedName>
    <definedName name="SIMPL_Tab.37_Cod.1883_Lin.0_Typ.Double_Extra.0">'T09'!$H$9</definedName>
    <definedName name="SIMPL_Tab.37_Cod.1884_Lin.0_Typ.Double_Extra.0">'T09'!$I$9</definedName>
    <definedName name="SIMPL_Tab.37_Cod.1894_Lin.0_Typ.Double_Extra.0">'T09'!$B$13</definedName>
    <definedName name="SIMPL_Tab.37_Cod.1895_Lin.0_Typ.Double_Extra.0">'T09'!$C$13</definedName>
    <definedName name="SIMPL_Tab.37_Cod.1896_Lin.0_Typ.Double_Extra.0">'T09'!$D$13</definedName>
    <definedName name="SIMPL_Tab.37_Cod.1897_Lin.0_Typ.Double_Extra.0">'T09'!$E$13</definedName>
    <definedName name="SIMPL_Tab.37_Cod.1898_Lin.0_Typ.Double_Extra.0">'T09'!$F$13</definedName>
    <definedName name="SIMPL_Tab.37_Cod.1899_Lin.0_Typ.Double_Extra.0">'T09'!$G$13</definedName>
    <definedName name="SIMPL_Tab.37_Cod.1900_Lin.0_Typ.Double_Extra.0">'T09'!$H$13</definedName>
    <definedName name="SIMPL_Tab.37_Cod.1901_Lin.0_Typ.Double_Extra.0">'T09'!$I$13</definedName>
    <definedName name="SIMPL_Tab.37_Cod.1903_Lin.0_Typ.Double_Extra.0">'T09'!$B$14</definedName>
    <definedName name="SIMPL_Tab.37_Cod.1904_Lin.0_Typ.Double_Extra.0">'T09'!$C$14</definedName>
    <definedName name="SIMPL_Tab.37_Cod.1905_Lin.0_Typ.Double_Extra.0">'T09'!$D$14</definedName>
    <definedName name="SIMPL_Tab.37_Cod.1906_Lin.0_Typ.Double_Extra.0">'T09'!$E$14</definedName>
    <definedName name="SIMPL_Tab.37_Cod.1907_Lin.0_Typ.Double_Extra.0">'T09'!$F$14</definedName>
    <definedName name="SIMPL_Tab.37_Cod.1908_Lin.0_Typ.Double_Extra.0">'T09'!$G$14</definedName>
    <definedName name="SIMPL_Tab.37_Cod.1909_Lin.0_Typ.Double_Extra.0">'T09'!$H$14</definedName>
    <definedName name="SIMPL_Tab.37_Cod.1910_Lin.0_Typ.Double_Extra.0">'T09'!$I$14</definedName>
    <definedName name="SIMPL_Tab.37_Cod.1912_Lin.0_Typ.Double_Extra.0">'T09'!$B$15</definedName>
    <definedName name="SIMPL_Tab.37_Cod.1913_Lin.0_Typ.Double_Extra.0">'T09'!$C$15</definedName>
    <definedName name="SIMPL_Tab.37_Cod.1914_Lin.0_Typ.Double_Extra.0">'T09'!$D$15</definedName>
    <definedName name="SIMPL_Tab.37_Cod.1915_Lin.0_Typ.Double_Extra.0">'T09'!$E$15</definedName>
    <definedName name="SIMPL_Tab.37_Cod.1916_Lin.0_Typ.Double_Extra.0">'T09'!$F$15</definedName>
    <definedName name="SIMPL_Tab.37_Cod.1917_Lin.0_Typ.Double_Extra.0">'T09'!$G$15</definedName>
    <definedName name="SIMPL_Tab.37_Cod.1918_Lin.0_Typ.Double_Extra.0">'T09'!$H$15</definedName>
    <definedName name="SIMPL_Tab.37_Cod.1919_Lin.0_Typ.Double_Extra.0">'T09'!$I$15</definedName>
    <definedName name="SIMPL_Tab.37_Cod.1921_Lin.0_Typ.Double_Extra.0">'T09'!$B$16</definedName>
    <definedName name="SIMPL_Tab.37_Cod.1922_Lin.0_Typ.Double_Extra.0">'T09'!$C$16</definedName>
    <definedName name="SIMPL_Tab.37_Cod.1923_Lin.0_Typ.Double_Extra.0">'T09'!$D$16</definedName>
    <definedName name="SIMPL_Tab.37_Cod.1924_Lin.0_Typ.Double_Extra.0">'T09'!$E$16</definedName>
    <definedName name="SIMPL_Tab.37_Cod.1925_Lin.0_Typ.Double_Extra.0">'T09'!$F$16</definedName>
    <definedName name="SIMPL_Tab.37_Cod.1926_Lin.0_Typ.Double_Extra.0">'T09'!$G$16</definedName>
    <definedName name="SIMPL_Tab.37_Cod.1927_Lin.0_Typ.Double_Extra.0">'T09'!$H$16</definedName>
    <definedName name="SIMPL_Tab.37_Cod.1928_Lin.0_Typ.Double_Extra.0">'T09'!$I$16</definedName>
    <definedName name="SIMPL_Tab.37_Cod.71_Lin.0_Typ.Date_Extra.1">Complements!$B$64</definedName>
    <definedName name="SIMPL_Tab.38_Cod.2038_Lin.0_Typ.Double_Extra.0">'T10'!$C$22</definedName>
    <definedName name="SIMPL_Tab.38_Cod.2039_Lin.0_Typ.Double_Extra.0">'T10'!$D$22</definedName>
    <definedName name="SIMPL_Tab.38_Cod.2040_Lin.0_Typ.Double_Extra.0">'T10'!$E$22</definedName>
    <definedName name="SIMPL_Tab.38_Cod.2041_Lin.0_Typ.Double_Extra.0">'T10'!$F$22</definedName>
    <definedName name="SIMPL_Tab.38_Cod.2042_Lin.0_Typ.Double_Extra.0">'T10'!$G$22</definedName>
    <definedName name="SIMPL_Tab.38_Cod.2043_Lin.0_Typ.Double_Extra.0">'T10'!$H$22</definedName>
    <definedName name="SIMPL_Tab.38_Cod.72_Lin.0_Typ.Date_Extra.1">Complements!$B$65</definedName>
    <definedName name="SIMPL_Tab.39_Cod.2056_Lin.0_Typ.Double_Extra.0">'T11'!$D$20</definedName>
    <definedName name="SIMPL_Tab.39_Cod.2058_Lin.0_Typ.Double_Extra.0">'T11'!$F$20</definedName>
    <definedName name="SIMPL_Tab.39_Cod.2059_Lin.0_Typ.Double_Extra.0">'T11'!$G$20</definedName>
    <definedName name="SIMPL_Tab.39_Cod.2061_Lin.0_Typ.Double_Extra.0">'T11'!$I$20</definedName>
    <definedName name="SIMPL_Tab.39_Cod.2062_Lin.0_Typ.Double_Extra.0">'T11'!$J$20</definedName>
    <definedName name="SIMPL_Tab.39_Cod.2063_Lin.0_Typ.Double_Extra.0">'T11'!$K$20</definedName>
    <definedName name="SIMPL_Tab.40_Cod.2065_Lin.0_Typ.Double_Extra.0" localSheetId="22">#REF!</definedName>
    <definedName name="SIMPL_Tab.40_Cod.2065_Lin.0_Typ.Double_Extra.0">'T12'!$B$5</definedName>
    <definedName name="SIMPL_Tab.40_Cod.2066_Lin.0_Typ.Double_Extra.0" localSheetId="22">#REF!</definedName>
    <definedName name="SIMPL_Tab.40_Cod.2066_Lin.0_Typ.Double_Extra.0">'T12'!$C$5</definedName>
    <definedName name="SIMPL_Tab.40_Cod.2067_Lin.0_Typ.Double_Extra.0" localSheetId="22">#REF!</definedName>
    <definedName name="SIMPL_Tab.40_Cod.2067_Lin.0_Typ.Double_Extra.0">'T12'!$D$5</definedName>
    <definedName name="SIMPL_Tab.40_Cod.2068_Lin.0_Typ.Double_Extra.0" localSheetId="22">#REF!</definedName>
    <definedName name="SIMPL_Tab.40_Cod.2068_Lin.0_Typ.Double_Extra.0">'T12'!$E$5</definedName>
    <definedName name="SIMPL_Tab.40_Cod.2070_Lin.0_Typ.Double_Extra.0" localSheetId="22">#REF!</definedName>
    <definedName name="SIMPL_Tab.40_Cod.2070_Lin.0_Typ.Double_Extra.0">'T12'!$B$6</definedName>
    <definedName name="SIMPL_Tab.40_Cod.2071_Lin.0_Typ.Double_Extra.0" localSheetId="22">#REF!</definedName>
    <definedName name="SIMPL_Tab.40_Cod.2071_Lin.0_Typ.Double_Extra.0">'T12'!$C$6</definedName>
    <definedName name="SIMPL_Tab.40_Cod.2072_Lin.0_Typ.Double_Extra.0" localSheetId="22">#REF!</definedName>
    <definedName name="SIMPL_Tab.40_Cod.2072_Lin.0_Typ.Double_Extra.0">'T12'!$D$6</definedName>
    <definedName name="SIMPL_Tab.40_Cod.2073_Lin.0_Typ.Double_Extra.0" localSheetId="22">#REF!</definedName>
    <definedName name="SIMPL_Tab.40_Cod.2073_Lin.0_Typ.Double_Extra.0">'T12'!$E$6</definedName>
    <definedName name="SIMPL_Tab.40_Cod.2075_Lin.0_Typ.Double_Extra.0" localSheetId="22">#REF!</definedName>
    <definedName name="SIMPL_Tab.40_Cod.2075_Lin.0_Typ.Double_Extra.0">'T12'!$B$7</definedName>
    <definedName name="SIMPL_Tab.40_Cod.2076_Lin.0_Typ.Double_Extra.0" localSheetId="22">#REF!</definedName>
    <definedName name="SIMPL_Tab.40_Cod.2076_Lin.0_Typ.Double_Extra.0">'T12'!$C$7</definedName>
    <definedName name="SIMPL_Tab.40_Cod.2077_Lin.0_Typ.Double_Extra.0" localSheetId="22">#REF!</definedName>
    <definedName name="SIMPL_Tab.40_Cod.2077_Lin.0_Typ.Double_Extra.0">'T12'!$D$7</definedName>
    <definedName name="SIMPL_Tab.40_Cod.2078_Lin.0_Typ.Double_Extra.0" localSheetId="22">#REF!</definedName>
    <definedName name="SIMPL_Tab.40_Cod.2078_Lin.0_Typ.Double_Extra.0">'T12'!$E$7</definedName>
    <definedName name="SIMPL_Tab.40_Cod.2080_Lin.0_Typ.Double_Extra.0" localSheetId="22">#REF!</definedName>
    <definedName name="SIMPL_Tab.40_Cod.2080_Lin.0_Typ.Double_Extra.0">'T12'!$B$8</definedName>
    <definedName name="SIMPL_Tab.40_Cod.2081_Lin.0_Typ.Double_Extra.0" localSheetId="22">#REF!</definedName>
    <definedName name="SIMPL_Tab.40_Cod.2081_Lin.0_Typ.Double_Extra.0">'T12'!$C$8</definedName>
    <definedName name="SIMPL_Tab.40_Cod.2082_Lin.0_Typ.Double_Extra.0" localSheetId="22">#REF!</definedName>
    <definedName name="SIMPL_Tab.40_Cod.2082_Lin.0_Typ.Double_Extra.0">'T12'!$D$8</definedName>
    <definedName name="SIMPL_Tab.40_Cod.2083_Lin.0_Typ.Double_Extra.0" localSheetId="22">#REF!</definedName>
    <definedName name="SIMPL_Tab.40_Cod.2083_Lin.0_Typ.Double_Extra.0">'T12'!$E$8</definedName>
    <definedName name="SIMPL_Tab.40_Cod.2085_Lin.0_Typ.Double_Extra.0" localSheetId="22">#REF!</definedName>
    <definedName name="SIMPL_Tab.40_Cod.2085_Lin.0_Typ.Double_Extra.0">'T12'!$B$9</definedName>
    <definedName name="SIMPL_Tab.40_Cod.2086_Lin.0_Typ.Double_Extra.0" localSheetId="22">#REF!</definedName>
    <definedName name="SIMPL_Tab.40_Cod.2086_Lin.0_Typ.Double_Extra.0">'T12'!$C$9</definedName>
    <definedName name="SIMPL_Tab.40_Cod.2087_Lin.0_Typ.Double_Extra.0" localSheetId="22">#REF!</definedName>
    <definedName name="SIMPL_Tab.40_Cod.2087_Lin.0_Typ.Double_Extra.0">'T12'!$D$9</definedName>
    <definedName name="SIMPL_Tab.40_Cod.2088_Lin.0_Typ.Double_Extra.0" localSheetId="22">#REF!</definedName>
    <definedName name="SIMPL_Tab.40_Cod.2088_Lin.0_Typ.Double_Extra.0">'T12'!$E$9</definedName>
    <definedName name="SIMPL_Tab.41_Cod.18_Lin.0_Typ.Double_Extra.1">'T13'!$I$3</definedName>
    <definedName name="SIMPL_Tab.5_Cod.471_Lin.0_Typ.Double_Extra.0">'T14'!$B$6</definedName>
    <definedName name="SIMPL_Tab.5_Cod.473_Lin.0_Typ.Double_Extra.0">'T14'!$B$7</definedName>
    <definedName name="SIMPL_Tab.5_Cod.475_Lin.0_Typ.Double_Extra.0">'T14'!$B$8</definedName>
    <definedName name="SIMPL_Tab.5_Cod.477_Lin.0_Typ.Double_Extra.0">'T14'!$B$9</definedName>
    <definedName name="SIMPL_Tab.5_Cod.479_Lin.0_Typ.Double_Extra.0">'T14'!$B$10</definedName>
    <definedName name="SIMPL_Tab.5_Cod.481_Lin.0_Typ.Double_Extra.0">'T14'!$B$11</definedName>
    <definedName name="SIMPL_Tab.5_Cod.483_Lin.0_Typ.Double_Extra.0">'T14'!$D$5</definedName>
    <definedName name="SIMPL_Tab.5_Cod.485_Lin.0_Typ.Double_Extra.0">'T14'!$D$6</definedName>
    <definedName name="SIMPL_Tab.5_Cod.487_Lin.0_Typ.Double_Extra.0">'T14'!$D$7</definedName>
    <definedName name="SIMPL_Tab.5_Cod.489_Lin.0_Typ.Double_Extra.0">'T14'!$D$8</definedName>
    <definedName name="SIMPL_Tab.5_Cod.491_Lin.0_Typ.Double_Extra.0">'T14'!$D$9</definedName>
    <definedName name="SIMPL_Tab.5_Cod.493_Lin.0_Typ.Double_Extra.0">'T14'!$D$10</definedName>
    <definedName name="SIMPL_Tab.5_Cod.495_Lin.0_Typ.Double_Extra.0">'T14'!$D$11</definedName>
    <definedName name="SIMPL_Tab.6_Cod.11176_Lin.0_Typ.Double_Extra.0">'T02'!$D$6</definedName>
    <definedName name="SIMPL_Tab.6_Cod.11177_Lin.0_Typ.Double_Extra.0">'T02'!$E$6</definedName>
    <definedName name="SIMPL_Tab.6_Cod.11178_Lin.0_Typ.Double_Extra.0">'T02'!$F$6</definedName>
    <definedName name="SIMPL_Tab.6_Cod.11179_Lin.0_Typ.Double_Extra.0">'T02'!$G$6</definedName>
    <definedName name="SIMPL_Tab.6_Cod.11181_Lin.0_Typ.Double_Extra.0">'T02'!$D$7</definedName>
    <definedName name="SIMPL_Tab.6_Cod.11182_Lin.0_Typ.Double_Extra.0">'T02'!$E$7</definedName>
    <definedName name="SIMPL_Tab.6_Cod.11183_Lin.0_Typ.Double_Extra.0">'T02'!$F$7</definedName>
    <definedName name="SIMPL_Tab.6_Cod.11184_Lin.0_Typ.Double_Extra.0">'T02'!$G$7</definedName>
    <definedName name="SIMPL_Tab.6_Cod.11186_Lin.0_Typ.Double_Extra.0">'T02'!$D$8</definedName>
    <definedName name="SIMPL_Tab.6_Cod.11187_Lin.0_Typ.Double_Extra.0">'T02'!$E$8</definedName>
    <definedName name="SIMPL_Tab.6_Cod.11188_Lin.0_Typ.Double_Extra.0">'T02'!$F$8</definedName>
    <definedName name="SIMPL_Tab.6_Cod.11189_Lin.0_Typ.Double_Extra.0">'T02'!$G$8</definedName>
    <definedName name="SIMPL_Tab.6_Cod.11191_Lin.0_Typ.Double_Extra.0">'T02'!$D$10</definedName>
    <definedName name="SIMPL_Tab.6_Cod.11192_Lin.0_Typ.Double_Extra.0">'T02'!$E$10</definedName>
    <definedName name="SIMPL_Tab.6_Cod.11193_Lin.0_Typ.Double_Extra.0">'T02'!$F$10</definedName>
    <definedName name="SIMPL_Tab.6_Cod.11194_Lin.0_Typ.Double_Extra.0">'T02'!$G$10</definedName>
    <definedName name="SIMPL_Tab.6_Cod.11196_Lin.0_Typ.Double_Extra.0">'T02'!$D$11</definedName>
    <definedName name="SIMPL_Tab.6_Cod.11197_Lin.0_Typ.Double_Extra.0">'T02'!$E$11</definedName>
    <definedName name="SIMPL_Tab.6_Cod.11198_Lin.0_Typ.Double_Extra.0">'T02'!$F$11</definedName>
    <definedName name="SIMPL_Tab.6_Cod.11199_Lin.0_Typ.Double_Extra.0">'T02'!$G$11</definedName>
    <definedName name="SIMPL_Tab.6_Cod.11201_Lin.0_Typ.Double_Extra.0">'T02'!$D$12</definedName>
    <definedName name="SIMPL_Tab.6_Cod.11202_Lin.0_Typ.Double_Extra.0">'T02'!$E$12</definedName>
    <definedName name="SIMPL_Tab.6_Cod.11203_Lin.0_Typ.Double_Extra.0">'T02'!$F$12</definedName>
    <definedName name="SIMPL_Tab.6_Cod.11204_Lin.0_Typ.Double_Extra.0">'T02'!$G$12</definedName>
    <definedName name="SIMPL_Tab.6_Cod.11206_Lin.0_Typ.Double_Extra.0">'T02'!$D$13</definedName>
    <definedName name="SIMPL_Tab.6_Cod.11207_Lin.0_Typ.Double_Extra.0">'T02'!$E$13</definedName>
    <definedName name="SIMPL_Tab.6_Cod.11208_Lin.0_Typ.Double_Extra.0">'T02'!$F$13</definedName>
    <definedName name="SIMPL_Tab.6_Cod.11209_Lin.0_Typ.Double_Extra.0">'T02'!$G$13</definedName>
    <definedName name="SIMPL_Tab.6_Cod.11211_Lin.0_Typ.Double_Extra.0">'T02'!$D$14</definedName>
    <definedName name="SIMPL_Tab.6_Cod.11212_Lin.0_Typ.Double_Extra.0">'T02'!$E$14</definedName>
    <definedName name="SIMPL_Tab.6_Cod.11213_Lin.0_Typ.Double_Extra.0">'T02'!$F$14</definedName>
    <definedName name="SIMPL_Tab.6_Cod.11214_Lin.0_Typ.Double_Extra.0">'T02'!$G$14</definedName>
    <definedName name="SIMPL_Tab.6_Cod.11216_Lin.0_Typ.Double_Extra.0">'T02'!$D$15</definedName>
    <definedName name="SIMPL_Tab.6_Cod.11217_Lin.0_Typ.Double_Extra.0">'T02'!$E$15</definedName>
    <definedName name="SIMPL_Tab.6_Cod.11218_Lin.0_Typ.Double_Extra.0">'T02'!$F$15</definedName>
    <definedName name="SIMPL_Tab.6_Cod.11219_Lin.0_Typ.Double_Extra.0">'T02'!$G$15</definedName>
    <definedName name="SIMPL_Tab.6_Cod.11221_Lin.0_Typ.Double_Extra.0">'T02'!$D$17</definedName>
    <definedName name="SIMPL_Tab.6_Cod.11222_Lin.0_Typ.Double_Extra.0">'T02'!$E$17</definedName>
    <definedName name="SIMPL_Tab.6_Cod.11223_Lin.0_Typ.Double_Extra.0">'T02'!$F$17</definedName>
    <definedName name="SIMPL_Tab.6_Cod.11224_Lin.0_Typ.Double_Extra.0">'T02'!$G$17</definedName>
    <definedName name="SIMPL_Tab.6_Cod.11226_Lin.0_Typ.Double_Extra.0">'T02'!$D$16</definedName>
    <definedName name="SIMPL_Tab.6_Cod.11227_Lin.0_Typ.Double_Extra.0">'T02'!$E$16</definedName>
    <definedName name="SIMPL_Tab.6_Cod.11228_Lin.0_Typ.Double_Extra.0">'T02'!$F$16</definedName>
    <definedName name="SIMPL_Tab.6_Cod.11229_Lin.0_Typ.Double_Extra.0">'T02'!$G$16</definedName>
    <definedName name="SIMPL_Tab.6_Cod.11231_Lin.0_Typ.Double_Extra.0">'T02'!$D$25</definedName>
    <definedName name="SIMPL_Tab.6_Cod.11232_Lin.0_Typ.Double_Extra.0">'T02'!$E$25</definedName>
    <definedName name="SIMPL_Tab.6_Cod.11233_Lin.0_Typ.Double_Extra.0">'T02'!$F$25</definedName>
    <definedName name="SIMPL_Tab.6_Cod.11234_Lin.0_Typ.Double_Extra.0">'T02'!$G$25</definedName>
    <definedName name="SIMPL_Tab.6_Cod.11236_Lin.0_Typ.Double_Extra.0">'T02'!$D$24</definedName>
    <definedName name="SIMPL_Tab.6_Cod.11237_Lin.0_Typ.Double_Extra.0">'T02'!$E$24</definedName>
    <definedName name="SIMPL_Tab.6_Cod.11238_Lin.0_Typ.Double_Extra.0">'T02'!$F$24</definedName>
    <definedName name="SIMPL_Tab.6_Cod.11239_Lin.0_Typ.Double_Extra.0">'T02'!$G$24</definedName>
    <definedName name="SIMPL_Tab.6_Cod.11241_Lin.0_Typ.Double_Extra.0">'T02'!$D$23</definedName>
    <definedName name="SIMPL_Tab.6_Cod.11242_Lin.0_Typ.Double_Extra.0">'T02'!$E$23</definedName>
    <definedName name="SIMPL_Tab.6_Cod.11243_Lin.0_Typ.Double_Extra.0">'T02'!$F$23</definedName>
    <definedName name="SIMPL_Tab.6_Cod.11244_Lin.0_Typ.Double_Extra.0">'T02'!$G$23</definedName>
    <definedName name="SIMPL_Tab.6_Cod.11246_Lin.0_Typ.Double_Extra.0">'T02'!$D$22</definedName>
    <definedName name="SIMPL_Tab.6_Cod.11247_Lin.0_Typ.Double_Extra.0">'T02'!$E$22</definedName>
    <definedName name="SIMPL_Tab.6_Cod.11248_Lin.0_Typ.Double_Extra.0">'T02'!$F$22</definedName>
    <definedName name="SIMPL_Tab.6_Cod.11249_Lin.0_Typ.Double_Extra.0">'T02'!$G$22</definedName>
    <definedName name="SIMPL_Tab.6_Cod.11251_Lin.0_Typ.Double_Extra.0">'T02'!$D$20</definedName>
    <definedName name="SIMPL_Tab.6_Cod.11252_Lin.0_Typ.Double_Extra.0">'T02'!$E$20</definedName>
    <definedName name="SIMPL_Tab.6_Cod.11253_Lin.0_Typ.Double_Extra.0">'T02'!$F$20</definedName>
    <definedName name="SIMPL_Tab.6_Cod.11254_Lin.0_Typ.Double_Extra.0">'T02'!$G$20</definedName>
    <definedName name="SIMPL_Tab.6_Cod.11256_Lin.0_Typ.Double_Extra.0">'T02'!$D$18</definedName>
    <definedName name="SIMPL_Tab.6_Cod.11257_Lin.0_Typ.Double_Extra.0">'T02'!$E$18</definedName>
    <definedName name="SIMPL_Tab.6_Cod.11258_Lin.0_Typ.Double_Extra.0">'T02'!$F$18</definedName>
    <definedName name="SIMPL_Tab.6_Cod.11259_Lin.0_Typ.Double_Extra.0">'T02'!$G$18</definedName>
    <definedName name="SIMPL_Tab.6_Cod.11261_Lin.0_Typ.Double_Extra.0">'T02'!$D$19</definedName>
    <definedName name="SIMPL_Tab.6_Cod.11262_Lin.0_Typ.Double_Extra.0">'T02'!$E$19</definedName>
    <definedName name="SIMPL_Tab.6_Cod.11263_Lin.0_Typ.Double_Extra.0">'T02'!$F$19</definedName>
    <definedName name="SIMPL_Tab.6_Cod.11264_Lin.0_Typ.Double_Extra.0">'T02'!$G$19</definedName>
    <definedName name="SIMPL_Tab.6_Cod.11266_Lin.0_Typ.Double_Extra.0">'T02'!$D$21</definedName>
    <definedName name="SIMPL_Tab.6_Cod.11267_Lin.0_Typ.Double_Extra.0">'T02'!$E$21</definedName>
    <definedName name="SIMPL_Tab.6_Cod.11268_Lin.0_Typ.Double_Extra.0">'T02'!$F$21</definedName>
    <definedName name="SIMPL_Tab.6_Cod.11269_Lin.0_Typ.Double_Extra.0">'T02'!$G$21</definedName>
    <definedName name="SIMPL_Tab.6_Cod.11271_Lin.0_Typ.Double_Extra.0">'T02'!$D$27</definedName>
    <definedName name="SIMPL_Tab.6_Cod.11272_Lin.0_Typ.Double_Extra.0">'T02'!$E$27</definedName>
    <definedName name="SIMPL_Tab.6_Cod.11273_Lin.0_Typ.Double_Extra.0">'T02'!$F$27</definedName>
    <definedName name="SIMPL_Tab.6_Cod.11274_Lin.0_Typ.Double_Extra.0">'T02'!$G$27</definedName>
    <definedName name="SIMPL_Tab.6_Cod.11276_Lin.0_Typ.Double_Extra.0">'T02'!$D$28</definedName>
    <definedName name="SIMPL_Tab.6_Cod.11277_Lin.0_Typ.Double_Extra.0">'T02'!$E$28</definedName>
    <definedName name="SIMPL_Tab.6_Cod.11278_Lin.0_Typ.Double_Extra.0">'T02'!$F$28</definedName>
    <definedName name="SIMPL_Tab.6_Cod.11279_Lin.0_Typ.Double_Extra.0">'T02'!$G$28</definedName>
    <definedName name="SIMPL_Tab.6_Cod.11281_Lin.0_Typ.Double_Extra.0">'T02'!$D$29</definedName>
    <definedName name="SIMPL_Tab.6_Cod.11282_Lin.0_Typ.Double_Extra.0">'T02'!$E$29</definedName>
    <definedName name="SIMPL_Tab.6_Cod.11283_Lin.0_Typ.Double_Extra.0">'T02'!$F$29</definedName>
    <definedName name="SIMPL_Tab.6_Cod.11284_Lin.0_Typ.Double_Extra.0">'T02'!$G$29</definedName>
    <definedName name="SIMPL_Tab.6_Cod.11286_Lin.0_Typ.Double_Extra.0">'T02'!$D$30</definedName>
    <definedName name="SIMPL_Tab.6_Cod.11287_Lin.0_Typ.Double_Extra.0">'T02'!$E$30</definedName>
    <definedName name="SIMPL_Tab.6_Cod.11288_Lin.0_Typ.Double_Extra.0">'T02'!$F$30</definedName>
    <definedName name="SIMPL_Tab.6_Cod.11289_Lin.0_Typ.Double_Extra.0">'T02'!$G$30</definedName>
    <definedName name="SIMPL_Tab.6_Cod.11291_Lin.0_Typ.Double_Extra.0">'T02'!$D$31</definedName>
    <definedName name="SIMPL_Tab.6_Cod.11292_Lin.0_Typ.Double_Extra.0">'T02'!$E$31</definedName>
    <definedName name="SIMPL_Tab.6_Cod.11293_Lin.0_Typ.Double_Extra.0">'T02'!$F$31</definedName>
    <definedName name="SIMPL_Tab.6_Cod.11294_Lin.0_Typ.Double_Extra.0">'T02'!$G$31</definedName>
    <definedName name="SIMPL_Tab.6_Cod.11296_Lin.0_Typ.Double_Extra.0">'T02'!$D$33</definedName>
    <definedName name="SIMPL_Tab.6_Cod.11297_Lin.0_Typ.Double_Extra.0">'T02'!$E$33</definedName>
    <definedName name="SIMPL_Tab.6_Cod.11298_Lin.0_Typ.Double_Extra.0">'T02'!$F$33</definedName>
    <definedName name="SIMPL_Tab.6_Cod.11299_Lin.0_Typ.Double_Extra.0">'T02'!$G$33</definedName>
    <definedName name="SIMPL_Tab.6_Cod.11301_Lin.0_Typ.Double_Extra.0">'T02'!$D$34</definedName>
    <definedName name="SIMPL_Tab.6_Cod.11302_Lin.0_Typ.Double_Extra.0">'T02'!$E$34</definedName>
    <definedName name="SIMPL_Tab.6_Cod.11303_Lin.0_Typ.Double_Extra.0">'T02'!$F$34</definedName>
    <definedName name="SIMPL_Tab.6_Cod.11304_Lin.0_Typ.Double_Extra.0">'T02'!$G$34</definedName>
    <definedName name="SIMPL_Tab.6_Cod.11306_Lin.0_Typ.Double_Extra.0">'T02'!$D$35</definedName>
    <definedName name="SIMPL_Tab.6_Cod.11307_Lin.0_Typ.Double_Extra.0">'T02'!$E$35</definedName>
    <definedName name="SIMPL_Tab.6_Cod.11308_Lin.0_Typ.Double_Extra.0">'T02'!$F$35</definedName>
    <definedName name="SIMPL_Tab.6_Cod.11309_Lin.0_Typ.Double_Extra.0">'T02'!$G$35</definedName>
    <definedName name="SIMPL_Tab.6_Cod.11311_Lin.0_Typ.Double_Extra.0">'T02'!$D$36</definedName>
    <definedName name="SIMPL_Tab.6_Cod.11312_Lin.0_Typ.Double_Extra.0">'T02'!$E$36</definedName>
    <definedName name="SIMPL_Tab.6_Cod.11313_Lin.0_Typ.Double_Extra.0">'T02'!$F$36</definedName>
    <definedName name="SIMPL_Tab.6_Cod.11314_Lin.0_Typ.Double_Extra.0">'T02'!$G$36</definedName>
    <definedName name="SIMPL_Tab.6_Cod.11316_Lin.0_Typ.Double_Extra.0">'T02'!$D$37</definedName>
    <definedName name="SIMPL_Tab.6_Cod.11317_Lin.0_Typ.Double_Extra.0">'T02'!$E$37</definedName>
    <definedName name="SIMPL_Tab.6_Cod.11318_Lin.0_Typ.Double_Extra.0">'T02'!$F$37</definedName>
    <definedName name="SIMPL_Tab.6_Cod.11319_Lin.0_Typ.Double_Extra.0">'T02'!$G$37</definedName>
    <definedName name="SIMPL_Tab.6_Cod.11321_Lin.0_Typ.Double_Extra.0">'T02'!$D$32</definedName>
    <definedName name="SIMPL_Tab.6_Cod.11322_Lin.0_Typ.Double_Extra.0">'T02'!$E$32</definedName>
    <definedName name="SIMPL_Tab.6_Cod.11323_Lin.0_Typ.Double_Extra.0">'T02'!$F$32</definedName>
    <definedName name="SIMPL_Tab.6_Cod.11324_Lin.0_Typ.Double_Extra.0">'T02'!$G$32</definedName>
    <definedName name="SIMPL_Tab.6_Cod.11326_Lin.0_Typ.Double_Extra.0">'T02'!$D$26</definedName>
    <definedName name="SIMPL_Tab.6_Cod.11327_Lin.0_Typ.Double_Extra.0">'T02'!$E$26</definedName>
    <definedName name="SIMPL_Tab.6_Cod.11328_Lin.0_Typ.Double_Extra.0">'T02'!$F$26</definedName>
    <definedName name="SIMPL_Tab.6_Cod.11329_Lin.0_Typ.Double_Extra.0">'T02'!$G$26</definedName>
    <definedName name="SIMPL_Tab.6_Cod.11331_Lin.0_Typ.Double_Extra.0">'T02'!$D$38</definedName>
    <definedName name="SIMPL_Tab.6_Cod.11332_Lin.0_Typ.Double_Extra.0">'T02'!$E$38</definedName>
    <definedName name="SIMPL_Tab.6_Cod.11333_Lin.0_Typ.Double_Extra.0">'T02'!$F$38</definedName>
    <definedName name="SIMPL_Tab.6_Cod.11334_Lin.0_Typ.Double_Extra.0">'T02'!$G$38</definedName>
    <definedName name="SIMPL_Tab.6_Cod.11336_Lin.0_Typ.Double_Extra.0">'T02'!$D$39</definedName>
    <definedName name="SIMPL_Tab.6_Cod.11337_Lin.0_Typ.Double_Extra.0">'T02'!$E$39</definedName>
    <definedName name="SIMPL_Tab.6_Cod.11338_Lin.0_Typ.Double_Extra.0">'T02'!$F$39</definedName>
    <definedName name="SIMPL_Tab.6_Cod.11339_Lin.0_Typ.Double_Extra.0">'T02'!$G$39</definedName>
    <definedName name="SIMPL_Tab.6_Cod.11341_Lin.0_Typ.Double_Extra.0">'T02'!$D$49</definedName>
    <definedName name="SIMPL_Tab.6_Cod.11342_Lin.0_Typ.Double_Extra.0">'T02'!$E$49</definedName>
    <definedName name="SIMPL_Tab.6_Cod.11343_Lin.0_Typ.Double_Extra.0">'T02'!$F$49</definedName>
    <definedName name="SIMPL_Tab.6_Cod.11344_Lin.0_Typ.Double_Extra.0">'T02'!$G$49</definedName>
    <definedName name="SIMPL_Tab.6_Cod.11346_Lin.0_Typ.Double_Extra.0">'T02'!$D$50</definedName>
    <definedName name="SIMPL_Tab.6_Cod.11347_Lin.0_Typ.Double_Extra.0">'T02'!$E$50</definedName>
    <definedName name="SIMPL_Tab.6_Cod.11348_Lin.0_Typ.Double_Extra.0">'T02'!$F$50</definedName>
    <definedName name="SIMPL_Tab.6_Cod.11349_Lin.0_Typ.Double_Extra.0">'T02'!$G$50</definedName>
    <definedName name="SIMPL_Tab.6_Cod.11351_Lin.0_Typ.Double_Extra.0">'T02'!$D$51</definedName>
    <definedName name="SIMPL_Tab.6_Cod.11352_Lin.0_Typ.Double_Extra.0">'T02'!$E$51</definedName>
    <definedName name="SIMPL_Tab.6_Cod.11353_Lin.0_Typ.Double_Extra.0">'T02'!$F$51</definedName>
    <definedName name="SIMPL_Tab.6_Cod.11354_Lin.0_Typ.Double_Extra.0">'T02'!$G$51</definedName>
    <definedName name="SIMPL_Tab.6_Cod.11356_Lin.0_Typ.Double_Extra.0">'T02'!$D$52</definedName>
    <definedName name="SIMPL_Tab.6_Cod.11357_Lin.0_Typ.Double_Extra.0">'T02'!$E$52</definedName>
    <definedName name="SIMPL_Tab.6_Cod.11358_Lin.0_Typ.Double_Extra.0">'T02'!$F$52</definedName>
    <definedName name="SIMPL_Tab.6_Cod.11359_Lin.0_Typ.Double_Extra.0">'T02'!$G$52</definedName>
    <definedName name="SIMPL_Tab.6_Cod.11361_Lin.0_Typ.Double_Extra.0">'T02'!$D$53</definedName>
    <definedName name="SIMPL_Tab.6_Cod.11362_Lin.0_Typ.Double_Extra.0">'T02'!$E$53</definedName>
    <definedName name="SIMPL_Tab.6_Cod.11363_Lin.0_Typ.Double_Extra.0">'T02'!$F$53</definedName>
    <definedName name="SIMPL_Tab.6_Cod.11364_Lin.0_Typ.Double_Extra.0">'T02'!$G$53</definedName>
    <definedName name="SIMPL_Tab.6_Cod.11366_Lin.0_Typ.Double_Extra.0">'T02'!$D$54</definedName>
    <definedName name="SIMPL_Tab.6_Cod.11367_Lin.0_Typ.Double_Extra.0">'T02'!$E$54</definedName>
    <definedName name="SIMPL_Tab.6_Cod.11368_Lin.0_Typ.Double_Extra.0">'T02'!$F$54</definedName>
    <definedName name="SIMPL_Tab.6_Cod.11369_Lin.0_Typ.Double_Extra.0">'T02'!$G$54</definedName>
    <definedName name="SIMPL_Tab.6_Cod.11371_Lin.0_Typ.Double_Extra.0">'T02'!$D$56</definedName>
    <definedName name="SIMPL_Tab.6_Cod.11372_Lin.0_Typ.Double_Extra.0">'T02'!$E$56</definedName>
    <definedName name="SIMPL_Tab.6_Cod.11373_Lin.0_Typ.Double_Extra.0">'T02'!$F$56</definedName>
    <definedName name="SIMPL_Tab.6_Cod.11374_Lin.0_Typ.Double_Extra.0">'T02'!$G$56</definedName>
    <definedName name="SIMPL_Tab.6_Cod.11376_Lin.0_Typ.Double_Extra.0">'T02'!$D$57</definedName>
    <definedName name="SIMPL_Tab.6_Cod.11377_Lin.0_Typ.Double_Extra.0">'T02'!$E$57</definedName>
    <definedName name="SIMPL_Tab.6_Cod.11378_Lin.0_Typ.Double_Extra.0">'T02'!$F$57</definedName>
    <definedName name="SIMPL_Tab.6_Cod.11379_Lin.0_Typ.Double_Extra.0">'T02'!$G$57</definedName>
    <definedName name="SIMPL_Tab.6_Cod.11381_Lin.0_Typ.Double_Extra.0">'T02'!$D$58</definedName>
    <definedName name="SIMPL_Tab.6_Cod.11382_Lin.0_Typ.Double_Extra.0">'T02'!$E$58</definedName>
    <definedName name="SIMPL_Tab.6_Cod.11383_Lin.0_Typ.Double_Extra.0">'T02'!$F$58</definedName>
    <definedName name="SIMPL_Tab.6_Cod.11384_Lin.0_Typ.Double_Extra.0">'T02'!$G$58</definedName>
    <definedName name="SIMPL_Tab.6_Cod.11386_Lin.0_Typ.Double_Extra.0">'T02'!$D$59</definedName>
    <definedName name="SIMPL_Tab.6_Cod.11387_Lin.0_Typ.Double_Extra.0">'T02'!$E$59</definedName>
    <definedName name="SIMPL_Tab.6_Cod.11388_Lin.0_Typ.Double_Extra.0">'T02'!$F$59</definedName>
    <definedName name="SIMPL_Tab.6_Cod.11389_Lin.0_Typ.Double_Extra.0">'T02'!$G$59</definedName>
    <definedName name="SIMPL_Tab.6_Cod.11391_Lin.0_Typ.Double_Extra.0">'T02'!$D$48</definedName>
    <definedName name="SIMPL_Tab.6_Cod.11392_Lin.0_Typ.Double_Extra.0">'T02'!$E$48</definedName>
    <definedName name="SIMPL_Tab.6_Cod.11393_Lin.0_Typ.Double_Extra.0">'T02'!$F$48</definedName>
    <definedName name="SIMPL_Tab.6_Cod.11394_Lin.0_Typ.Double_Extra.0">'T02'!$G$48</definedName>
    <definedName name="SIMPL_Tab.6_Cod.11396_Lin.0_Typ.Double_Extra.0">'T02'!$D$55</definedName>
    <definedName name="SIMPL_Tab.6_Cod.11397_Lin.0_Typ.Double_Extra.0">'T02'!$E$55</definedName>
    <definedName name="SIMPL_Tab.6_Cod.11398_Lin.0_Typ.Double_Extra.0">'T02'!$F$55</definedName>
    <definedName name="SIMPL_Tab.6_Cod.11399_Lin.0_Typ.Double_Extra.0">'T02'!$G$55</definedName>
    <definedName name="SIMPL_Tab.6_Cod.11401_Lin.0_Typ.Double_Extra.0">'T02'!$D$61</definedName>
    <definedName name="SIMPL_Tab.6_Cod.11402_Lin.0_Typ.Double_Extra.0">'T02'!$E$61</definedName>
    <definedName name="SIMPL_Tab.6_Cod.11403_Lin.0_Typ.Double_Extra.0">'T02'!$F$61</definedName>
    <definedName name="SIMPL_Tab.6_Cod.11404_Lin.0_Typ.Double_Extra.0">'T02'!$G$61</definedName>
    <definedName name="SIMPL_Tab.6_Cod.11406_Lin.0_Typ.Double_Extra.0">'T02'!$D$60</definedName>
    <definedName name="SIMPL_Tab.6_Cod.11407_Lin.0_Typ.Double_Extra.0">'T02'!$E$60</definedName>
    <definedName name="SIMPL_Tab.6_Cod.11408_Lin.0_Typ.Double_Extra.0">'T02'!$F$60</definedName>
    <definedName name="SIMPL_Tab.6_Cod.11409_Lin.0_Typ.Double_Extra.0">'T02'!$G$60</definedName>
    <definedName name="SIMPL_Tab.6_Cod.11411_Lin.0_Typ.Double_Extra.0">'T02'!$D$62</definedName>
    <definedName name="SIMPL_Tab.6_Cod.11412_Lin.0_Typ.Double_Extra.0">'T02'!$E$62</definedName>
    <definedName name="SIMPL_Tab.6_Cod.11413_Lin.0_Typ.Double_Extra.0">'T02'!$F$62</definedName>
    <definedName name="SIMPL_Tab.6_Cod.11414_Lin.0_Typ.Double_Extra.0">'T02'!$G$62</definedName>
    <definedName name="SIMPL_Tab.6_Cod.11416_Lin.0_Typ.Double_Extra.0">'T02'!$D$63</definedName>
    <definedName name="SIMPL_Tab.6_Cod.11417_Lin.0_Typ.Double_Extra.0">'T02'!$E$63</definedName>
    <definedName name="SIMPL_Tab.6_Cod.11418_Lin.0_Typ.Double_Extra.0">'T02'!$F$63</definedName>
    <definedName name="SIMPL_Tab.6_Cod.11419_Lin.0_Typ.Double_Extra.0">'T02'!$G$63</definedName>
    <definedName name="SIMPL_Tab.6_Cod.11421_Lin.0_Typ.Double_Extra.0">'T02'!$D$64</definedName>
    <definedName name="SIMPL_Tab.6_Cod.11422_Lin.0_Typ.Double_Extra.0">'T02'!$E$64</definedName>
    <definedName name="SIMPL_Tab.6_Cod.11423_Lin.0_Typ.Double_Extra.0">'T02'!$F$64</definedName>
    <definedName name="SIMPL_Tab.6_Cod.11424_Lin.0_Typ.Double_Extra.0">'T02'!$G$64</definedName>
    <definedName name="SIMPL_Tab.6_Cod.11426_Lin.0_Typ.Double_Extra.0">'T02'!$D$67</definedName>
    <definedName name="SIMPL_Tab.6_Cod.11427_Lin.0_Typ.Double_Extra.0">'T02'!$E$67</definedName>
    <definedName name="SIMPL_Tab.6_Cod.11428_Lin.0_Typ.Double_Extra.0">'T02'!$F$67</definedName>
    <definedName name="SIMPL_Tab.6_Cod.11429_Lin.0_Typ.Double_Extra.0">'T02'!$G$67</definedName>
    <definedName name="SIMPL_Tab.6_Cod.11431_Lin.0_Typ.Double_Extra.0">'T02'!$D$68</definedName>
    <definedName name="SIMPL_Tab.6_Cod.11432_Lin.0_Typ.Double_Extra.0">'T02'!$E$68</definedName>
    <definedName name="SIMPL_Tab.6_Cod.11433_Lin.0_Typ.Double_Extra.0">'T02'!$F$68</definedName>
    <definedName name="SIMPL_Tab.6_Cod.11434_Lin.0_Typ.Double_Extra.0">'T02'!$G$68</definedName>
    <definedName name="SIMPL_Tab.6_Cod.11436_Lin.0_Typ.Double_Extra.0">'T02'!$D$69</definedName>
    <definedName name="SIMPL_Tab.6_Cod.11437_Lin.0_Typ.Double_Extra.0">'T02'!$E$69</definedName>
    <definedName name="SIMPL_Tab.6_Cod.11438_Lin.0_Typ.Double_Extra.0">'T02'!$F$69</definedName>
    <definedName name="SIMPL_Tab.6_Cod.11439_Lin.0_Typ.Double_Extra.0">'T02'!$G$69</definedName>
    <definedName name="SIMPL_Tab.6_Cod.14021_Lin.0_Typ.Double_Extra.0">'T02'!$D$9</definedName>
    <definedName name="SIMPL_Tab.6_Cod.14022_Lin.0_Typ.Double_Extra.0">'T02'!$E$9</definedName>
    <definedName name="SIMPL_Tab.6_Cod.14023_Lin.0_Typ.Double_Extra.0">'T02'!$F$9</definedName>
    <definedName name="SIMPL_Tab.6_Cod.14024_Lin.0_Typ.Double_Extra.0">'T02'!$G$9</definedName>
    <definedName name="SIMPL_Tab.7_Cod.18009_Lin.0_Typ.Double_Extra.0">'T03'!$B$8</definedName>
    <definedName name="SIMPL_Tab.7_Cod.18010_Lin.0_Typ.Double_Extra.0">'T03'!$C$8</definedName>
    <definedName name="SIMPL_Tab.7_Cod.18012_Lin.0_Typ.Double_Extra.0">'T03'!$B$24</definedName>
    <definedName name="SIMPL_Tab.7_Cod.18013_Lin.0_Typ.Double_Extra.0">'T03'!$C$24</definedName>
    <definedName name="SIMPL_Tab.7_Cod.6872_Lin.0_Typ.Double_Extra.0">'T03'!$B$46</definedName>
    <definedName name="SIMPL_Tab.7_Cod.6873_Lin.0_Typ.Double_Extra.0">'T03'!$B$47</definedName>
    <definedName name="SIMPL_Tab.7_Cod.6874_Lin.0_Typ.Double_Extra.0">'T03'!$C$46</definedName>
    <definedName name="SIMPL_Tab.7_Cod.6875_Lin.0_Typ.Double_Extra.0">'T03'!$C$47</definedName>
    <definedName name="SIMPL_Tab.7_Cod.817_Lin.0_Typ.Double_Extra.0">'T03'!$B$5</definedName>
    <definedName name="SIMPL_Tab.7_Cod.818_Lin.0_Typ.Double_Extra.0">'T03'!$B$6</definedName>
    <definedName name="SIMPL_Tab.7_Cod.819_Lin.0_Typ.Double_Extra.0">'T03'!$C$5</definedName>
    <definedName name="SIMPL_Tab.7_Cod.820_Lin.0_Typ.Double_Extra.0">'T03'!$C$6</definedName>
    <definedName name="SIMPL_Tab.7_Cod.833_Lin.0_Typ.Double_Extra.0">'T03'!$B$36</definedName>
    <definedName name="SIMPL_Tab.7_Cod.834_Lin.0_Typ.Double_Extra.0">'T03'!$C$36</definedName>
    <definedName name="SIMPL_Tab.7_Cod.837_Lin.0_Typ.Double_Extra.0">'T03'!$B$38</definedName>
    <definedName name="SIMPL_Tab.7_Cod.838_Lin.0_Typ.Double_Extra.0">'T03'!$B$39</definedName>
    <definedName name="SIMPL_Tab.7_Cod.839_Lin.0_Typ.Double_Extra.0">'T03'!$C$38</definedName>
    <definedName name="SIMPL_Tab.7_Cod.840_Lin.0_Typ.Double_Extra.0">'T03'!$C$39</definedName>
    <definedName name="SIMPL_Tab.7_Cod.845_Lin.0_Typ.Double_Extra.0">'T03'!$B$41</definedName>
    <definedName name="SIMPL_Tab.7_Cod.846_Lin.0_Typ.Double_Extra.0">'T03'!$B$42</definedName>
    <definedName name="SIMPL_Tab.7_Cod.847_Lin.0_Typ.Double_Extra.0">'T03'!$B$43</definedName>
    <definedName name="SIMPL_Tab.7_Cod.848_Lin.0_Typ.Double_Extra.0">'T03'!$B$44</definedName>
    <definedName name="SIMPL_Tab.7_Cod.849_Lin.0_Typ.Double_Extra.0">'T03'!$C$41</definedName>
    <definedName name="SIMPL_Tab.7_Cod.850_Lin.0_Typ.Double_Extra.0">'T03'!$C$42</definedName>
    <definedName name="SIMPL_Tab.7_Cod.851_Lin.0_Typ.Double_Extra.0">'T03'!$C$43</definedName>
    <definedName name="SIMPL_Tab.7_Cod.852_Lin.0_Typ.Double_Extra.0">'T03'!$C$44</definedName>
    <definedName name="SIMPL_Tab.7_Cod.854_Lin.0_Typ.Double_Extra.0">'T03'!$B$49</definedName>
    <definedName name="SIMPL_Tab.7_Cod.855_Lin.0_Typ.Double_Extra.0">'T03'!$C$49</definedName>
    <definedName name="SIMPL_Tab.7_Cod.860_Lin.0_Typ.Double_Extra.0">'T03'!$B$51</definedName>
    <definedName name="SIMPL_Tab.7_Cod.861_Lin.0_Typ.Double_Extra.0">'T03'!$B$52</definedName>
    <definedName name="SIMPL_Tab.7_Cod.862_Lin.0_Typ.Double_Extra.0">'T03'!$B$53</definedName>
    <definedName name="SIMPL_Tab.7_Cod.863_Lin.0_Typ.Double_Extra.0">'T03'!$B$54</definedName>
    <definedName name="SIMPL_Tab.7_Cod.864_Lin.0_Typ.Double_Extra.0">'T03'!$C$51</definedName>
    <definedName name="SIMPL_Tab.7_Cod.865_Lin.0_Typ.Double_Extra.0">'T03'!$C$52</definedName>
    <definedName name="SIMPL_Tab.7_Cod.866_Lin.0_Typ.Double_Extra.0">'T03'!$C$53</definedName>
    <definedName name="SIMPL_Tab.7_Cod.867_Lin.0_Typ.Double_Extra.0">'T03'!$C$54</definedName>
    <definedName name="Tableaux16_ColonneType" localSheetId="22">#REF!</definedName>
    <definedName name="Tableaux16_ColonneType">Complements!$G$42</definedName>
    <definedName name="Tableaux16_ColonneVO" localSheetId="22">#REF!</definedName>
    <definedName name="Tableaux16_ColonneVO">Complements!$G$43</definedName>
    <definedName name="Tableaux16_Entete">'T16'!$A$9:$J$9</definedName>
    <definedName name="Tableaux16_Feuille" localSheetId="22">#REF!</definedName>
    <definedName name="Tableaux16_Feuille">Complements!$I$42</definedName>
    <definedName name="Tableaux16_LigneDeb" localSheetId="22">#REF!</definedName>
    <definedName name="Tableaux16_LigneDeb">Complements!$E$42</definedName>
    <definedName name="Tableaux16_LigneFin" localSheetId="22">#REF!</definedName>
    <definedName name="Tableaux16_LigneFin">Complements!$F$42</definedName>
    <definedName name="Tableaux16_NbreElements">Complements!$D$42</definedName>
    <definedName name="Tableaux16_NbreLignes" localSheetId="22">#REF!</definedName>
    <definedName name="Tableaux16_NbreLignes">Complements!$C$42</definedName>
    <definedName name="Tableaux16_PlageField1" localSheetId="22">#REF!</definedName>
    <definedName name="Tableaux16_PlageField1">Complements!$B$42</definedName>
    <definedName name="Tableaux16_PlageField2" localSheetId="22">#REF!</definedName>
    <definedName name="Tableaux16_PlageField2">Complements!$B$43</definedName>
    <definedName name="Verification_Poste_160">Verifications!$A$18:$F$19</definedName>
    <definedName name="Verification_Poste_160_0">Verifications!$A$18</definedName>
    <definedName name="Verification_Poste_160_1">Verifications!$D$18</definedName>
    <definedName name="Verification_Poste_160_2">Verifications!$F$18</definedName>
    <definedName name="Verifications_N">Verifications!$D:$D</definedName>
    <definedName name="Verifications_N_1">Verifications!$F:$F</definedName>
    <definedName name="XEDIS_MODULE_GERE_PDF">Complements!$H$4</definedName>
    <definedName name="XEDIS_MODULE_GERE_XML">Complements!$G$4</definedName>
    <definedName name="XEDIS_MODULE_ID">Complements!$A$4</definedName>
    <definedName name="XEDIS_MODULE_VERSION">Complements!$B$4</definedName>
    <definedName name="_xlnm.Print_Area" localSheetId="30">'T22'!$A$1:$F$48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84" l="1"/>
  <c r="E27" i="84" s="1"/>
  <c r="D24" i="84"/>
  <c r="D27" i="84" s="1"/>
  <c r="C24" i="84"/>
  <c r="C27" i="84" s="1"/>
  <c r="E2" i="84"/>
  <c r="D19" i="9" l="1"/>
  <c r="G43" i="66" l="1"/>
  <c r="E149" i="70"/>
  <c r="E148" i="70"/>
  <c r="C43" i="70" l="1"/>
  <c r="F148" i="70"/>
  <c r="B188" i="66" l="1"/>
  <c r="B189" i="66" s="1"/>
  <c r="B190" i="66" s="1"/>
  <c r="B185" i="66"/>
  <c r="B186" i="66" s="1"/>
  <c r="B187" i="66" s="1"/>
  <c r="B183" i="66"/>
  <c r="B184" i="66" s="1"/>
  <c r="B181" i="66"/>
  <c r="B182" i="66" s="1"/>
  <c r="F29" i="79"/>
  <c r="F23" i="79"/>
  <c r="A581" i="72"/>
  <c r="A331" i="72"/>
  <c r="A388" i="72"/>
  <c r="A829" i="72"/>
  <c r="A68" i="72"/>
  <c r="A730" i="72"/>
  <c r="A900" i="72"/>
  <c r="A344" i="72"/>
  <c r="A557" i="72"/>
  <c r="A1485" i="72"/>
  <c r="A696" i="72"/>
  <c r="A243" i="72"/>
  <c r="A1666" i="72"/>
  <c r="A1488" i="72"/>
  <c r="A644" i="72"/>
  <c r="A104" i="72"/>
  <c r="A489" i="72"/>
  <c r="A1097" i="72"/>
  <c r="A17" i="72"/>
  <c r="A140" i="72"/>
  <c r="A971" i="72"/>
  <c r="A805" i="72"/>
  <c r="A395" i="72"/>
  <c r="A32" i="72"/>
  <c r="A1071" i="72"/>
  <c r="A832" i="72"/>
  <c r="A88" i="72"/>
  <c r="A49" i="72"/>
  <c r="A48" i="72"/>
  <c r="A607" i="72"/>
  <c r="A734" i="72"/>
  <c r="A149" i="72"/>
  <c r="A865" i="72"/>
  <c r="A455" i="72"/>
  <c r="A135" i="72"/>
  <c r="A539" i="72"/>
  <c r="A1065" i="72"/>
  <c r="A877" i="72"/>
  <c r="A867" i="72"/>
  <c r="A11" i="72"/>
  <c r="A660" i="72"/>
  <c r="A193" i="72"/>
  <c r="A703" i="72"/>
  <c r="A213" i="72"/>
  <c r="A606" i="72"/>
  <c r="A944" i="72"/>
  <c r="A1056" i="72"/>
  <c r="A840" i="72"/>
  <c r="A520" i="72"/>
  <c r="A1339" i="72"/>
  <c r="A905" i="72"/>
  <c r="A457" i="72"/>
  <c r="A187" i="72"/>
  <c r="A353" i="72"/>
  <c r="A174" i="72"/>
  <c r="A298" i="72"/>
  <c r="A592" i="72"/>
  <c r="A123" i="72"/>
  <c r="A82" i="72"/>
  <c r="A748" i="72"/>
  <c r="A78" i="72"/>
  <c r="A1297" i="72"/>
  <c r="B944" i="72"/>
  <c r="A530" i="72"/>
  <c r="A984" i="72"/>
  <c r="A21" i="72"/>
  <c r="A70" i="72"/>
  <c r="A1096" i="72"/>
  <c r="A685" i="72"/>
  <c r="A564" i="72"/>
  <c r="A744" i="72"/>
  <c r="A700" i="72"/>
  <c r="A1265" i="72"/>
  <c r="A1323" i="72"/>
  <c r="A1010" i="72"/>
  <c r="A1145" i="72"/>
  <c r="A310" i="72"/>
  <c r="A1089" i="72"/>
  <c r="A1274" i="72"/>
  <c r="A1256" i="72"/>
  <c r="A1518" i="72"/>
  <c r="A2123" i="72"/>
  <c r="A745" i="72"/>
  <c r="A29" i="72"/>
  <c r="A799" i="72"/>
  <c r="A20" i="72"/>
  <c r="A1079" i="72"/>
  <c r="A1298" i="72"/>
  <c r="A1533" i="72"/>
  <c r="A1233" i="72"/>
  <c r="A642" i="72"/>
  <c r="A1146" i="72"/>
  <c r="A991" i="72"/>
  <c r="A750" i="72"/>
  <c r="A1413" i="72"/>
  <c r="A472" i="72"/>
  <c r="A247" i="72"/>
  <c r="A31" i="72"/>
  <c r="A1416" i="72"/>
  <c r="A891" i="72"/>
  <c r="A1317" i="72"/>
  <c r="A538" i="72"/>
  <c r="A1638" i="72"/>
  <c r="A1988" i="72"/>
  <c r="A2118" i="72"/>
  <c r="A1004" i="72"/>
  <c r="A185" i="72"/>
  <c r="A1477" i="72"/>
  <c r="A52" i="72"/>
  <c r="A341" i="72"/>
  <c r="A1279" i="72"/>
  <c r="A946" i="72"/>
  <c r="A1709" i="72"/>
  <c r="A882" i="72"/>
  <c r="A1018" i="72"/>
  <c r="A2163" i="72"/>
  <c r="A169" i="72"/>
  <c r="A127" i="72"/>
  <c r="A425" i="72"/>
  <c r="A144" i="72"/>
  <c r="A223" i="72"/>
  <c r="A616" i="72"/>
  <c r="A98" i="72"/>
  <c r="A1461" i="72"/>
  <c r="A666" i="72"/>
  <c r="A275" i="72"/>
  <c r="A1217" i="72"/>
  <c r="A847" i="72"/>
  <c r="A956" i="72"/>
  <c r="A573" i="72"/>
  <c r="A1220" i="72"/>
  <c r="A545" i="72"/>
  <c r="A519" i="72"/>
  <c r="A435" i="72"/>
  <c r="A861" i="72"/>
  <c r="A131" i="72"/>
  <c r="A200" i="72"/>
  <c r="A1050" i="72"/>
  <c r="A681" i="72"/>
  <c r="A231" i="72"/>
  <c r="A723" i="72"/>
  <c r="A1405" i="72"/>
  <c r="A741" i="72"/>
  <c r="A163" i="72"/>
  <c r="A504" i="72"/>
  <c r="A585" i="72"/>
  <c r="A507" i="72"/>
  <c r="A251" i="72"/>
  <c r="A747" i="72"/>
  <c r="A611" i="72"/>
  <c r="A153" i="72"/>
  <c r="A33" i="72"/>
  <c r="A692" i="72"/>
  <c r="A1082" i="72"/>
  <c r="A285" i="72"/>
  <c r="A320" i="72"/>
  <c r="A772" i="72"/>
  <c r="A694" i="72"/>
  <c r="A719" i="72"/>
  <c r="A570" i="72"/>
  <c r="A342" i="72"/>
  <c r="A280" i="72"/>
  <c r="A328" i="72"/>
  <c r="A160" i="72"/>
  <c r="A1171" i="72"/>
  <c r="A873" i="72"/>
  <c r="A408" i="72"/>
  <c r="A250" i="72"/>
  <c r="A796" i="72"/>
  <c r="A218" i="72"/>
  <c r="A738" i="72"/>
  <c r="A950" i="72"/>
  <c r="A720" i="72"/>
  <c r="A64" i="72"/>
  <c r="A424" i="72"/>
  <c r="A488" i="72"/>
  <c r="A349" i="72"/>
  <c r="A410" i="72"/>
  <c r="A12" i="72"/>
  <c r="A1003" i="72"/>
  <c r="A118" i="72"/>
  <c r="A417" i="72"/>
  <c r="A814" i="72"/>
  <c r="A65" i="72"/>
  <c r="A1770" i="72"/>
  <c r="A242" i="72"/>
  <c r="A648" i="72"/>
  <c r="A1375" i="72"/>
  <c r="A1303" i="72"/>
  <c r="A774" i="72"/>
  <c r="A604" i="72"/>
  <c r="A1334" i="72"/>
  <c r="A924" i="72"/>
  <c r="A1559" i="72"/>
  <c r="A1504" i="72"/>
  <c r="A1994" i="72"/>
  <c r="A1713" i="72"/>
  <c r="A755" i="72"/>
  <c r="A238" i="72"/>
  <c r="A302" i="72"/>
  <c r="A546" i="72"/>
  <c r="A830" i="72"/>
  <c r="A617" i="72"/>
  <c r="A1314" i="72"/>
  <c r="A704" i="72"/>
  <c r="A1311" i="72"/>
  <c r="A1192" i="72"/>
  <c r="A502" i="72"/>
  <c r="A1128" i="72"/>
  <c r="A360" i="72"/>
  <c r="A14" i="72"/>
  <c r="A61" i="72"/>
  <c r="A24" i="72"/>
  <c r="A729" i="72"/>
  <c r="A904" i="72"/>
  <c r="A623" i="72"/>
  <c r="A880" i="72"/>
  <c r="A633" i="72"/>
  <c r="A384" i="72"/>
  <c r="A1228" i="72"/>
  <c r="A1417" i="72"/>
  <c r="A1738" i="72"/>
  <c r="A334" i="72"/>
  <c r="A960" i="72"/>
  <c r="A1151" i="72"/>
  <c r="A134" i="72"/>
  <c r="A37" i="72"/>
  <c r="A1108" i="72"/>
  <c r="A1686" i="72"/>
  <c r="B744" i="72"/>
  <c r="B457" i="72"/>
  <c r="A1247" i="72"/>
  <c r="A1863" i="72"/>
  <c r="A1123" i="72"/>
  <c r="A480" i="72"/>
  <c r="A1155" i="72"/>
  <c r="A217" i="72"/>
  <c r="A335" i="72"/>
  <c r="A66" i="72"/>
  <c r="A276" i="72"/>
  <c r="A637" i="72"/>
  <c r="A1090" i="72"/>
  <c r="A958" i="72"/>
  <c r="A462" i="72"/>
  <c r="A7" i="72"/>
  <c r="A562" i="72"/>
  <c r="A615" i="72"/>
  <c r="A594" i="72"/>
  <c r="A536" i="72"/>
  <c r="A448" i="72"/>
  <c r="A382" i="72"/>
  <c r="A208" i="72"/>
  <c r="A500" i="72"/>
  <c r="A682" i="72"/>
  <c r="A759" i="72"/>
  <c r="A1205" i="72"/>
  <c r="A405" i="72"/>
  <c r="A764" i="72"/>
  <c r="B68" i="72"/>
  <c r="A1221" i="72"/>
  <c r="B1221" i="72" s="1"/>
  <c r="A427" i="72"/>
  <c r="A819" i="72"/>
  <c r="A712" i="72"/>
  <c r="A635" i="72"/>
  <c r="A601" i="72"/>
  <c r="A191" i="72"/>
  <c r="A90" i="72"/>
  <c r="A888" i="72"/>
  <c r="A869" i="72"/>
  <c r="A569" i="72"/>
  <c r="A1287" i="72"/>
  <c r="A913" i="72"/>
  <c r="A1088" i="72"/>
  <c r="A40" i="72"/>
  <c r="B40" i="72" s="1"/>
  <c r="A593" i="72"/>
  <c r="A106" i="72"/>
  <c r="A556" i="72"/>
  <c r="A483" i="72"/>
  <c r="A72" i="72"/>
  <c r="A897" i="72"/>
  <c r="A586" i="72"/>
  <c r="A765" i="72"/>
  <c r="A868" i="72"/>
  <c r="A1055" i="72"/>
  <c r="A1180" i="72"/>
  <c r="A886" i="72"/>
  <c r="A1437" i="72"/>
  <c r="A194" i="72"/>
  <c r="A300" i="72"/>
  <c r="A403" i="72"/>
  <c r="A579" i="72"/>
  <c r="A53" i="72"/>
  <c r="A215" i="72"/>
  <c r="A267" i="72"/>
  <c r="A1069" i="72"/>
  <c r="A327" i="72"/>
  <c r="A3" i="72"/>
  <c r="A979" i="72"/>
  <c r="A460" i="72"/>
  <c r="A625" i="72"/>
  <c r="A578" i="72"/>
  <c r="A675" i="72"/>
  <c r="A296" i="72"/>
  <c r="A497" i="72"/>
  <c r="A301" i="72"/>
  <c r="B301" i="72" s="1"/>
  <c r="A214" i="72"/>
  <c r="B214" i="72" s="1"/>
  <c r="A957" i="72"/>
  <c r="A1126" i="72"/>
  <c r="A1572" i="72"/>
  <c r="A1230" i="72"/>
  <c r="A326" i="72"/>
  <c r="A978" i="72"/>
  <c r="A899" i="72"/>
  <c r="A1543" i="72"/>
  <c r="A1702" i="72"/>
  <c r="A365" i="72"/>
  <c r="A1831" i="72"/>
  <c r="A362" i="72"/>
  <c r="A552" i="72"/>
  <c r="A1438" i="72"/>
  <c r="A1359" i="72"/>
  <c r="A1019" i="72"/>
  <c r="A1326" i="72"/>
  <c r="A872" i="72"/>
  <c r="A35" i="72"/>
  <c r="A1425" i="72"/>
  <c r="A404" i="72"/>
  <c r="A1592" i="72"/>
  <c r="A421" i="72"/>
  <c r="A544" i="72"/>
  <c r="A505" i="72"/>
  <c r="A147" i="72"/>
  <c r="A1366" i="72"/>
  <c r="A767" i="72"/>
  <c r="A1579" i="72"/>
  <c r="A1330" i="72"/>
  <c r="A1562" i="72"/>
  <c r="B1055" i="72"/>
  <c r="A332" i="72"/>
  <c r="A2025" i="72"/>
  <c r="A1523" i="72"/>
  <c r="B31" i="72"/>
  <c r="A192" i="72"/>
  <c r="A1017" i="72"/>
  <c r="A863" i="72"/>
  <c r="A244" i="72"/>
  <c r="A1429" i="72"/>
  <c r="A691" i="72"/>
  <c r="A107" i="72"/>
  <c r="A1498" i="72"/>
  <c r="A1396" i="72"/>
  <c r="A95" i="72"/>
  <c r="A2070" i="72"/>
  <c r="A1560" i="72"/>
  <c r="A224" i="72"/>
  <c r="A245" i="72"/>
  <c r="A881" i="72"/>
  <c r="A609" i="72"/>
  <c r="A789" i="72"/>
  <c r="A22" i="72"/>
  <c r="A13" i="72"/>
  <c r="A101" i="72"/>
  <c r="A1030" i="72"/>
  <c r="A975" i="72"/>
  <c r="B975" i="72" s="1"/>
  <c r="A541" i="72"/>
  <c r="A299" i="72"/>
  <c r="A792" i="72"/>
  <c r="A532" i="72"/>
  <c r="A237" i="72"/>
  <c r="A305" i="72"/>
  <c r="A915" i="72"/>
  <c r="A514" i="72"/>
  <c r="A437" i="72"/>
  <c r="A248" i="72"/>
  <c r="A321" i="72"/>
  <c r="B437" i="72"/>
  <c r="A307" i="72"/>
  <c r="A563" i="72"/>
  <c r="A843" i="72"/>
  <c r="B276" i="72"/>
  <c r="A870" i="72"/>
  <c r="A995" i="72"/>
  <c r="A647" i="72"/>
  <c r="A602" i="72"/>
  <c r="A44" i="72"/>
  <c r="A495" i="72"/>
  <c r="A1135" i="72"/>
  <c r="A79" i="72"/>
  <c r="A225" i="72"/>
  <c r="A1040" i="72"/>
  <c r="A669" i="72"/>
  <c r="A255" i="72"/>
  <c r="A139" i="72"/>
  <c r="A923" i="72"/>
  <c r="A728" i="72"/>
  <c r="A678" i="72"/>
  <c r="A175" i="72"/>
  <c r="A652" i="72"/>
  <c r="A329" i="72"/>
  <c r="A80" i="72"/>
  <c r="A442" i="72"/>
  <c r="A39" i="72"/>
  <c r="A806" i="72"/>
  <c r="A308" i="72"/>
  <c r="B308" i="72" s="1"/>
  <c r="A1391" i="72"/>
  <c r="A909" i="72"/>
  <c r="A364" i="72"/>
  <c r="A884" i="72"/>
  <c r="A1306" i="72"/>
  <c r="A684" i="72"/>
  <c r="A291" i="72"/>
  <c r="A62" i="72"/>
  <c r="A436" i="72"/>
  <c r="A204" i="72"/>
  <c r="A927" i="72"/>
  <c r="A315" i="72"/>
  <c r="A412" i="72"/>
  <c r="A1157" i="72"/>
  <c r="A968" i="72"/>
  <c r="A293" i="72"/>
  <c r="A967" i="72"/>
  <c r="A158" i="72"/>
  <c r="A1310" i="72"/>
  <c r="A929" i="72"/>
  <c r="A385" i="72"/>
  <c r="A422" i="72"/>
  <c r="A885" i="72"/>
  <c r="A631" i="72"/>
  <c r="A522" i="72"/>
  <c r="A679" i="72"/>
  <c r="A1395" i="72"/>
  <c r="B1217" i="72"/>
  <c r="A1497" i="72"/>
  <c r="A1651" i="72"/>
  <c r="A896" i="72"/>
  <c r="A357" i="72"/>
  <c r="A1888" i="72"/>
  <c r="A989" i="72"/>
  <c r="A2312" i="72"/>
  <c r="A777" i="72"/>
  <c r="A920" i="72"/>
  <c r="A400" i="72"/>
  <c r="A172" i="72"/>
  <c r="A316" i="72"/>
  <c r="A1219" i="72"/>
  <c r="A1023" i="72"/>
  <c r="A1445" i="72"/>
  <c r="A630" i="72"/>
  <c r="A1188" i="72"/>
  <c r="A727" i="72"/>
  <c r="A159" i="72"/>
  <c r="A906" i="72"/>
  <c r="A831" i="72"/>
  <c r="A451" i="72"/>
  <c r="A1156" i="72"/>
  <c r="A1414" i="72"/>
  <c r="A823" i="72"/>
  <c r="A1400" i="72"/>
  <c r="B1310" i="72"/>
  <c r="A133" i="72"/>
  <c r="A715" i="72"/>
  <c r="A1087" i="72"/>
  <c r="A1524" i="72"/>
  <c r="A1815" i="72"/>
  <c r="A788" i="72"/>
  <c r="A366" i="72"/>
  <c r="A8" i="72"/>
  <c r="A1338" i="72"/>
  <c r="A287" i="72"/>
  <c r="A6" i="72"/>
  <c r="A1132" i="72"/>
  <c r="A902" i="72"/>
  <c r="A1036" i="72"/>
  <c r="A1012" i="72"/>
  <c r="A860" i="72"/>
  <c r="A413" i="72"/>
  <c r="A1369" i="72"/>
  <c r="A1630" i="72"/>
  <c r="A568" i="72"/>
  <c r="A493" i="72"/>
  <c r="A15" i="72"/>
  <c r="B15" i="72" s="1"/>
  <c r="A680" i="72"/>
  <c r="A387" i="72"/>
  <c r="B387" i="72" s="1"/>
  <c r="A166" i="72"/>
  <c r="B166" i="72" s="1"/>
  <c r="A1106" i="72"/>
  <c r="A845" i="72"/>
  <c r="A517" i="72"/>
  <c r="A58" i="72"/>
  <c r="A811" i="72"/>
  <c r="A91" i="72"/>
  <c r="A1008" i="72"/>
  <c r="A1291" i="72"/>
  <c r="A688" i="72"/>
  <c r="A555" i="72"/>
  <c r="A575" i="72"/>
  <c r="A260" i="72"/>
  <c r="A60" i="72"/>
  <c r="A318" i="72"/>
  <c r="A1139" i="72"/>
  <c r="A911" i="72"/>
  <c r="B911" i="72" s="1"/>
  <c r="A533" i="72"/>
  <c r="A662" i="72"/>
  <c r="A760" i="72"/>
  <c r="A813" i="72"/>
  <c r="A511" i="72"/>
  <c r="A1751" i="72"/>
  <c r="A1134" i="72"/>
  <c r="A665" i="72"/>
  <c r="A587" i="72"/>
  <c r="A272" i="72"/>
  <c r="A893" i="72"/>
  <c r="B893" i="72" s="1"/>
  <c r="A195" i="72"/>
  <c r="A274" i="72"/>
  <c r="A603" i="72"/>
  <c r="A771" i="72"/>
  <c r="A809" i="72"/>
  <c r="A268" i="72"/>
  <c r="A820" i="72"/>
  <c r="A1584" i="72"/>
  <c r="A273" i="72"/>
  <c r="A780" i="72"/>
  <c r="A351" i="72"/>
  <c r="A518" i="72"/>
  <c r="A930" i="72"/>
  <c r="A130" i="72"/>
  <c r="A182" i="72"/>
  <c r="A1020" i="72"/>
  <c r="B1020" i="72" s="1"/>
  <c r="A740" i="72"/>
  <c r="A165" i="72"/>
  <c r="A28" i="72"/>
  <c r="A1345" i="72"/>
  <c r="A926" i="72"/>
  <c r="A1007" i="72"/>
  <c r="A126" i="72"/>
  <c r="A150" i="72"/>
  <c r="A1070" i="72"/>
  <c r="A9" i="72"/>
  <c r="A2" i="72"/>
  <c r="A93" i="72"/>
  <c r="A852" i="72"/>
  <c r="A440" i="72"/>
  <c r="A769" i="72"/>
  <c r="A596" i="72"/>
  <c r="A340" i="72"/>
  <c r="A1016" i="72"/>
  <c r="A1394" i="72"/>
  <c r="A525" i="72"/>
  <c r="A325" i="72"/>
  <c r="B325" i="72" s="1"/>
  <c r="A314" i="72"/>
  <c r="A762" i="72"/>
  <c r="A839" i="72"/>
  <c r="A1119" i="72"/>
  <c r="A155" i="72"/>
  <c r="A74" i="72"/>
  <c r="A1271" i="72"/>
  <c r="A733" i="72"/>
  <c r="A1688" i="72"/>
  <c r="A1344" i="72"/>
  <c r="B927" i="72"/>
  <c r="A2373" i="72"/>
  <c r="A1197" i="72"/>
  <c r="A1906" i="72"/>
  <c r="A145" i="72"/>
  <c r="A542" i="72"/>
  <c r="A401" i="72"/>
  <c r="A393" i="72"/>
  <c r="A709" i="72"/>
  <c r="A801" i="72"/>
  <c r="B801" i="72" s="1"/>
  <c r="A1121" i="72"/>
  <c r="A398" i="72"/>
  <c r="A1245" i="72"/>
  <c r="A531" i="72"/>
  <c r="A146" i="72"/>
  <c r="A487" i="72"/>
  <c r="A1383" i="72"/>
  <c r="A1043" i="72"/>
  <c r="A188" i="72"/>
  <c r="B188" i="72" s="1"/>
  <c r="A47" i="72"/>
  <c r="A667" i="72"/>
  <c r="A674" i="72"/>
  <c r="A89" i="72"/>
  <c r="A833" i="72"/>
  <c r="A269" i="72"/>
  <c r="A25" i="72"/>
  <c r="A312" i="72"/>
  <c r="B312" i="72" s="1"/>
  <c r="A914" i="72"/>
  <c r="A970" i="72"/>
  <c r="B970" i="72" s="1"/>
  <c r="A537" i="72"/>
  <c r="A1537" i="72"/>
  <c r="A5" i="72"/>
  <c r="A986" i="72"/>
  <c r="B986" i="72" s="1"/>
  <c r="A303" i="72"/>
  <c r="B303" i="72" s="1"/>
  <c r="A459" i="72"/>
  <c r="A614" i="72"/>
  <c r="A742" i="72"/>
  <c r="A120" i="72"/>
  <c r="A1237" i="72"/>
  <c r="A804" i="72"/>
  <c r="A966" i="72"/>
  <c r="A319" i="72"/>
  <c r="A1292" i="72"/>
  <c r="A1098" i="72"/>
  <c r="A151" i="72"/>
  <c r="A390" i="72"/>
  <c r="A253" i="72"/>
  <c r="A161" i="72"/>
  <c r="A732" i="72"/>
  <c r="A259" i="72"/>
  <c r="A313" i="72"/>
  <c r="A1101" i="72"/>
  <c r="A108" i="72"/>
  <c r="A663" i="72"/>
  <c r="A1038" i="72"/>
  <c r="A249" i="72"/>
  <c r="B47" i="72"/>
  <c r="A1633" i="72"/>
  <c r="A1678" i="72"/>
  <c r="A721" i="72"/>
  <c r="A627" i="72"/>
  <c r="A853" i="72"/>
  <c r="A254" i="72"/>
  <c r="A510" i="72"/>
  <c r="A515" i="72"/>
  <c r="A486" i="72"/>
  <c r="A1316" i="72"/>
  <c r="A807" i="72"/>
  <c r="A226" i="72"/>
  <c r="A1175" i="72"/>
  <c r="A1000" i="72"/>
  <c r="A1406" i="72"/>
  <c r="A1046" i="72"/>
  <c r="B340" i="72"/>
  <c r="A42" i="72"/>
  <c r="A701" i="72"/>
  <c r="A482" i="72"/>
  <c r="A186" i="72"/>
  <c r="A815" i="72"/>
  <c r="A1024" i="72"/>
  <c r="A1047" i="72"/>
  <c r="A1790" i="72"/>
  <c r="A1062" i="72"/>
  <c r="A1409" i="72"/>
  <c r="A1446" i="72"/>
  <c r="A1193" i="72"/>
  <c r="A1946" i="72"/>
  <c r="A1657" i="72"/>
  <c r="A1535" i="72"/>
  <c r="A686" i="72"/>
  <c r="A295" i="72"/>
  <c r="A523" i="72"/>
  <c r="A1671" i="72"/>
  <c r="A496" i="72"/>
  <c r="A221" i="72"/>
  <c r="A879" i="72"/>
  <c r="B879" i="72" s="1"/>
  <c r="A687" i="72"/>
  <c r="A420" i="72"/>
  <c r="A875" i="72"/>
  <c r="A227" i="72"/>
  <c r="A513" i="72"/>
  <c r="A156" i="72"/>
  <c r="A236" i="72"/>
  <c r="A726" i="72"/>
  <c r="B60" i="72"/>
  <c r="A1687" i="72"/>
  <c r="A595" i="72"/>
  <c r="A432" i="72"/>
  <c r="A1198" i="72"/>
  <c r="A2033" i="72"/>
  <c r="A378" i="72"/>
  <c r="A1352" i="72"/>
  <c r="A889" i="72"/>
  <c r="A1335" i="72"/>
  <c r="A1492" i="72"/>
  <c r="A1650" i="72"/>
  <c r="A209" i="72"/>
  <c r="A46" i="72"/>
  <c r="A1160" i="72"/>
  <c r="A113" i="72"/>
  <c r="B488" i="72"/>
  <c r="A1801" i="72"/>
  <c r="A1027" i="72"/>
  <c r="A83" i="72"/>
  <c r="B130" i="72"/>
  <c r="A1479" i="72"/>
  <c r="A836" i="72"/>
  <c r="A597" i="72"/>
  <c r="A1643" i="72"/>
  <c r="A2071" i="72"/>
  <c r="A181" i="72"/>
  <c r="A203" i="72"/>
  <c r="A1042" i="72"/>
  <c r="A266" i="72"/>
  <c r="A670" i="72"/>
  <c r="A1449" i="72"/>
  <c r="A953" i="72"/>
  <c r="A1080" i="72"/>
  <c r="A92" i="72"/>
  <c r="A1049" i="72"/>
  <c r="A951" i="72"/>
  <c r="A1327" i="72"/>
  <c r="A1717" i="72"/>
  <c r="A1578" i="72"/>
  <c r="A1907" i="72"/>
  <c r="A567" i="72"/>
  <c r="A782" i="72"/>
  <c r="A85" i="72"/>
  <c r="B1121" i="72"/>
  <c r="A1714" i="72"/>
  <c r="B1135" i="72"/>
  <c r="A1913" i="72"/>
  <c r="A1661" i="72"/>
  <c r="A18" i="72"/>
  <c r="A453" i="72"/>
  <c r="A802" i="72"/>
  <c r="A1637" i="72"/>
  <c r="A1390" i="72"/>
  <c r="A874" i="72"/>
  <c r="A890" i="72"/>
  <c r="A1958" i="72"/>
  <c r="A1742" i="72"/>
  <c r="A324" i="72"/>
  <c r="A69" i="72"/>
  <c r="A1177" i="72"/>
  <c r="A583" i="72"/>
  <c r="A373" i="72"/>
  <c r="A516" i="72"/>
  <c r="A1152" i="72"/>
  <c r="A1411" i="72"/>
  <c r="B881" i="72"/>
  <c r="A1878" i="72"/>
  <c r="A1804" i="72"/>
  <c r="A2106" i="72"/>
  <c r="A2434" i="72"/>
  <c r="A1987" i="72"/>
  <c r="A817" i="72"/>
  <c r="A142" i="72"/>
  <c r="A828" i="72"/>
  <c r="A87" i="72"/>
  <c r="A1045" i="72"/>
  <c r="A2210" i="72"/>
  <c r="A2039" i="72"/>
  <c r="A1952" i="72"/>
  <c r="A1654" i="72"/>
  <c r="A965" i="72"/>
  <c r="A668" i="72"/>
  <c r="A1999" i="72"/>
  <c r="A2385" i="72"/>
  <c r="A2623" i="72"/>
  <c r="A1360" i="72"/>
  <c r="A233" i="72"/>
  <c r="A261" i="72"/>
  <c r="A1325" i="72"/>
  <c r="A1993" i="72"/>
  <c r="A36" i="72"/>
  <c r="B36" i="72" s="1"/>
  <c r="A717" i="72"/>
  <c r="A306" i="72"/>
  <c r="A1480" i="72"/>
  <c r="A478" i="72"/>
  <c r="B478" i="72" s="1"/>
  <c r="A824" i="72"/>
  <c r="A856" i="72"/>
  <c r="A338" i="72"/>
  <c r="A105" i="72"/>
  <c r="A985" i="72"/>
  <c r="A75" i="72"/>
  <c r="A444" i="72"/>
  <c r="A822" i="72"/>
  <c r="A857" i="72"/>
  <c r="A57" i="72"/>
  <c r="A438" i="72"/>
  <c r="A754" i="72"/>
  <c r="A1293" i="72"/>
  <c r="B1293" i="72" s="1"/>
  <c r="A1026" i="72"/>
  <c r="A677" i="72"/>
  <c r="A1435" i="72"/>
  <c r="A1547" i="72"/>
  <c r="A710" i="72"/>
  <c r="A402" i="72"/>
  <c r="A864" i="72"/>
  <c r="A626" i="72"/>
  <c r="A294" i="72"/>
  <c r="A414" i="72"/>
  <c r="A383" i="72"/>
  <c r="A286" i="72"/>
  <c r="B286" i="72" s="1"/>
  <c r="A1673" i="72"/>
  <c r="A907" i="72"/>
  <c r="A640" i="72"/>
  <c r="A1136" i="72"/>
  <c r="A1727" i="72"/>
  <c r="A289" i="72"/>
  <c r="A736" i="72"/>
  <c r="A264" i="72"/>
  <c r="A445" i="72"/>
  <c r="A1571" i="72"/>
  <c r="A1236" i="72"/>
  <c r="A1632" i="72"/>
  <c r="A574" i="72"/>
  <c r="A124" i="72"/>
  <c r="A377" i="72"/>
  <c r="A1025" i="72"/>
  <c r="A439" i="72"/>
  <c r="A265" i="72"/>
  <c r="A96" i="72"/>
  <c r="A76" i="72"/>
  <c r="A1538" i="72"/>
  <c r="B909" i="72"/>
  <c r="A977" i="72"/>
  <c r="A2157" i="72"/>
  <c r="A763" i="72"/>
  <c r="A1086" i="72"/>
  <c r="A641" i="72"/>
  <c r="A566" i="72"/>
  <c r="B958" i="72"/>
  <c r="A1706" i="72"/>
  <c r="A1342" i="72"/>
  <c r="A1615" i="72"/>
  <c r="A1294" i="72"/>
  <c r="A1284" i="72"/>
  <c r="A1347" i="72"/>
  <c r="A336" i="72"/>
  <c r="A271" i="72"/>
  <c r="A263" i="72"/>
  <c r="A1172" i="72"/>
  <c r="B1082" i="72"/>
  <c r="A1419" i="72"/>
  <c r="B1237" i="72"/>
  <c r="A1434" i="72"/>
  <c r="A1402" i="72"/>
  <c r="A216" i="72"/>
  <c r="A333" i="72"/>
  <c r="A1064" i="72"/>
  <c r="A1085" i="72"/>
  <c r="A901" i="72"/>
  <c r="A1448" i="72"/>
  <c r="A1427" i="72"/>
  <c r="A878" i="72"/>
  <c r="A162" i="72"/>
  <c r="A1716" i="72"/>
  <c r="A2061" i="72"/>
  <c r="A2674" i="72"/>
  <c r="A2941" i="72"/>
  <c r="A1981" i="72"/>
  <c r="A111" i="72"/>
  <c r="B570" i="72"/>
  <c r="A1542" i="72"/>
  <c r="B799" i="72"/>
  <c r="A1513" i="72"/>
  <c r="A129" i="72"/>
  <c r="A26" i="72"/>
  <c r="A1077" i="72"/>
  <c r="A1299" i="72"/>
  <c r="A1921" i="72"/>
  <c r="A1932" i="72"/>
  <c r="A2664" i="72"/>
  <c r="A2153" i="72"/>
  <c r="A2164" i="72"/>
  <c r="B915" i="72"/>
  <c r="A339" i="72"/>
  <c r="A1209" i="72"/>
  <c r="A997" i="72"/>
  <c r="A1370" i="72"/>
  <c r="A2077" i="72"/>
  <c r="A1491" i="72"/>
  <c r="A136" i="72"/>
  <c r="A2327" i="72"/>
  <c r="A1876" i="72"/>
  <c r="A2259" i="72"/>
  <c r="A2718" i="72"/>
  <c r="B1108" i="72"/>
  <c r="A775" i="72"/>
  <c r="A317" i="72"/>
  <c r="A512" i="72"/>
  <c r="A848" i="72"/>
  <c r="A1015" i="72"/>
  <c r="A463" i="72"/>
  <c r="B463" i="72" s="1"/>
  <c r="A689" i="72"/>
  <c r="A50" i="72"/>
  <c r="A73" i="72"/>
  <c r="A650" i="72"/>
  <c r="A164" i="72"/>
  <c r="A103" i="72"/>
  <c r="B44" i="72"/>
  <c r="B140" i="72"/>
  <c r="A549" i="72"/>
  <c r="A954" i="72"/>
  <c r="A1061" i="72"/>
  <c r="A876" i="72"/>
  <c r="B517" i="72"/>
  <c r="B313" i="72"/>
  <c r="A1471" i="72"/>
  <c r="A1457" i="72"/>
  <c r="A376" i="72"/>
  <c r="A690" i="72"/>
  <c r="A41" i="72"/>
  <c r="A1624" i="72"/>
  <c r="B772" i="72"/>
  <c r="A1469" i="72"/>
  <c r="A128" i="72"/>
  <c r="A1282" i="72"/>
  <c r="B274" i="72"/>
  <c r="A1006" i="72"/>
  <c r="A1235" i="72"/>
  <c r="A1577" i="72"/>
  <c r="A2026" i="72"/>
  <c r="B811" i="72"/>
  <c r="A252" i="72"/>
  <c r="A157" i="72"/>
  <c r="A1558" i="72"/>
  <c r="A1629" i="72"/>
  <c r="A1653" i="72"/>
  <c r="A992" i="72"/>
  <c r="A1309" i="72"/>
  <c r="A1059" i="72"/>
  <c r="A367" i="72"/>
  <c r="A222" i="72"/>
  <c r="A1144" i="72"/>
  <c r="A558" i="72"/>
  <c r="A883" i="72"/>
  <c r="A605" i="72"/>
  <c r="A938" i="72"/>
  <c r="A1161" i="72"/>
  <c r="B1175" i="72"/>
  <c r="A1078" i="72"/>
  <c r="B2157" i="72"/>
  <c r="A1998" i="72"/>
  <c r="A797" i="72"/>
  <c r="A619" i="72"/>
  <c r="A1422" i="72"/>
  <c r="A137" i="72"/>
  <c r="A1823" i="72"/>
  <c r="A2263" i="72"/>
  <c r="A1530" i="72"/>
  <c r="A428" i="72"/>
  <c r="A2020" i="72"/>
  <c r="A239" i="72"/>
  <c r="A577" i="72"/>
  <c r="A921" i="72"/>
  <c r="B1061" i="72"/>
  <c r="A1649" i="72"/>
  <c r="B1649" i="72" s="1"/>
  <c r="A524" i="72"/>
  <c r="A1431" i="72"/>
  <c r="A229" i="72"/>
  <c r="A1508" i="72"/>
  <c r="A167" i="72"/>
  <c r="A632" i="72"/>
  <c r="A281" i="72"/>
  <c r="A1783" i="72"/>
  <c r="A1555" i="72"/>
  <c r="A1721" i="72"/>
  <c r="A1529" i="72"/>
  <c r="A1656" i="72"/>
  <c r="A1541" i="72"/>
  <c r="A855" i="72"/>
  <c r="A2208" i="72"/>
  <c r="A1350" i="72"/>
  <c r="A1872" i="72"/>
  <c r="A2920" i="72"/>
  <c r="A2722" i="72"/>
  <c r="A1068" i="72"/>
  <c r="A972" i="72"/>
  <c r="A1142" i="72"/>
  <c r="B853" i="72"/>
  <c r="A110" i="72"/>
  <c r="A1501" i="72"/>
  <c r="A1031" i="72"/>
  <c r="A2038" i="72"/>
  <c r="A1758" i="72"/>
  <c r="B1142" i="72"/>
  <c r="A1423" i="72"/>
  <c r="A988" i="72"/>
  <c r="A2201" i="72"/>
  <c r="A2772" i="72"/>
  <c r="A2253" i="72"/>
  <c r="A279" i="72"/>
  <c r="A1398" i="72"/>
  <c r="A446" i="72"/>
  <c r="A1786" i="72"/>
  <c r="A1343" i="72"/>
  <c r="A1393" i="72"/>
  <c r="A2170" i="72"/>
  <c r="A2080" i="72"/>
  <c r="A86" i="72"/>
  <c r="A1869" i="72"/>
  <c r="B1007" i="72"/>
  <c r="A1295" i="72"/>
  <c r="A2792" i="72"/>
  <c r="A2313" i="72"/>
  <c r="A2309" i="72"/>
  <c r="A1574" i="72"/>
  <c r="B302" i="72"/>
  <c r="A1694" i="72"/>
  <c r="A476" i="72"/>
  <c r="A2050" i="72"/>
  <c r="A1602" i="72"/>
  <c r="A2927" i="72"/>
  <c r="A471" i="72"/>
  <c r="A240" i="72"/>
  <c r="A928" i="72"/>
  <c r="A1225" i="72"/>
  <c r="A458" i="72"/>
  <c r="A234" i="72"/>
  <c r="A803" i="72"/>
  <c r="A952" i="72"/>
  <c r="A982" i="72"/>
  <c r="A534" i="72"/>
  <c r="A565" i="72"/>
  <c r="A468" i="72"/>
  <c r="A697" i="72"/>
  <c r="A584" i="72"/>
  <c r="A786" i="72"/>
  <c r="A138" i="72"/>
  <c r="A1399" i="72"/>
  <c r="B1003" i="72"/>
  <c r="A152" i="72"/>
  <c r="A1149" i="72"/>
  <c r="A1818" i="72"/>
  <c r="A232" i="72"/>
  <c r="B260" i="72"/>
  <c r="A173" i="72"/>
  <c r="A1302" i="72"/>
  <c r="A827" i="72"/>
  <c r="B869" i="72"/>
  <c r="A781" i="72"/>
  <c r="A572" i="72"/>
  <c r="B843" i="72"/>
  <c r="A547" i="72"/>
  <c r="A1505" i="72"/>
  <c r="A1194" i="72"/>
  <c r="A1536" i="72"/>
  <c r="A54" i="72"/>
  <c r="A456" i="72"/>
  <c r="A1009" i="72"/>
  <c r="A1489" i="72"/>
  <c r="A1483" i="72"/>
  <c r="A391" i="72"/>
  <c r="A1105" i="72"/>
  <c r="A2005" i="72"/>
  <c r="B192" i="72"/>
  <c r="A636" i="72"/>
  <c r="A778" i="72"/>
  <c r="A177" i="72"/>
  <c r="B242" i="72"/>
  <c r="A1315" i="72"/>
  <c r="A698" i="72"/>
  <c r="A1599" i="72"/>
  <c r="B316" i="72"/>
  <c r="A1797" i="72"/>
  <c r="A974" i="72"/>
  <c r="A818" i="72"/>
  <c r="A1856" i="72"/>
  <c r="A1362" i="72"/>
  <c r="B134" i="72"/>
  <c r="A540" i="72"/>
  <c r="A202" i="72"/>
  <c r="B1070" i="72"/>
  <c r="A1074" i="72"/>
  <c r="A1850" i="72"/>
  <c r="A1392" i="72"/>
  <c r="A1723" i="72"/>
  <c r="A935" i="72"/>
  <c r="A1281" i="72"/>
  <c r="A657" i="72"/>
  <c r="B367" i="72"/>
  <c r="A1226" i="72"/>
  <c r="A695" i="72"/>
  <c r="A1940" i="72"/>
  <c r="A2379" i="72"/>
  <c r="A1690" i="72"/>
  <c r="A825" i="72"/>
  <c r="A2085" i="72"/>
  <c r="A1104" i="72"/>
  <c r="A653" i="72"/>
  <c r="A1051" i="72"/>
  <c r="A1481" i="72"/>
  <c r="A1202" i="72"/>
  <c r="A1472" i="72"/>
  <c r="A1822" i="72"/>
  <c r="A1607" i="72"/>
  <c r="A1035" i="72"/>
  <c r="A1825" i="72"/>
  <c r="A1891" i="72"/>
  <c r="A2565" i="72"/>
  <c r="A2159" i="72"/>
  <c r="A766" i="72"/>
  <c r="A210" i="72"/>
  <c r="A1060" i="72"/>
  <c r="A45" i="72"/>
  <c r="A842" i="72"/>
  <c r="A1169" i="72"/>
  <c r="A1719" i="72"/>
  <c r="A1252" i="72"/>
  <c r="A1546" i="72"/>
  <c r="A1052" i="72"/>
  <c r="A1968" i="72"/>
  <c r="A1794" i="72"/>
  <c r="A1199" i="72"/>
  <c r="A2737" i="72"/>
  <c r="A2974" i="72"/>
  <c r="A2363" i="72"/>
  <c r="A1125" i="72"/>
  <c r="A426" i="72"/>
  <c r="B1245" i="72"/>
  <c r="B635" i="72"/>
  <c r="A794" i="72"/>
  <c r="A749" i="72"/>
  <c r="A464" i="72"/>
  <c r="A1410" i="72"/>
  <c r="A1728" i="72"/>
  <c r="A1433" i="72"/>
  <c r="B1279" i="72"/>
  <c r="A1313" i="72"/>
  <c r="A2348" i="72"/>
  <c r="A2900" i="72"/>
  <c r="A2906" i="72"/>
  <c r="A1744" i="72"/>
  <c r="A1459" i="72"/>
  <c r="A983" i="72"/>
  <c r="A2169" i="72"/>
  <c r="A654" i="72"/>
  <c r="A2012" i="72"/>
  <c r="A2883" i="72"/>
  <c r="A2344" i="72"/>
  <c r="A379" i="72"/>
  <c r="A895" i="72"/>
  <c r="B895" i="72" s="1"/>
  <c r="A705" i="72"/>
  <c r="A746" i="72"/>
  <c r="B208" i="72"/>
  <c r="A411" i="72"/>
  <c r="A19" i="72"/>
  <c r="A591" i="72"/>
  <c r="A30" i="72"/>
  <c r="A753" i="72"/>
  <c r="A1014" i="72"/>
  <c r="A370" i="72"/>
  <c r="A1124" i="72"/>
  <c r="A43" i="72"/>
  <c r="A94" i="72"/>
  <c r="B2" i="72"/>
  <c r="A154" i="72"/>
  <c r="A849" i="72"/>
  <c r="B849" i="72" s="1"/>
  <c r="A661" i="72"/>
  <c r="A1028" i="72"/>
  <c r="A1232" i="72"/>
  <c r="A474" i="72"/>
  <c r="A612" i="72"/>
  <c r="A498" i="72"/>
  <c r="A598" i="72"/>
  <c r="A708" i="72"/>
  <c r="A1240" i="72"/>
  <c r="A297" i="72"/>
  <c r="A257" i="72"/>
  <c r="A1263" i="72"/>
  <c r="B889" i="72"/>
  <c r="A1231" i="72"/>
  <c r="A1658" i="72"/>
  <c r="A2119" i="72"/>
  <c r="A97" i="72"/>
  <c r="A919" i="72"/>
  <c r="A176" i="72"/>
  <c r="B1205" i="72"/>
  <c r="A4" i="72"/>
  <c r="A290" i="72"/>
  <c r="A1355" i="72"/>
  <c r="A1250" i="72"/>
  <c r="A423" i="72"/>
  <c r="A27" i="72"/>
  <c r="A943" i="72"/>
  <c r="A645" i="72"/>
  <c r="A109" i="72"/>
  <c r="A903" i="72"/>
  <c r="A431" i="72"/>
  <c r="A1254" i="72"/>
  <c r="A844" i="72"/>
  <c r="A1120" i="72"/>
  <c r="A1385" i="72"/>
  <c r="A262" i="72"/>
  <c r="A1580" i="72"/>
  <c r="A795" i="72"/>
  <c r="A651" i="72"/>
  <c r="A1259" i="72"/>
  <c r="A1680" i="72"/>
  <c r="A699" i="72"/>
  <c r="A1900" i="72"/>
  <c r="A1412" i="72"/>
  <c r="A1775" i="72"/>
  <c r="B819" i="72"/>
  <c r="A2043" i="72"/>
  <c r="A470" i="72"/>
  <c r="B470" i="72" s="1"/>
  <c r="A1044" i="72"/>
  <c r="A969" i="72"/>
  <c r="B969" i="72" s="1"/>
  <c r="B760" i="72"/>
  <c r="B1988" i="72"/>
  <c r="A1253" i="72"/>
  <c r="A1432" i="72"/>
  <c r="A258" i="72"/>
  <c r="A1493" i="72"/>
  <c r="A1138" i="72"/>
  <c r="A51" i="72"/>
  <c r="A2117" i="72"/>
  <c r="A1389" i="72"/>
  <c r="B829" i="72"/>
  <c r="A114" i="72"/>
  <c r="A2138" i="72"/>
  <c r="A1353" i="72"/>
  <c r="A2184" i="72"/>
  <c r="A1892" i="72"/>
  <c r="A2101" i="72"/>
  <c r="A2953" i="72"/>
  <c r="A1515" i="72"/>
  <c r="A59" i="72"/>
  <c r="A10" i="72"/>
  <c r="B809" i="72"/>
  <c r="A1585" i="72"/>
  <c r="A655" i="72"/>
  <c r="A1200" i="72"/>
  <c r="A1600" i="72"/>
  <c r="B2038" i="72"/>
  <c r="A1243" i="72"/>
  <c r="A211" i="72"/>
  <c r="A2283" i="72"/>
  <c r="A1465" i="72"/>
  <c r="B2201" i="72"/>
  <c r="A2496" i="72"/>
  <c r="A2678" i="72"/>
  <c r="A81" i="72"/>
  <c r="A1213" i="72"/>
  <c r="B1213" i="72" s="1"/>
  <c r="A509" i="72"/>
  <c r="A469" i="72"/>
  <c r="A506" i="72"/>
  <c r="A1454" i="72"/>
  <c r="A1140" i="72"/>
  <c r="A2122" i="72"/>
  <c r="A1141" i="72"/>
  <c r="A2002" i="72"/>
  <c r="A1451" i="72"/>
  <c r="A2058" i="72"/>
  <c r="A2865" i="72"/>
  <c r="B1562" i="72"/>
  <c r="A628" i="72"/>
  <c r="B971" i="72"/>
  <c r="A1011" i="72"/>
  <c r="A851" i="72"/>
  <c r="A1182" i="72"/>
  <c r="A1118" i="72"/>
  <c r="A2246" i="72"/>
  <c r="A205" i="72"/>
  <c r="A737" i="72"/>
  <c r="A394" i="72"/>
  <c r="A100" i="72"/>
  <c r="B100" i="72" s="1"/>
  <c r="A761" i="72"/>
  <c r="A671" i="72"/>
  <c r="A785" i="72"/>
  <c r="A125" i="72"/>
  <c r="A656" i="72"/>
  <c r="A622" i="72"/>
  <c r="A821" i="72"/>
  <c r="B821" i="72" s="1"/>
  <c r="A292" i="72"/>
  <c r="B292" i="72" s="1"/>
  <c r="A812" i="72"/>
  <c r="A386" i="72"/>
  <c r="A624" i="72"/>
  <c r="A288" i="72"/>
  <c r="A529" i="72"/>
  <c r="A418" i="72"/>
  <c r="A1470" i="72"/>
  <c r="A1167" i="72"/>
  <c r="B1167" i="72" s="1"/>
  <c r="B1946" i="72"/>
  <c r="A485" i="72"/>
  <c r="A713" i="72"/>
  <c r="A939" i="72"/>
  <c r="B320" i="72"/>
  <c r="A1148" i="72"/>
  <c r="A1512" i="72"/>
  <c r="A322" i="72"/>
  <c r="A1110" i="72"/>
  <c r="A1778" i="72"/>
  <c r="A1622" i="72"/>
  <c r="A1746" i="72"/>
  <c r="A1178" i="72"/>
  <c r="A561" i="72"/>
  <c r="A415" i="72"/>
  <c r="B418" i="72"/>
  <c r="A409" i="72"/>
  <c r="A1720" i="72"/>
  <c r="B1720" i="72" s="1"/>
  <c r="A406" i="72"/>
  <c r="A170" i="72"/>
  <c r="A1601" i="72"/>
  <c r="A1805" i="72"/>
  <c r="A132" i="72"/>
  <c r="A122" i="72"/>
  <c r="A918" i="72"/>
  <c r="A501" i="72"/>
  <c r="A718" i="72"/>
  <c r="B789" i="72"/>
  <c r="A554" i="72"/>
  <c r="B833" i="72"/>
  <c r="A1033" i="72"/>
  <c r="A372" i="72"/>
  <c r="A1795" i="72"/>
  <c r="A1693" i="72"/>
  <c r="B497" i="72"/>
  <c r="A2126" i="72"/>
  <c r="A121" i="72"/>
  <c r="A672" i="72"/>
  <c r="A143" i="72"/>
  <c r="A355" i="72"/>
  <c r="A996" i="72"/>
  <c r="A1954" i="72"/>
  <c r="A179" i="72"/>
  <c r="A2269" i="72"/>
  <c r="A1214" i="72"/>
  <c r="A230" i="72"/>
  <c r="A942" i="72"/>
  <c r="A1364" i="72"/>
  <c r="A613" i="72"/>
  <c r="A1094" i="72"/>
  <c r="A1989" i="72"/>
  <c r="A1642" i="72"/>
  <c r="A1836" i="72"/>
  <c r="A961" i="72"/>
  <c r="A2086" i="72"/>
  <c r="A115" i="72"/>
  <c r="A707" i="72"/>
  <c r="A1548" i="72"/>
  <c r="B414" i="72"/>
  <c r="A2112" i="72"/>
  <c r="A1914" i="72"/>
  <c r="A1899" i="72"/>
  <c r="A112" i="72"/>
  <c r="B2126" i="72"/>
  <c r="A1764" i="72"/>
  <c r="A1884" i="72"/>
  <c r="A2600" i="72"/>
  <c r="A1986" i="72"/>
  <c r="A1234" i="72"/>
  <c r="A1691" i="72"/>
  <c r="A551" i="72"/>
  <c r="A1114" i="72"/>
  <c r="B1114" i="72" s="1"/>
  <c r="A1187" i="72"/>
  <c r="B1187" i="72" s="1"/>
  <c r="A198" i="72"/>
  <c r="B1504" i="72"/>
  <c r="A1681" i="72"/>
  <c r="A1640" i="72"/>
  <c r="B1640" i="72" s="1"/>
  <c r="A1819" i="72"/>
  <c r="A1636" i="72"/>
  <c r="A779" i="72"/>
  <c r="A1756" i="72"/>
  <c r="A2233" i="72"/>
  <c r="A2738" i="72"/>
  <c r="A1760" i="72"/>
  <c r="A1116" i="72"/>
  <c r="A55" i="72"/>
  <c r="A337" i="72"/>
  <c r="A354" i="72"/>
  <c r="B957" i="72"/>
  <c r="B1230" i="72"/>
  <c r="B1231" i="72"/>
  <c r="A1617" i="72"/>
  <c r="A1737" i="72"/>
  <c r="A1340" i="72"/>
  <c r="A1456" i="72"/>
  <c r="A1753" i="72"/>
  <c r="A2350" i="72"/>
  <c r="A2621" i="72"/>
  <c r="A2911" i="72"/>
  <c r="A450" i="72"/>
  <c r="A1700" i="72"/>
  <c r="A1223" i="72"/>
  <c r="A1159" i="72"/>
  <c r="A1611" i="72"/>
  <c r="A1677" i="72"/>
  <c r="A2685" i="72"/>
  <c r="A608" i="72"/>
  <c r="A629" i="72"/>
  <c r="A1331" i="72"/>
  <c r="B761" i="72"/>
  <c r="A490" i="72"/>
  <c r="A1091" i="72"/>
  <c r="A475" i="72"/>
  <c r="A1032" i="72"/>
  <c r="A610" i="72"/>
  <c r="B471" i="72"/>
  <c r="B2070" i="72"/>
  <c r="A397" i="72"/>
  <c r="A722" i="72"/>
  <c r="A1354" i="72"/>
  <c r="A396" i="72"/>
  <c r="A1407" i="72"/>
  <c r="A1290" i="72"/>
  <c r="A443" i="72"/>
  <c r="A2319" i="72"/>
  <c r="A1566" i="72"/>
  <c r="B88" i="72"/>
  <c r="A1092" i="72"/>
  <c r="A1740" i="72"/>
  <c r="A1644" i="72"/>
  <c r="B1014" i="72"/>
  <c r="A2183" i="72"/>
  <c r="A2398" i="72"/>
  <c r="B1085" i="72"/>
  <c r="A1381" i="72"/>
  <c r="A99" i="72"/>
  <c r="A2866" i="72"/>
  <c r="A479" i="72"/>
  <c r="B1993" i="72"/>
  <c r="A1563" i="72"/>
  <c r="A2506" i="72"/>
  <c r="A2252" i="72"/>
  <c r="A2635" i="72"/>
  <c r="A2452" i="72"/>
  <c r="A2290" i="72"/>
  <c r="A2277" i="72"/>
  <c r="A2766" i="72"/>
  <c r="A2727" i="72"/>
  <c r="A941" i="72"/>
  <c r="A2508" i="72"/>
  <c r="A571" i="72"/>
  <c r="B1717" i="72"/>
  <c r="A800" i="72"/>
  <c r="A1739" i="72"/>
  <c r="A1081" i="72"/>
  <c r="A2392" i="72"/>
  <c r="A2712" i="72"/>
  <c r="A2873" i="72"/>
  <c r="A2998" i="72"/>
  <c r="A2524" i="72"/>
  <c r="A1544" i="72"/>
  <c r="A2882" i="72"/>
  <c r="A1898" i="72"/>
  <c r="A770" i="72"/>
  <c r="A1324" i="72"/>
  <c r="A1735" i="72"/>
  <c r="B1818" i="72"/>
  <c r="A1452" i="72"/>
  <c r="A1484" i="72"/>
  <c r="A2386" i="72"/>
  <c r="B1706" i="72"/>
  <c r="A2938" i="72"/>
  <c r="A2885" i="72"/>
  <c r="A2981" i="72"/>
  <c r="A987" i="72"/>
  <c r="A2311" i="72"/>
  <c r="A2336" i="72"/>
  <c r="A1772" i="72"/>
  <c r="A2499" i="72"/>
  <c r="B780" i="72"/>
  <c r="A2010" i="72"/>
  <c r="A1759" i="72"/>
  <c r="A1569" i="72"/>
  <c r="A1500" i="72"/>
  <c r="A917" i="72"/>
  <c r="A916" i="72"/>
  <c r="A2304" i="72"/>
  <c r="A2569" i="72"/>
  <c r="A1734" i="72"/>
  <c r="A1318" i="72"/>
  <c r="A999" i="72"/>
  <c r="A2212" i="72"/>
  <c r="A841" i="72"/>
  <c r="A2697" i="72"/>
  <c r="A621" i="72"/>
  <c r="A1806" i="72"/>
  <c r="A2088" i="72"/>
  <c r="B885" i="72"/>
  <c r="A473" i="72"/>
  <c r="A2440" i="72"/>
  <c r="A2091" i="72"/>
  <c r="A2547" i="72"/>
  <c r="A1761" i="72"/>
  <c r="A2028" i="72"/>
  <c r="A559" i="72"/>
  <c r="A1961" i="72"/>
  <c r="A2535" i="72"/>
  <c r="A2453" i="72"/>
  <c r="A2107" i="72"/>
  <c r="A350" i="72"/>
  <c r="A1103" i="72"/>
  <c r="A2019" i="72"/>
  <c r="A2214" i="72"/>
  <c r="A1672" i="72"/>
  <c r="A2663" i="72"/>
  <c r="A2137" i="72"/>
  <c r="A1897" i="72"/>
  <c r="A1814" i="72"/>
  <c r="A2156" i="72"/>
  <c r="A2580" i="72"/>
  <c r="A2219" i="72"/>
  <c r="A2331" i="72"/>
  <c r="A2628" i="72"/>
  <c r="A1551" i="72"/>
  <c r="A1215" i="72"/>
  <c r="A2001" i="72"/>
  <c r="A1216" i="72"/>
  <c r="A2573" i="72"/>
  <c r="A1495" i="72"/>
  <c r="A2075" i="72"/>
  <c r="A2762" i="72"/>
  <c r="A2420" i="72"/>
  <c r="A1942" i="72"/>
  <c r="A1377" i="72"/>
  <c r="A1384" i="72"/>
  <c r="A2362" i="72"/>
  <c r="A2230" i="72"/>
  <c r="A1959" i="72"/>
  <c r="B873" i="72"/>
  <c r="A1283" i="72"/>
  <c r="A1711" i="72"/>
  <c r="A2996" i="72"/>
  <c r="A1768" i="72"/>
  <c r="A2192" i="72"/>
  <c r="A2069" i="72"/>
  <c r="A2603" i="72"/>
  <c r="A1186" i="72"/>
  <c r="A2706" i="72"/>
  <c r="A2717" i="72"/>
  <c r="A1473" i="72"/>
  <c r="A433" i="72"/>
  <c r="A2048" i="72"/>
  <c r="A1443" i="72"/>
  <c r="B815" i="72"/>
  <c r="A1668" i="72"/>
  <c r="A1933" i="72"/>
  <c r="A2693" i="72"/>
  <c r="A2042" i="72"/>
  <c r="A2261" i="72"/>
  <c r="B2164" i="72"/>
  <c r="A2830" i="72"/>
  <c r="A1058" i="72"/>
  <c r="A2158" i="72"/>
  <c r="A2595" i="72"/>
  <c r="A973" i="72"/>
  <c r="A854" i="72"/>
  <c r="A2963" i="72"/>
  <c r="B1400" i="72"/>
  <c r="A2477" i="72"/>
  <c r="A1796" i="72"/>
  <c r="A1967" i="72"/>
  <c r="B306" i="72"/>
  <c r="A2999" i="72"/>
  <c r="A2179" i="72"/>
  <c r="A1509" i="72"/>
  <c r="A2774" i="72"/>
  <c r="A2530" i="72"/>
  <c r="A84" i="72"/>
  <c r="A2760" i="72"/>
  <c r="A2281" i="72"/>
  <c r="A2388" i="72"/>
  <c r="A2355" i="72"/>
  <c r="A2607" i="72"/>
  <c r="A1517" i="72"/>
  <c r="A731" i="72"/>
  <c r="A2905" i="72"/>
  <c r="A2634" i="72"/>
  <c r="A1378" i="72"/>
  <c r="A1122" i="72"/>
  <c r="A1332" i="72"/>
  <c r="B2210" i="72"/>
  <c r="B2312" i="72"/>
  <c r="B988" i="72"/>
  <c r="B657" i="72"/>
  <c r="B1492" i="72"/>
  <c r="B586" i="72"/>
  <c r="A739" i="72"/>
  <c r="A1665" i="72"/>
  <c r="A1589" i="72"/>
  <c r="A2067" i="72"/>
  <c r="A2966" i="72"/>
  <c r="A2340" i="72"/>
  <c r="A2989" i="72"/>
  <c r="A2552" i="72"/>
  <c r="B1921" i="72"/>
  <c r="B1265" i="72"/>
  <c r="B2001" i="72"/>
  <c r="B665" i="72"/>
  <c r="B2706" i="72"/>
  <c r="B1461" i="72"/>
  <c r="B1680" i="72"/>
  <c r="B670" i="72"/>
  <c r="B1110" i="72"/>
  <c r="B1872" i="72"/>
  <c r="B1472" i="72"/>
  <c r="A1605" i="72"/>
  <c r="A1931" i="72"/>
  <c r="A1676" i="72"/>
  <c r="A1029" i="72"/>
  <c r="B1029" i="72" s="1"/>
  <c r="A368" i="72"/>
  <c r="A38" i="72"/>
  <c r="A141" i="72"/>
  <c r="A527" i="72"/>
  <c r="B1287" i="72"/>
  <c r="A1565" i="72"/>
  <c r="A1421" i="72"/>
  <c r="B1421" i="72" s="1"/>
  <c r="A1516" i="72"/>
  <c r="A980" i="72"/>
  <c r="A1620" i="72"/>
  <c r="A270" i="72"/>
  <c r="A1229" i="72"/>
  <c r="A1802" i="72"/>
  <c r="B1802" i="72" s="1"/>
  <c r="A235" i="72"/>
  <c r="A481" i="72"/>
  <c r="A1606" i="72"/>
  <c r="A981" i="72"/>
  <c r="A1811" i="72"/>
  <c r="B875" i="72"/>
  <c r="A1174" i="72"/>
  <c r="A1261" i="72"/>
  <c r="A2822" i="72"/>
  <c r="A1556" i="72"/>
  <c r="A1184" i="72"/>
  <c r="A1877" i="72"/>
  <c r="A343" i="72"/>
  <c r="A241" i="72"/>
  <c r="B2122" i="72"/>
  <c r="A808" i="72"/>
  <c r="A2128" i="72"/>
  <c r="A526" i="72"/>
  <c r="B526" i="72" s="1"/>
  <c r="A1514" i="72"/>
  <c r="A1522" i="72"/>
  <c r="A2326" i="72"/>
  <c r="A2267" i="72"/>
  <c r="A2413" i="72"/>
  <c r="A2751" i="72"/>
  <c r="A359" i="72"/>
  <c r="A2808" i="72"/>
  <c r="A2264" i="72"/>
  <c r="B2061" i="72"/>
  <c r="A1001" i="72"/>
  <c r="A491" i="72"/>
  <c r="A1304" i="72"/>
  <c r="A910" i="72"/>
  <c r="B861" i="72"/>
  <c r="A1715" i="72"/>
  <c r="B1024" i="72"/>
  <c r="A2553" i="72"/>
  <c r="A589" i="72"/>
  <c r="A2361" i="72"/>
  <c r="A2299" i="72"/>
  <c r="A2795" i="72"/>
  <c r="A2245" i="72"/>
  <c r="A2961" i="72"/>
  <c r="A1153" i="72"/>
  <c r="A993" i="72"/>
  <c r="B1693" i="72"/>
  <c r="A1670" i="72"/>
  <c r="A1455" i="72"/>
  <c r="A2801" i="72"/>
  <c r="A2266" i="72"/>
  <c r="A2108" i="72"/>
  <c r="A2237" i="72"/>
  <c r="A1969" i="72"/>
  <c r="A1447" i="72"/>
  <c r="A2375" i="72"/>
  <c r="A2907" i="72"/>
  <c r="A2929" i="72"/>
  <c r="A361" i="72"/>
  <c r="A1881" i="72"/>
  <c r="A1072" i="72"/>
  <c r="A1450" i="72"/>
  <c r="A2220" i="72"/>
  <c r="A940" i="72"/>
  <c r="A1168" i="72"/>
  <c r="A2610" i="72"/>
  <c r="A2399" i="72"/>
  <c r="B1256" i="72"/>
  <c r="A2827" i="72"/>
  <c r="B2827" i="72" s="1"/>
  <c r="A2223" i="72"/>
  <c r="A2840" i="72"/>
  <c r="A2491" i="72"/>
  <c r="A1356" i="72"/>
  <c r="A183" i="72"/>
  <c r="A207" i="72"/>
  <c r="A371" i="72"/>
  <c r="A1777" i="72"/>
  <c r="A826" i="72"/>
  <c r="A1181" i="72"/>
  <c r="A1521" i="72"/>
  <c r="B538" i="72"/>
  <c r="A2878" i="72"/>
  <c r="A1289" i="72"/>
  <c r="A1950" i="72"/>
  <c r="A2464" i="72"/>
  <c r="B240" i="72"/>
  <c r="A1210" i="72"/>
  <c r="A2563" i="72"/>
  <c r="A2155" i="72"/>
  <c r="A1420" i="72"/>
  <c r="A1166" i="72"/>
  <c r="A1554" i="72"/>
  <c r="A1957" i="72"/>
  <c r="A1626" i="72"/>
  <c r="A2510" i="72"/>
  <c r="A1494" i="72"/>
  <c r="A2461" i="72"/>
  <c r="A2698" i="72"/>
  <c r="A2520" i="72"/>
  <c r="A2876" i="72"/>
  <c r="A1190" i="72"/>
  <c r="A1341" i="72"/>
  <c r="A2115" i="72"/>
  <c r="A2235" i="72"/>
  <c r="A2497" i="72"/>
  <c r="A2383" i="72"/>
  <c r="A1308" i="72"/>
  <c r="A56" i="72"/>
  <c r="A2750" i="72"/>
  <c r="A2589" i="72"/>
  <c r="A2172" i="72"/>
  <c r="B1994" i="72"/>
  <c r="A2615" i="72"/>
  <c r="A2570" i="72"/>
  <c r="B1515" i="72"/>
  <c r="A1609" i="72"/>
  <c r="A2828" i="72"/>
  <c r="A2942" i="72"/>
  <c r="A1386" i="72"/>
  <c r="A600" i="72"/>
  <c r="A2958" i="72"/>
  <c r="A2652" i="72"/>
  <c r="A2616" i="72"/>
  <c r="A189" i="72"/>
  <c r="A2826" i="72"/>
  <c r="A2645" i="72"/>
  <c r="A1925" i="72"/>
  <c r="A1788" i="72"/>
  <c r="A1923" i="72"/>
  <c r="A2646" i="72"/>
  <c r="A2460" i="72"/>
  <c r="A2848" i="72"/>
  <c r="A2945" i="72"/>
  <c r="A1813" i="72"/>
  <c r="A1619" i="72"/>
  <c r="A2335" i="72"/>
  <c r="A2000" i="72"/>
  <c r="A2791" i="72"/>
  <c r="A2068" i="72"/>
  <c r="A2715" i="72"/>
  <c r="A2577" i="72"/>
  <c r="A2242" i="72"/>
  <c r="A2053" i="72"/>
  <c r="A2247" i="72"/>
  <c r="A2268" i="72"/>
  <c r="A1442" i="72"/>
  <c r="A2683" i="72"/>
  <c r="A1612" i="72"/>
  <c r="A2215" i="72"/>
  <c r="A1833" i="72"/>
  <c r="A846" i="72"/>
  <c r="A2515" i="72"/>
  <c r="A2305" i="72"/>
  <c r="A2265" i="72"/>
  <c r="B2265" i="72" s="1"/>
  <c r="B2192" i="72"/>
  <c r="B1998" i="72"/>
  <c r="A1067" i="72"/>
  <c r="B2309" i="72"/>
  <c r="A2804" i="72"/>
  <c r="A2970" i="72"/>
  <c r="A2023" i="72"/>
  <c r="A3000" i="72"/>
  <c r="A2141" i="72"/>
  <c r="A2051" i="72"/>
  <c r="B984" i="72"/>
  <c r="A2915" i="72"/>
  <c r="A2150" i="72"/>
  <c r="A1621" i="72"/>
  <c r="A1873" i="72"/>
  <c r="A2494" i="72"/>
  <c r="B2230" i="72"/>
  <c r="B677" i="72"/>
  <c r="B1465" i="72"/>
  <c r="B1715" i="72"/>
  <c r="B1432" i="72"/>
  <c r="B1638" i="72"/>
  <c r="B2958" i="72"/>
  <c r="B2607" i="72"/>
  <c r="B435" i="72"/>
  <c r="B591" i="72"/>
  <c r="A751" i="72"/>
  <c r="A2031" i="72"/>
  <c r="A1487" i="72"/>
  <c r="A2917" i="72"/>
  <c r="A1750" i="72"/>
  <c r="A2925" i="72"/>
  <c r="A2734" i="72"/>
  <c r="A1828" i="72"/>
  <c r="B708" i="72"/>
  <c r="B1434" i="72"/>
  <c r="B552" i="72"/>
  <c r="B2685" i="72"/>
  <c r="B1770" i="72"/>
  <c r="B1437" i="72"/>
  <c r="B1517" i="72"/>
  <c r="B1396" i="72"/>
  <c r="B1335" i="72"/>
  <c r="B1254" i="72"/>
  <c r="A1965" i="72"/>
  <c r="A2378" i="72"/>
  <c r="A178" i="72"/>
  <c r="A664" i="72"/>
  <c r="A441" i="72"/>
  <c r="A304" i="72"/>
  <c r="A948" i="72"/>
  <c r="A309" i="72"/>
  <c r="A347" i="72"/>
  <c r="A1704" i="72"/>
  <c r="A1403" i="72"/>
  <c r="B1160" i="72"/>
  <c r="A887" i="72"/>
  <c r="A1095" i="72"/>
  <c r="A784" i="72"/>
  <c r="A1647" i="72"/>
  <c r="A1809" i="72"/>
  <c r="A758" i="72"/>
  <c r="B758" i="72" s="1"/>
  <c r="A791" i="72"/>
  <c r="A1066" i="72"/>
  <c r="A1285" i="72"/>
  <c r="B1285" i="72" s="1"/>
  <c r="A1468" i="72"/>
  <c r="A1076" i="72"/>
  <c r="A2387" i="72"/>
  <c r="A1131" i="72"/>
  <c r="A1474" i="72"/>
  <c r="A793" i="72"/>
  <c r="A284" i="72"/>
  <c r="A1695" i="72"/>
  <c r="A683" i="72"/>
  <c r="B683" i="72" s="1"/>
  <c r="A1388" i="72"/>
  <c r="A1922" i="72"/>
  <c r="B965" i="72"/>
  <c r="A2755" i="72"/>
  <c r="A508" i="72"/>
  <c r="B1038" i="72"/>
  <c r="A1137" i="72"/>
  <c r="A1539" i="72"/>
  <c r="A2800" i="72"/>
  <c r="B2800" i="72" s="1"/>
  <c r="A2165" i="72"/>
  <c r="A2063" i="72"/>
  <c r="B920" i="72"/>
  <c r="A2293" i="72"/>
  <c r="A2788" i="72"/>
  <c r="A2777" i="72"/>
  <c r="A1248" i="72"/>
  <c r="A23" i="72"/>
  <c r="A102" i="72"/>
  <c r="A1519" i="72"/>
  <c r="A1829" i="72"/>
  <c r="A1842" i="72"/>
  <c r="B1172" i="72"/>
  <c r="A2749" i="72"/>
  <c r="A1099" i="72"/>
  <c r="A2874" i="72"/>
  <c r="A2821" i="72"/>
  <c r="A2661" i="72"/>
  <c r="A2315" i="72"/>
  <c r="A2835" i="72"/>
  <c r="A2839" i="72"/>
  <c r="A407" i="72"/>
  <c r="A1603" i="72"/>
  <c r="A2168" i="72"/>
  <c r="A196" i="72"/>
  <c r="A2132" i="72"/>
  <c r="A2549" i="72"/>
  <c r="A2768" i="72"/>
  <c r="A2368" i="72"/>
  <c r="A2763" i="72"/>
  <c r="A2671" i="72"/>
  <c r="A2523" i="72"/>
  <c r="A2429" i="72"/>
  <c r="A1800" i="72"/>
  <c r="A2951" i="72"/>
  <c r="B1225" i="72"/>
  <c r="A2633" i="72"/>
  <c r="A399" i="72"/>
  <c r="A1039" i="72"/>
  <c r="A2044" i="72"/>
  <c r="A752" i="72"/>
  <c r="A724" i="72"/>
  <c r="A2372" i="72"/>
  <c r="A1722" i="72"/>
  <c r="A2483" i="72"/>
  <c r="A2902" i="72"/>
  <c r="A2414" i="72"/>
  <c r="A1147" i="72"/>
  <c r="A1866" i="72"/>
  <c r="A2471" i="72"/>
  <c r="A1970" i="72"/>
  <c r="A1154" i="72"/>
  <c r="A228" i="72"/>
  <c r="A1057" i="72"/>
  <c r="A2188" i="72"/>
  <c r="A1179" i="72"/>
  <c r="A1550" i="72"/>
  <c r="A553" i="72"/>
  <c r="A2644" i="72"/>
  <c r="A1337" i="72"/>
  <c r="B1337" i="72" s="1"/>
  <c r="A2556" i="72"/>
  <c r="A2972" i="72"/>
  <c r="A2337" i="72"/>
  <c r="A1575" i="72"/>
  <c r="B1961" i="72"/>
  <c r="A2060" i="72"/>
  <c r="A2894" i="72"/>
  <c r="A1789" i="72"/>
  <c r="A1697" i="72"/>
  <c r="A449" i="72"/>
  <c r="A2559" i="72"/>
  <c r="A2527" i="72"/>
  <c r="A2029" i="72"/>
  <c r="A2789" i="72"/>
  <c r="A1909" i="72"/>
  <c r="A2181" i="72"/>
  <c r="A2937" i="72"/>
  <c r="A1798" i="72"/>
  <c r="A2410" i="72"/>
  <c r="B784" i="72"/>
  <c r="A2521" i="72"/>
  <c r="A2799" i="72"/>
  <c r="A34" i="72"/>
  <c r="B1146" i="72"/>
  <c r="A1596" i="72"/>
  <c r="A2567" i="72"/>
  <c r="A2689" i="72"/>
  <c r="A2648" i="72"/>
  <c r="A2588" i="72"/>
  <c r="A2017" i="72"/>
  <c r="A2174" i="72"/>
  <c r="A2064" i="72"/>
  <c r="B2064" i="72" s="1"/>
  <c r="A2612" i="72"/>
  <c r="A2982" i="72"/>
  <c r="A1879" i="72"/>
  <c r="A2861" i="72"/>
  <c r="B2861" i="72" s="1"/>
  <c r="B1097" i="72"/>
  <c r="A835" i="72"/>
  <c r="A1499" i="72"/>
  <c r="A2587" i="72"/>
  <c r="A2629" i="72"/>
  <c r="A2753" i="72"/>
  <c r="A1781" i="72"/>
  <c r="B1781" i="72" s="1"/>
  <c r="A2078" i="72"/>
  <c r="A2622" i="72"/>
  <c r="B336" i="72"/>
  <c r="A2534" i="72"/>
  <c r="A2975" i="72"/>
  <c r="A716" i="72"/>
  <c r="A2675" i="72"/>
  <c r="B2675" i="72" s="1"/>
  <c r="A2408" i="72"/>
  <c r="A2670" i="72"/>
  <c r="A1855" i="72"/>
  <c r="A1685" i="72"/>
  <c r="A2097" i="72"/>
  <c r="A2073" i="72"/>
  <c r="A2090" i="72"/>
  <c r="B1161" i="72"/>
  <c r="A2614" i="72"/>
  <c r="A3001" i="72"/>
  <c r="A2786" i="72"/>
  <c r="A2696" i="72"/>
  <c r="A2206" i="72"/>
  <c r="A1852" i="72"/>
  <c r="A2875" i="72"/>
  <c r="A2679" i="72"/>
  <c r="A2529" i="72"/>
  <c r="A2480" i="72"/>
  <c r="A1244" i="72"/>
  <c r="A1883" i="72"/>
  <c r="A2135" i="72"/>
  <c r="A2428" i="72"/>
  <c r="A2514" i="72"/>
  <c r="A2816" i="72"/>
  <c r="A2732" i="72"/>
  <c r="A1211" i="72"/>
  <c r="A1100" i="72"/>
  <c r="A2833" i="72"/>
  <c r="B1529" i="72"/>
  <c r="A2748" i="72"/>
  <c r="A2185" i="72"/>
  <c r="B982" i="72"/>
  <c r="A2550" i="72"/>
  <c r="A2049" i="72"/>
  <c r="A1916" i="72"/>
  <c r="A2796" i="72"/>
  <c r="A2377" i="72"/>
  <c r="A2794" i="72"/>
  <c r="A2993" i="72"/>
  <c r="A2756" i="72"/>
  <c r="B1315" i="72"/>
  <c r="B1954" i="72"/>
  <c r="B1630" i="72"/>
  <c r="B632" i="72"/>
  <c r="B1040" i="72"/>
  <c r="B2410" i="72"/>
  <c r="B1378" i="72"/>
  <c r="B972" i="72"/>
  <c r="B1018" i="72"/>
  <c r="B2830" i="72"/>
  <c r="B745" i="72"/>
  <c r="B2835" i="72"/>
  <c r="B2661" i="72"/>
  <c r="A550" i="72"/>
  <c r="A2583" i="72"/>
  <c r="A2236" i="72"/>
  <c r="A2469" i="72"/>
  <c r="A2759" i="72"/>
  <c r="A2601" i="72"/>
  <c r="A1977" i="72"/>
  <c r="B2635" i="72"/>
  <c r="B924" i="72"/>
  <c r="B1881" i="72"/>
  <c r="B2883" i="72"/>
  <c r="B2112" i="72"/>
  <c r="B1334" i="72"/>
  <c r="B1071" i="72"/>
  <c r="B1448" i="72"/>
  <c r="B674" i="72"/>
  <c r="B1309" i="72"/>
  <c r="B2601" i="72"/>
  <c r="B516" i="72"/>
  <c r="B2999" i="72"/>
  <c r="B2753" i="72"/>
  <c r="B1423" i="72"/>
  <c r="A588" i="72"/>
  <c r="A1260" i="72"/>
  <c r="B1274" i="72"/>
  <c r="A1275" i="72"/>
  <c r="A2180" i="72"/>
  <c r="A2426" i="72"/>
  <c r="B2283" i="72"/>
  <c r="B723" i="72"/>
  <c r="B1409" i="72"/>
  <c r="B2440" i="72"/>
  <c r="B1471" i="72"/>
  <c r="B2377" i="72"/>
  <c r="B2521" i="72"/>
  <c r="B710" i="72"/>
  <c r="A560" i="72"/>
  <c r="A1249" i="72"/>
  <c r="A381" i="72"/>
  <c r="A711" i="72"/>
  <c r="A416" i="72"/>
  <c r="B416" i="72" s="1"/>
  <c r="A757" i="72"/>
  <c r="B757" i="72" s="1"/>
  <c r="A1404" i="72"/>
  <c r="A1945" i="72"/>
  <c r="B420" i="72"/>
  <c r="A945" i="72"/>
  <c r="A1185" i="72"/>
  <c r="B1185" i="72" s="1"/>
  <c r="B362" i="72"/>
  <c r="A2182" i="72"/>
  <c r="A356" i="72"/>
  <c r="A1467" i="72"/>
  <c r="A278" i="72"/>
  <c r="A1490" i="72"/>
  <c r="A1710" i="72"/>
  <c r="B268" i="72"/>
  <c r="A1997" i="72"/>
  <c r="B1997" i="72" s="1"/>
  <c r="A1598" i="72"/>
  <c r="A466" i="72"/>
  <c r="A1054" i="72"/>
  <c r="A184" i="72"/>
  <c r="A1990" i="72"/>
  <c r="A71" i="72"/>
  <c r="A1784" i="72"/>
  <c r="A206" i="72"/>
  <c r="A1912" i="72"/>
  <c r="A2545" i="72"/>
  <c r="A219" i="72"/>
  <c r="A1328" i="72"/>
  <c r="A2093" i="72"/>
  <c r="A2667" i="72"/>
  <c r="A2286" i="72"/>
  <c r="A2716" i="72"/>
  <c r="B2716" i="72" s="1"/>
  <c r="A1207" i="72"/>
  <c r="A936" i="72"/>
  <c r="A2817" i="72"/>
  <c r="A1239" i="72"/>
  <c r="A2489" i="72"/>
  <c r="A1776" i="72"/>
  <c r="A590" i="72"/>
  <c r="A1150" i="72"/>
  <c r="A1208" i="72"/>
  <c r="A2394" i="72"/>
  <c r="A1618" i="72"/>
  <c r="A2856" i="72"/>
  <c r="A2935" i="72"/>
  <c r="A834" i="72"/>
  <c r="A2990" i="72"/>
  <c r="A1277" i="72"/>
  <c r="A2358" i="72"/>
  <c r="A2926" i="72"/>
  <c r="A2346" i="72"/>
  <c r="B2346" i="72" s="1"/>
  <c r="A171" i="72"/>
  <c r="B1850" i="72"/>
  <c r="A1871" i="72"/>
  <c r="A1267" i="72"/>
  <c r="B1267" i="72" s="1"/>
  <c r="A454" i="72"/>
  <c r="A2296" i="72"/>
  <c r="B2296" i="72" s="1"/>
  <c r="A2684" i="72"/>
  <c r="A2422" i="72"/>
  <c r="A2742" i="72"/>
  <c r="A2887" i="72"/>
  <c r="B2887" i="72" s="1"/>
  <c r="A201" i="72"/>
  <c r="A1587" i="72"/>
  <c r="A2411" i="72"/>
  <c r="A2279" i="72"/>
  <c r="A1675" i="72"/>
  <c r="B1675" i="72" s="1"/>
  <c r="A998" i="72"/>
  <c r="A1415" i="72"/>
  <c r="A1264" i="72"/>
  <c r="A1258" i="72"/>
  <c r="B1299" i="72"/>
  <c r="A1507" i="72"/>
  <c r="A2560" i="72"/>
  <c r="A1130" i="72"/>
  <c r="A1853" i="72"/>
  <c r="A2403" i="72"/>
  <c r="A2592" i="72"/>
  <c r="A1745" i="72"/>
  <c r="A2500" i="72"/>
  <c r="A2980" i="72"/>
  <c r="A2778" i="72"/>
  <c r="A1966" i="72"/>
  <c r="A535" i="72"/>
  <c r="A1426" i="72"/>
  <c r="A447" i="72"/>
  <c r="A1206" i="72"/>
  <c r="A1553" i="72"/>
  <c r="A1371" i="72"/>
  <c r="A1956" i="72"/>
  <c r="A1604" i="72"/>
  <c r="A1951" i="72"/>
  <c r="A1874" i="72"/>
  <c r="A2400" i="72"/>
  <c r="A2102" i="72"/>
  <c r="A2564" i="72"/>
  <c r="A2701" i="72"/>
  <c r="A2969" i="72"/>
  <c r="A1949" i="72"/>
  <c r="B1633" i="72"/>
  <c r="A1628" i="72"/>
  <c r="B1628" i="72" s="1"/>
  <c r="A1832" i="72"/>
  <c r="A2130" i="72"/>
  <c r="A2625" i="72"/>
  <c r="A1586" i="72"/>
  <c r="A2526" i="72"/>
  <c r="A2599" i="72"/>
  <c r="A2066" i="72"/>
  <c r="B2066" i="72" s="1"/>
  <c r="A1482" i="72"/>
  <c r="A2931" i="72"/>
  <c r="B2931" i="72" s="1"/>
  <c r="B1832" i="72"/>
  <c r="A2574" i="72"/>
  <c r="A2700" i="72"/>
  <c r="A2944" i="72"/>
  <c r="A1013" i="72"/>
  <c r="A2092" i="72"/>
  <c r="A2197" i="72"/>
  <c r="A2872" i="72"/>
  <c r="A1701" i="72"/>
  <c r="A1251" i="72"/>
  <c r="A2232" i="72"/>
  <c r="A2855" i="72"/>
  <c r="A1005" i="72"/>
  <c r="A2641" i="72"/>
  <c r="A2458" i="72"/>
  <c r="A2853" i="72"/>
  <c r="A1996" i="72"/>
  <c r="A2352" i="72"/>
  <c r="A2476" i="72"/>
  <c r="A2306" i="72"/>
  <c r="A2143" i="72"/>
  <c r="A2072" i="72"/>
  <c r="A2775" i="72"/>
  <c r="A1896" i="72"/>
  <c r="A1679" i="72"/>
  <c r="A2651" i="72"/>
  <c r="A1980" i="72"/>
  <c r="A756" i="72"/>
  <c r="A1960" i="72"/>
  <c r="A1887" i="72"/>
  <c r="A1021" i="72"/>
  <c r="A2784" i="72"/>
  <c r="A2505" i="72"/>
  <c r="A2432" i="72"/>
  <c r="A2193" i="72"/>
  <c r="B1704" i="72"/>
  <c r="B1694" i="72"/>
  <c r="A2008" i="72"/>
  <c r="A2481" i="72"/>
  <c r="A2239" i="72"/>
  <c r="A2211" i="72"/>
  <c r="B2211" i="72" s="1"/>
  <c r="A2459" i="72"/>
  <c r="B1119" i="72"/>
  <c r="A2243" i="72"/>
  <c r="A2740" i="72"/>
  <c r="A2650" i="72"/>
  <c r="B1891" i="72"/>
  <c r="A2007" i="72"/>
  <c r="A1573" i="72"/>
  <c r="A521" i="72"/>
  <c r="A2081" i="72"/>
  <c r="A2278" i="72"/>
  <c r="A2681" i="72"/>
  <c r="A2084" i="72"/>
  <c r="A2349" i="72"/>
  <c r="A1646" i="72"/>
  <c r="A2838" i="72"/>
  <c r="A2310" i="72"/>
  <c r="A2324" i="72"/>
  <c r="A2703" i="72"/>
  <c r="A358" i="72"/>
  <c r="A2767" i="72"/>
  <c r="A2986" i="72"/>
  <c r="A2423" i="72"/>
  <c r="A2707" i="72"/>
  <c r="A2457" i="72"/>
  <c r="A1195" i="72"/>
  <c r="A2783" i="72"/>
  <c r="A2733" i="72"/>
  <c r="A2764" i="72"/>
  <c r="B1442" i="72"/>
  <c r="B1480" i="72"/>
  <c r="B1620" i="72"/>
  <c r="B359" i="72"/>
  <c r="B2678" i="72"/>
  <c r="B1913" i="72"/>
  <c r="B2137" i="72"/>
  <c r="B1690" i="72"/>
  <c r="B626" i="72"/>
  <c r="B2621" i="72"/>
  <c r="B1606" i="72"/>
  <c r="B604" i="72"/>
  <c r="B1016" i="72"/>
  <c r="B900" i="72"/>
  <c r="A180" i="72"/>
  <c r="A2284" i="72"/>
  <c r="A2939" i="72"/>
  <c r="A1682" i="72"/>
  <c r="A1941" i="72"/>
  <c r="A1767" i="72"/>
  <c r="B705" i="72"/>
  <c r="B2497" i="72"/>
  <c r="B2683" i="72"/>
  <c r="B553" i="72"/>
  <c r="B1761" i="72"/>
  <c r="B2974" i="72"/>
  <c r="B1537" i="72"/>
  <c r="B654" i="72"/>
  <c r="B2588" i="72"/>
  <c r="A1246" i="72"/>
  <c r="A2950" i="72"/>
  <c r="A1212" i="72"/>
  <c r="A2721" i="72"/>
  <c r="A2544" i="72"/>
  <c r="A1634" i="72"/>
  <c r="B2510" i="72"/>
  <c r="B1323" i="72"/>
  <c r="B2970" i="72"/>
  <c r="B1756" i="72"/>
  <c r="B1369" i="72"/>
  <c r="B1045" i="72"/>
  <c r="B2414" i="72"/>
  <c r="A1189" i="72"/>
  <c r="B1189" i="72" s="1"/>
  <c r="A374" i="72"/>
  <c r="A649" i="72"/>
  <c r="B649" i="72" s="1"/>
  <c r="A277" i="72"/>
  <c r="B913" i="72"/>
  <c r="A638" i="72"/>
  <c r="A618" i="72"/>
  <c r="A345" i="72"/>
  <c r="A461" i="72"/>
  <c r="B461" i="72" s="1"/>
  <c r="A1453" i="72"/>
  <c r="A1127" i="72"/>
  <c r="A1048" i="72"/>
  <c r="A1692" i="72"/>
  <c r="A1084" i="72"/>
  <c r="A1616" i="72"/>
  <c r="B1616" i="72" s="1"/>
  <c r="A1201" i="72"/>
  <c r="A16" i="72"/>
  <c r="A2034" i="72"/>
  <c r="B2034" i="72" s="1"/>
  <c r="A369" i="72"/>
  <c r="A776" i="72"/>
  <c r="B776" i="72" s="1"/>
  <c r="A1176" i="72"/>
  <c r="A2018" i="72"/>
  <c r="A363" i="72"/>
  <c r="A2249" i="72"/>
  <c r="A1705" i="72"/>
  <c r="A1964" i="72"/>
  <c r="A810" i="72"/>
  <c r="A1662" i="72"/>
  <c r="A1552" i="72"/>
  <c r="A2402" i="72"/>
  <c r="A2687" i="72"/>
  <c r="B891" i="72"/>
  <c r="A1743" i="72"/>
  <c r="A639" i="72"/>
  <c r="A543" i="72"/>
  <c r="A2809" i="72"/>
  <c r="A2790" i="72"/>
  <c r="A2160" i="72"/>
  <c r="B1106" i="72"/>
  <c r="A2295" i="72"/>
  <c r="A2450" i="72"/>
  <c r="A2256" i="72"/>
  <c r="A2021" i="72"/>
  <c r="A990" i="72"/>
  <c r="A1319" i="72"/>
  <c r="A1173" i="72"/>
  <c r="A1747" i="72"/>
  <c r="B1294" i="72"/>
  <c r="A2609" i="72"/>
  <c r="A2847" i="72"/>
  <c r="A2308" i="72"/>
  <c r="A2699" i="72"/>
  <c r="A2985" i="72"/>
  <c r="A2083" i="72"/>
  <c r="A768" i="72"/>
  <c r="A2333" i="72"/>
  <c r="A212" i="72"/>
  <c r="B1104" i="72"/>
  <c r="A1203" i="72"/>
  <c r="A1063" i="72"/>
  <c r="A1165" i="72"/>
  <c r="B1565" i="72"/>
  <c r="A1625" i="72"/>
  <c r="A693" i="72"/>
  <c r="A1540" i="72"/>
  <c r="A2323" i="72"/>
  <c r="A2904" i="72"/>
  <c r="B1219" i="72"/>
  <c r="A2438" i="72"/>
  <c r="A2916" i="72"/>
  <c r="A2462" i="72"/>
  <c r="A1810" i="72"/>
  <c r="A246" i="72"/>
  <c r="A706" i="72"/>
  <c r="A2076" i="72"/>
  <c r="A1439" i="72"/>
  <c r="B1439" i="72" s="1"/>
  <c r="A1348" i="72"/>
  <c r="A1919" i="72"/>
  <c r="A2581" i="72"/>
  <c r="A2594" i="72"/>
  <c r="A2492" i="72"/>
  <c r="A2908" i="72"/>
  <c r="A1947" i="72"/>
  <c r="B1128" i="72"/>
  <c r="A1867" i="72"/>
  <c r="B1867" i="72" s="1"/>
  <c r="A1886" i="72"/>
  <c r="A2940" i="72"/>
  <c r="A2144" i="72"/>
  <c r="B2144" i="72" s="1"/>
  <c r="B448" i="72"/>
  <c r="A659" i="72"/>
  <c r="A1458" i="72"/>
  <c r="A1920" i="72"/>
  <c r="A2032" i="72"/>
  <c r="A2338" i="72"/>
  <c r="A2345" i="72"/>
  <c r="A1444" i="72"/>
  <c r="A2557" i="72"/>
  <c r="A2504" i="72"/>
  <c r="A2120" i="72"/>
  <c r="A912" i="72"/>
  <c r="A1196" i="72"/>
  <c r="A2598" i="72"/>
  <c r="B2598" i="72" s="1"/>
  <c r="A2657" i="72"/>
  <c r="A2624" i="72"/>
  <c r="B1571" i="72"/>
  <c r="A1365" i="72"/>
  <c r="A1608" i="72"/>
  <c r="A1948" i="72"/>
  <c r="A2754" i="72"/>
  <c r="A892" i="72"/>
  <c r="A1860" i="72"/>
  <c r="A2881" i="72"/>
  <c r="A2849" i="72"/>
  <c r="A2507" i="72"/>
  <c r="A1902" i="72"/>
  <c r="A2713" i="72"/>
  <c r="A2862" i="72"/>
  <c r="A2803" i="72"/>
  <c r="A2967" i="72"/>
  <c r="B1026" i="72"/>
  <c r="A2006" i="72"/>
  <c r="B1533" i="72"/>
  <c r="A1762" i="72"/>
  <c r="A2591" i="72"/>
  <c r="B1555" i="72"/>
  <c r="A2543" i="72"/>
  <c r="B1179" i="72"/>
  <c r="A1771" i="72"/>
  <c r="B1771" i="72" s="1"/>
  <c r="A2065" i="72"/>
  <c r="A2079" i="72"/>
  <c r="A1034" i="72"/>
  <c r="A2328" i="72"/>
  <c r="B2119" i="72"/>
  <c r="A1528" i="72"/>
  <c r="A1361" i="72"/>
  <c r="A1583" i="72"/>
  <c r="A1926" i="72"/>
  <c r="A1639" i="72"/>
  <c r="B1639" i="72" s="1"/>
  <c r="A1924" i="72"/>
  <c r="A2294" i="72"/>
  <c r="A2451" i="72"/>
  <c r="B2451" i="72" s="1"/>
  <c r="A2490" i="72"/>
  <c r="B2490" i="72" s="1"/>
  <c r="A2533" i="72"/>
  <c r="A2632" i="72"/>
  <c r="A1846" i="72"/>
  <c r="A2222" i="72"/>
  <c r="A2619" i="72"/>
  <c r="B2039" i="72"/>
  <c r="A2892" i="72"/>
  <c r="A743" i="72"/>
  <c r="B743" i="72" s="1"/>
  <c r="A1862" i="72"/>
  <c r="A2539" i="72"/>
  <c r="A2617" i="72"/>
  <c r="A2785" i="72"/>
  <c r="A2052" i="72"/>
  <c r="A2752" i="72"/>
  <c r="A2668" i="72"/>
  <c r="A1595" i="72"/>
  <c r="A1652" i="72"/>
  <c r="A2769" i="72"/>
  <c r="A2870" i="72"/>
  <c r="A2433" i="72"/>
  <c r="A2275" i="72"/>
  <c r="B2123" i="72"/>
  <c r="A2602" i="72"/>
  <c r="A548" i="72"/>
  <c r="A1534" i="72"/>
  <c r="A866" i="72"/>
  <c r="A1648" i="72"/>
  <c r="A1466" i="72"/>
  <c r="A2859" i="72"/>
  <c r="A2447" i="72"/>
  <c r="B2246" i="72"/>
  <c r="A2662" i="72"/>
  <c r="A1787" i="72"/>
  <c r="A2834" i="72"/>
  <c r="A2845" i="72"/>
  <c r="A2175" i="72"/>
  <c r="A1502" i="72"/>
  <c r="A1683" i="72"/>
  <c r="A2325" i="72"/>
  <c r="B2325" i="72" s="1"/>
  <c r="A2364" i="72"/>
  <c r="A2095" i="72"/>
  <c r="A2561" i="72"/>
  <c r="A2955" i="72"/>
  <c r="A2204" i="72"/>
  <c r="A2449" i="72"/>
  <c r="A2343" i="72"/>
  <c r="B2614" i="72"/>
  <c r="B2595" i="72"/>
  <c r="B2362" i="72"/>
  <c r="B2489" i="72"/>
  <c r="B1513" i="72"/>
  <c r="B718" i="72"/>
  <c r="B421" i="72"/>
  <c r="B2789" i="72"/>
  <c r="B2019" i="72"/>
  <c r="B2795" i="72"/>
  <c r="B2293" i="72"/>
  <c r="B2476" i="72"/>
  <c r="B1458" i="72"/>
  <c r="B1960" i="72"/>
  <c r="A1111" i="72"/>
  <c r="A434" i="72"/>
  <c r="A1301" i="72"/>
  <c r="A2151" i="72"/>
  <c r="A1358" i="72"/>
  <c r="B1358" i="72" s="1"/>
  <c r="A2059" i="72"/>
  <c r="B1964" i="72"/>
  <c r="B695" i="72"/>
  <c r="B2483" i="72"/>
  <c r="B1377" i="72"/>
  <c r="B1657" i="72"/>
  <c r="B2193" i="72"/>
  <c r="B2492" i="72"/>
  <c r="B2085" i="72"/>
  <c r="B2657" i="72"/>
  <c r="B650" i="72"/>
  <c r="B1750" i="72"/>
  <c r="B2855" i="72"/>
  <c r="B1450" i="72"/>
  <c r="A283" i="72"/>
  <c r="A620" i="72"/>
  <c r="B620" i="72" s="1"/>
  <c r="A190" i="72"/>
  <c r="A465" i="72"/>
  <c r="A1158" i="72"/>
  <c r="B1158" i="72" s="1"/>
  <c r="A871" i="72"/>
  <c r="A1367" i="72"/>
  <c r="A220" i="72"/>
  <c r="A1002" i="72"/>
  <c r="A1430" i="72"/>
  <c r="B1430" i="72" s="1"/>
  <c r="A1129" i="72"/>
  <c r="A1610" i="72"/>
  <c r="A1506" i="72"/>
  <c r="A1133" i="72"/>
  <c r="A1527" i="72"/>
  <c r="A1664" i="72"/>
  <c r="A959" i="72"/>
  <c r="A646" i="72"/>
  <c r="A783" i="72"/>
  <c r="A1436" i="72"/>
  <c r="A1623" i="72"/>
  <c r="A2673" i="72"/>
  <c r="B1068" i="72"/>
  <c r="A2209" i="72"/>
  <c r="B2209" i="72" s="1"/>
  <c r="A2202" i="72"/>
  <c r="A2627" i="72"/>
  <c r="B2627" i="72" s="1"/>
  <c r="A673" i="72"/>
  <c r="A1894" i="72"/>
  <c r="B1894" i="72" s="1"/>
  <c r="B1809" i="72"/>
  <c r="A1322" i="72"/>
  <c r="A2912" i="72"/>
  <c r="B2912" i="72" s="1"/>
  <c r="B1249" i="72"/>
  <c r="A2276" i="72"/>
  <c r="A2360" i="72"/>
  <c r="A1268" i="72"/>
  <c r="B1268" i="72" s="1"/>
  <c r="A2287" i="72"/>
  <c r="B2287" i="72" s="1"/>
  <c r="A2231" i="72"/>
  <c r="A2478" i="72"/>
  <c r="A1766" i="72"/>
  <c r="A2818" i="72"/>
  <c r="A2957" i="72"/>
  <c r="A1755" i="72"/>
  <c r="A2322" i="72"/>
  <c r="A1115" i="72"/>
  <c r="A1241" i="72"/>
  <c r="A1593" i="72"/>
  <c r="A1570" i="72"/>
  <c r="B1570" i="72" s="1"/>
  <c r="B1141" i="72"/>
  <c r="A2485" i="72"/>
  <c r="A2578" i="72"/>
  <c r="A2347" i="72"/>
  <c r="A2568" i="72"/>
  <c r="A2407" i="72"/>
  <c r="A477" i="72"/>
  <c r="A2370" i="72"/>
  <c r="A2852" i="72"/>
  <c r="A116" i="72"/>
  <c r="B176" i="72"/>
  <c r="A1765" i="72"/>
  <c r="A1273" i="72"/>
  <c r="B1273" i="72" s="1"/>
  <c r="B897" i="72"/>
  <c r="A1428" i="72"/>
  <c r="A2519" i="72"/>
  <c r="A2329" i="72"/>
  <c r="A2430" i="72"/>
  <c r="A2844" i="72"/>
  <c r="A2062" i="72"/>
  <c r="B2062" i="72" s="1"/>
  <c r="A380" i="72"/>
  <c r="B380" i="72" s="1"/>
  <c r="A375" i="72"/>
  <c r="A63" i="72"/>
  <c r="A1075" i="72"/>
  <c r="B781" i="72"/>
  <c r="A1870" i="72"/>
  <c r="A1262" i="72"/>
  <c r="A1843" i="72"/>
  <c r="A1655" i="72"/>
  <c r="A2757" i="72"/>
  <c r="A2631" i="72"/>
  <c r="A499" i="72"/>
  <c r="A2045" i="72"/>
  <c r="B2045" i="72" s="1"/>
  <c r="A2815" i="72"/>
  <c r="B190" i="72"/>
  <c r="A1276" i="72"/>
  <c r="A1549" i="72"/>
  <c r="A2015" i="72"/>
  <c r="A2147" i="72"/>
  <c r="A1112" i="72"/>
  <c r="A1963" i="72"/>
  <c r="A2877" i="72"/>
  <c r="A1613" i="72"/>
  <c r="A1511" i="72"/>
  <c r="A1837" i="72"/>
  <c r="A1703" i="72"/>
  <c r="A837" i="72"/>
  <c r="A1576" i="72"/>
  <c r="A1827" i="72"/>
  <c r="A2555" i="72"/>
  <c r="A1307" i="72"/>
  <c r="A1927" i="72"/>
  <c r="A2196" i="72"/>
  <c r="B2196" i="72" s="1"/>
  <c r="A2479" i="72"/>
  <c r="B1981" i="72"/>
  <c r="A2229" i="72"/>
  <c r="A199" i="72"/>
  <c r="A2198" i="72"/>
  <c r="A2960" i="72"/>
  <c r="A2271" i="72"/>
  <c r="B2271" i="72" s="1"/>
  <c r="A2653" i="72"/>
  <c r="A2367" i="72"/>
  <c r="B1811" i="72"/>
  <c r="A2812" i="72"/>
  <c r="A2825" i="72"/>
  <c r="B2825" i="72" s="1"/>
  <c r="B1194" i="72"/>
  <c r="A2320" i="72"/>
  <c r="A2918" i="72"/>
  <c r="A1557" i="72"/>
  <c r="B805" i="72"/>
  <c r="A2890" i="72"/>
  <c r="A1581" i="72"/>
  <c r="A2823" i="72"/>
  <c r="A346" i="72"/>
  <c r="B863" i="72"/>
  <c r="A1901" i="72"/>
  <c r="A2779" i="72"/>
  <c r="A2216" i="72"/>
  <c r="B1999" i="72"/>
  <c r="A2979" i="72"/>
  <c r="B1131" i="72"/>
  <c r="A2669" i="72"/>
  <c r="B2662" i="72"/>
  <c r="B310" i="72"/>
  <c r="B1388" i="72"/>
  <c r="B2592" i="72"/>
  <c r="B2361" i="72"/>
  <c r="B1869" i="72"/>
  <c r="A2484" i="72"/>
  <c r="A2445" i="72"/>
  <c r="A2486" i="72"/>
  <c r="B2305" i="72"/>
  <c r="B1044" i="72"/>
  <c r="B307" i="72"/>
  <c r="B2028" i="72"/>
  <c r="B2816" i="72"/>
  <c r="B1506" i="72"/>
  <c r="B1327" i="72"/>
  <c r="B2352" i="72"/>
  <c r="A2467" i="72"/>
  <c r="A2353" i="72"/>
  <c r="A2978" i="72"/>
  <c r="A2307" i="72"/>
  <c r="B648" i="72"/>
  <c r="B2775" i="72"/>
  <c r="B691" i="72"/>
  <c r="B1410" i="72"/>
  <c r="B1697" i="72"/>
  <c r="B1481" i="72"/>
  <c r="B1482" i="72"/>
  <c r="B2135" i="72"/>
  <c r="B663" i="72"/>
  <c r="B675" i="72"/>
  <c r="A1983" i="72"/>
  <c r="A1839" i="72"/>
  <c r="A2888" i="72"/>
  <c r="A2332" i="72"/>
  <c r="A2105" i="72"/>
  <c r="A2129" i="72"/>
  <c r="A2171" i="72"/>
  <c r="B551" i="72"/>
  <c r="B1945" i="72"/>
  <c r="B534" i="72"/>
  <c r="B2313" i="72"/>
  <c r="B656" i="72"/>
  <c r="B2645" i="72"/>
  <c r="B1700" i="72"/>
  <c r="B624" i="72"/>
  <c r="B2375" i="72"/>
  <c r="A311" i="72"/>
  <c r="A1975" i="72"/>
  <c r="A1779" i="72"/>
  <c r="A1321" i="72"/>
  <c r="A2465" i="72"/>
  <c r="A2677" i="72"/>
  <c r="A2863" i="72"/>
  <c r="B2877" i="72"/>
  <c r="B2917" i="72"/>
  <c r="B1829" i="72"/>
  <c r="B573" i="72"/>
  <c r="B2673" i="72"/>
  <c r="B1550" i="72"/>
  <c r="B2050" i="72"/>
  <c r="B2870" i="72"/>
  <c r="B2633" i="72"/>
  <c r="B1975" i="72"/>
  <c r="B1914" i="72"/>
  <c r="B476" i="72"/>
  <c r="B2769" i="72"/>
  <c r="B926" i="72"/>
  <c r="B703" i="72"/>
  <c r="B1831" i="72"/>
  <c r="B403" i="72"/>
  <c r="A2195" i="72"/>
  <c r="A2842" i="72"/>
  <c r="A2820" i="72"/>
  <c r="B2088" i="72"/>
  <c r="B527" i="72"/>
  <c r="B2754" i="72"/>
  <c r="B596" i="72"/>
  <c r="B2847" i="72"/>
  <c r="B737" i="72"/>
  <c r="B513" i="72"/>
  <c r="B1425" i="72"/>
  <c r="B1074" i="72"/>
  <c r="B1827" i="72"/>
  <c r="A2787" i="72"/>
  <c r="B1394" i="72"/>
  <c r="B353" i="72"/>
  <c r="B600" i="72"/>
  <c r="B2990" i="72"/>
  <c r="B2491" i="72"/>
  <c r="B1603" i="72"/>
  <c r="B2337" i="72"/>
  <c r="A2913" i="72"/>
  <c r="A2932" i="72"/>
  <c r="A2541" i="72"/>
  <c r="B490" i="72"/>
  <c r="B574" i="72"/>
  <c r="B1695" i="72"/>
  <c r="B512" i="72"/>
  <c r="B612" i="72"/>
  <c r="B664" i="72"/>
  <c r="B2935" i="72"/>
  <c r="B2338" i="72"/>
  <c r="B1427" i="72"/>
  <c r="B2323" i="72"/>
  <c r="B2766" i="72"/>
  <c r="B1361" i="72"/>
  <c r="B2718" i="72"/>
  <c r="B2755" i="72"/>
  <c r="B1366" i="72"/>
  <c r="A2127" i="72"/>
  <c r="A2289" i="72"/>
  <c r="A1808" i="72"/>
  <c r="B1728" i="72"/>
  <c r="B1919" i="72"/>
  <c r="B554" i="72"/>
  <c r="B2232" i="72"/>
  <c r="B1987" i="72"/>
  <c r="B2668" i="72"/>
  <c r="B515" i="72"/>
  <c r="B2560" i="72"/>
  <c r="B1719" i="72"/>
  <c r="A2851" i="72"/>
  <c r="B2539" i="72"/>
  <c r="B997" i="72"/>
  <c r="A2626" i="72"/>
  <c r="B748" i="72"/>
  <c r="B2568" i="72"/>
  <c r="A2382" i="72"/>
  <c r="A2613" i="72"/>
  <c r="B2479" i="72"/>
  <c r="B2295" i="72"/>
  <c r="A429" i="72"/>
  <c r="A430" i="72"/>
  <c r="B430" i="72" s="1"/>
  <c r="A348" i="72"/>
  <c r="A467" i="72"/>
  <c r="B1127" i="72"/>
  <c r="A2228" i="72"/>
  <c r="A1532" i="72"/>
  <c r="A2133" i="72"/>
  <c r="A1296" i="72"/>
  <c r="A2782" i="72"/>
  <c r="A2436" i="72"/>
  <c r="B2436" i="72" s="1"/>
  <c r="B1178" i="72"/>
  <c r="A2995" i="72"/>
  <c r="A2189" i="72"/>
  <c r="A1041" i="72"/>
  <c r="A1854" i="72"/>
  <c r="A2431" i="72"/>
  <c r="B1600" i="72"/>
  <c r="A2037" i="72"/>
  <c r="B2037" i="72" s="1"/>
  <c r="A119" i="72"/>
  <c r="A1424" i="72"/>
  <c r="B1424" i="72" s="1"/>
  <c r="A2921" i="72"/>
  <c r="A2442" i="72"/>
  <c r="B2442" i="72" s="1"/>
  <c r="A2501" i="72"/>
  <c r="A2260" i="72"/>
  <c r="B1126" i="72"/>
  <c r="A1824" i="72"/>
  <c r="A2649" i="72"/>
  <c r="A2943" i="72"/>
  <c r="A2456" i="72"/>
  <c r="A1588" i="72"/>
  <c r="A1255" i="72"/>
  <c r="A2435" i="72"/>
  <c r="B2435" i="72" s="1"/>
  <c r="A2997" i="72"/>
  <c r="A2579" i="72"/>
  <c r="A2566" i="72"/>
  <c r="B2566" i="72" s="1"/>
  <c r="A528" i="72"/>
  <c r="A2116" i="72"/>
  <c r="B2116" i="72" s="1"/>
  <c r="A2145" i="72"/>
  <c r="A2686" i="72"/>
  <c r="A2443" i="72"/>
  <c r="B2443" i="72" s="1"/>
  <c r="A2636" i="72"/>
  <c r="A908" i="72"/>
  <c r="A2532" i="72"/>
  <c r="B2532" i="72" s="1"/>
  <c r="A2013" i="72"/>
  <c r="A1564" i="72"/>
  <c r="A2035" i="72"/>
  <c r="A2593" i="72"/>
  <c r="B226" i="72"/>
  <c r="A1895" i="72"/>
  <c r="A2630" i="72"/>
  <c r="A1936" i="72"/>
  <c r="A1830" i="72"/>
  <c r="A2096" i="72"/>
  <c r="A1748" i="72"/>
  <c r="A2744" i="72"/>
  <c r="B2744" i="72" s="1"/>
  <c r="A2773" i="72"/>
  <c r="A2224" i="72"/>
  <c r="B1201" i="72"/>
  <c r="B23" i="72"/>
  <c r="A1635" i="72"/>
  <c r="A1985" i="72"/>
  <c r="B2197" i="72"/>
  <c r="B2591" i="72"/>
  <c r="B1443" i="72"/>
  <c r="B1322" i="72"/>
  <c r="B2733" i="72"/>
  <c r="A2538" i="72"/>
  <c r="B2538" i="72" s="1"/>
  <c r="A1699" i="72"/>
  <c r="A1851" i="72"/>
  <c r="B2902" i="72"/>
  <c r="B1398" i="72"/>
  <c r="B1813" i="72"/>
  <c r="B2564" i="72"/>
  <c r="B2885" i="72"/>
  <c r="A484" i="72"/>
  <c r="A1333" i="72"/>
  <c r="A1910" i="72"/>
  <c r="B1910" i="72" s="1"/>
  <c r="A1875" i="72"/>
  <c r="A2910" i="72"/>
  <c r="B2910" i="72" s="1"/>
  <c r="B2269" i="72"/>
  <c r="B1966" i="72"/>
  <c r="B2986" i="72"/>
  <c r="B1819" i="72"/>
  <c r="B1766" i="72"/>
  <c r="B1650" i="72"/>
  <c r="B2559" i="72"/>
  <c r="B653" i="72"/>
  <c r="B1065" i="72"/>
  <c r="B1611" i="72"/>
  <c r="B2796" i="72"/>
  <c r="B539" i="72"/>
  <c r="B2567" i="72"/>
  <c r="A773" i="72"/>
  <c r="A1707" i="72"/>
  <c r="A2177" i="72"/>
  <c r="A2161" i="72"/>
  <c r="A2425" i="72"/>
  <c r="A1503" i="72"/>
  <c r="A2879" i="72"/>
  <c r="A1835" i="72"/>
  <c r="B1636" i="72"/>
  <c r="B545" i="72"/>
  <c r="B1466" i="72"/>
  <c r="B1737" i="72"/>
  <c r="B734" i="72"/>
  <c r="B2067" i="72"/>
  <c r="B2438" i="72"/>
  <c r="B1577" i="72"/>
  <c r="B1503" i="72"/>
  <c r="B1558" i="72"/>
  <c r="B627" i="72"/>
  <c r="B305" i="72"/>
  <c r="B1581" i="72"/>
  <c r="B1846" i="72"/>
  <c r="B992" i="72"/>
  <c r="A1752" i="72"/>
  <c r="A2366" i="72"/>
  <c r="B960" i="72"/>
  <c r="A963" i="72"/>
  <c r="A2104" i="72"/>
  <c r="A2014" i="72"/>
  <c r="B2737" i="72"/>
  <c r="B2777" i="72"/>
  <c r="B613" i="72"/>
  <c r="B1752" i="72"/>
  <c r="B2925" i="72"/>
  <c r="B1595" i="72"/>
  <c r="B598" i="72"/>
  <c r="B749" i="72"/>
  <c r="B1436" i="72"/>
  <c r="B1264" i="72"/>
  <c r="B752" i="72"/>
  <c r="B1384" i="72"/>
  <c r="B610" i="72"/>
  <c r="B563" i="72"/>
  <c r="B2181" i="72"/>
  <c r="B581" i="72"/>
  <c r="B2553" i="72"/>
  <c r="B2644" i="72"/>
  <c r="A1708" i="72"/>
  <c r="A492" i="72"/>
  <c r="B1990" i="72"/>
  <c r="B2997" i="72"/>
  <c r="B1404" i="72"/>
  <c r="B2842" i="72"/>
  <c r="B987" i="72"/>
  <c r="B1512" i="72"/>
  <c r="B2425" i="72"/>
  <c r="B2208" i="72"/>
  <c r="B1428" i="72"/>
  <c r="B1263" i="72"/>
  <c r="B1744" i="72"/>
  <c r="A1973" i="72"/>
  <c r="B2767" i="72"/>
  <c r="B2249" i="72"/>
  <c r="B2844" i="72"/>
  <c r="B615" i="72"/>
  <c r="B1459" i="72"/>
  <c r="B2826" i="72"/>
  <c r="B2478" i="72"/>
  <c r="B1313" i="72"/>
  <c r="A2643" i="72"/>
  <c r="B2012" i="72"/>
  <c r="A2867" i="72"/>
  <c r="B1385" i="72"/>
  <c r="B1764" i="72"/>
  <c r="B1767" i="72"/>
  <c r="B1877" i="72"/>
  <c r="B722" i="72"/>
  <c r="B2500" i="72"/>
  <c r="B1575" i="72"/>
  <c r="B1678" i="72"/>
  <c r="B1111" i="72"/>
  <c r="B614" i="72"/>
  <c r="B2163" i="72"/>
  <c r="B742" i="72"/>
  <c r="B559" i="72"/>
  <c r="B2552" i="72"/>
  <c r="B2653" i="72"/>
  <c r="B1665" i="72"/>
  <c r="B2545" i="72"/>
  <c r="B2822" i="72"/>
  <c r="A2819" i="72"/>
  <c r="A2694" i="72"/>
  <c r="B2932" i="72"/>
  <c r="B595" i="72"/>
  <c r="B2189" i="72"/>
  <c r="B647" i="72"/>
  <c r="B1682" i="72"/>
  <c r="B2650" i="72"/>
  <c r="B472" i="72"/>
  <c r="B1854" i="72"/>
  <c r="B357" i="72"/>
  <c r="A1908" i="72"/>
  <c r="B2133" i="72"/>
  <c r="B1147" i="72"/>
  <c r="B1973" i="72"/>
  <c r="B434" i="72"/>
  <c r="A1372" i="72"/>
  <c r="B2481" i="72"/>
  <c r="B424" i="72"/>
  <c r="A2843" i="72"/>
  <c r="A1857" i="72"/>
  <c r="B694" i="72"/>
  <c r="B2556" i="72"/>
  <c r="A419" i="72"/>
  <c r="A1729" i="72"/>
  <c r="B1729" i="72" s="1"/>
  <c r="A1163" i="72"/>
  <c r="B1163" i="72" s="1"/>
  <c r="A1631" i="72"/>
  <c r="B1631" i="72" s="1"/>
  <c r="A582" i="72"/>
  <c r="A2708" i="72"/>
  <c r="A2968" i="72"/>
  <c r="A1349" i="72"/>
  <c r="B1349" i="72" s="1"/>
  <c r="A2728" i="72"/>
  <c r="A1792" i="72"/>
  <c r="A2317" i="72"/>
  <c r="B2080" i="72"/>
  <c r="A1460" i="72"/>
  <c r="A1164" i="72"/>
  <c r="B907" i="72"/>
  <c r="A2103" i="72"/>
  <c r="B2103" i="72" s="1"/>
  <c r="A937" i="72"/>
  <c r="B937" i="72" s="1"/>
  <c r="A2439" i="72"/>
  <c r="B2020" i="72"/>
  <c r="A1170" i="72"/>
  <c r="A1962" i="72"/>
  <c r="B1156" i="72"/>
  <c r="A2949" i="72"/>
  <c r="B2949" i="72" s="1"/>
  <c r="A2923" i="72"/>
  <c r="A1525" i="72"/>
  <c r="B1525" i="72" s="1"/>
  <c r="A1667" i="72"/>
  <c r="B1667" i="72" s="1"/>
  <c r="A1669" i="72"/>
  <c r="A2011" i="72"/>
  <c r="A2248" i="72"/>
  <c r="B2248" i="72" s="1"/>
  <c r="A1799" i="72"/>
  <c r="A2136" i="72"/>
  <c r="A2303" i="72"/>
  <c r="B2303" i="72" s="1"/>
  <c r="A2406" i="72"/>
  <c r="B2406" i="72" s="1"/>
  <c r="A2234" i="72"/>
  <c r="A1982" i="72"/>
  <c r="A2297" i="72"/>
  <c r="B2297" i="72" s="1"/>
  <c r="A1724" i="72"/>
  <c r="A2618" i="72"/>
  <c r="B2618" i="72" s="1"/>
  <c r="A2437" i="72"/>
  <c r="B2437" i="72" s="1"/>
  <c r="B1155" i="72"/>
  <c r="A2743" i="72"/>
  <c r="A2421" i="72"/>
  <c r="A1848" i="72"/>
  <c r="B1548" i="72"/>
  <c r="A2604" i="72"/>
  <c r="A2148" i="72"/>
  <c r="A2473" i="72"/>
  <c r="B2473" i="72" s="1"/>
  <c r="A1329" i="72"/>
  <c r="A2994" i="72"/>
  <c r="A2680" i="72"/>
  <c r="B2680" i="72" s="1"/>
  <c r="A2154" i="72"/>
  <c r="A2244" i="72"/>
  <c r="B2244" i="72" s="1"/>
  <c r="A2776" i="72"/>
  <c r="A2987" i="72"/>
  <c r="A2964" i="72"/>
  <c r="A2518" i="72"/>
  <c r="A1379" i="72"/>
  <c r="B1379" i="72" s="1"/>
  <c r="A2089" i="72"/>
  <c r="A2793" i="72"/>
  <c r="B883" i="72"/>
  <c r="A2190" i="72"/>
  <c r="B1001" i="72"/>
  <c r="B1015" i="72"/>
  <c r="B2132" i="72"/>
  <c r="B738" i="72"/>
  <c r="B688" i="72"/>
  <c r="A2041" i="72"/>
  <c r="A2178" i="72"/>
  <c r="B2178" i="72" s="1"/>
  <c r="A1847" i="72"/>
  <c r="B1968" i="72"/>
  <c r="B2086" i="72"/>
  <c r="B2231" i="72"/>
  <c r="B2979" i="72"/>
  <c r="B1797" i="72"/>
  <c r="B1784" i="72"/>
  <c r="B590" i="72"/>
  <c r="B2523" i="72"/>
  <c r="A798" i="72"/>
  <c r="A2924" i="72"/>
  <c r="B2924" i="72" s="1"/>
  <c r="A2831" i="72"/>
  <c r="A1696" i="72"/>
  <c r="A2647" i="72"/>
  <c r="B2647" i="72" s="1"/>
  <c r="B555" i="72"/>
  <c r="B2183" i="72"/>
  <c r="B2791" i="72"/>
  <c r="B1493" i="72"/>
  <c r="B1740" i="72"/>
  <c r="B412" i="72"/>
  <c r="B1498" i="72"/>
  <c r="B2752" i="72"/>
  <c r="B2808" i="72"/>
  <c r="B1823" i="72"/>
  <c r="B2945" i="72"/>
  <c r="B2267" i="72"/>
  <c r="B1658" i="72"/>
  <c r="A931" i="72"/>
  <c r="B931" i="72" s="1"/>
  <c r="B1884" i="72"/>
  <c r="A1510" i="72"/>
  <c r="A2936" i="72"/>
  <c r="A2404" i="72"/>
  <c r="A2110" i="72"/>
  <c r="A2897" i="72"/>
  <c r="B2897" i="72" s="1"/>
  <c r="B2920" i="72"/>
  <c r="B2630" i="72"/>
  <c r="B1402" i="72"/>
  <c r="B304" i="72"/>
  <c r="B2944" i="72"/>
  <c r="B618" i="72"/>
  <c r="B1585" i="72"/>
  <c r="B2392" i="72"/>
  <c r="B1499" i="72"/>
  <c r="B673" i="72"/>
  <c r="B1685" i="72"/>
  <c r="B847" i="72"/>
  <c r="A2971" i="72"/>
  <c r="A2321" i="72"/>
  <c r="A1817" i="72"/>
  <c r="A2318" i="72"/>
  <c r="A1418" i="72"/>
  <c r="A2934" i="72"/>
  <c r="B1714" i="72"/>
  <c r="B2319" i="72"/>
  <c r="B2785" i="72"/>
  <c r="B593" i="72"/>
  <c r="B1325" i="72"/>
  <c r="B2501" i="72"/>
  <c r="B2118" i="72"/>
  <c r="B1969" i="72"/>
  <c r="B535" i="72"/>
  <c r="B1863" i="72"/>
  <c r="B2322" i="72"/>
  <c r="B2628" i="72"/>
  <c r="B2964" i="72"/>
  <c r="B2878" i="72"/>
  <c r="B1364" i="72"/>
  <c r="B2918" i="72"/>
  <c r="B525" i="72"/>
  <c r="A2608" i="72"/>
  <c r="A2454" i="72"/>
  <c r="A1845" i="72"/>
  <c r="B1497" i="72"/>
  <c r="B1047" i="72"/>
  <c r="B2190" i="72"/>
  <c r="B2589" i="72"/>
  <c r="B2252" i="72"/>
  <c r="B2529" i="72"/>
  <c r="B2400" i="72"/>
  <c r="B2693" i="72"/>
  <c r="B1012" i="72"/>
  <c r="A2692" i="72"/>
  <c r="B2955" i="72"/>
  <c r="B2763" i="72"/>
  <c r="A2205" i="72"/>
  <c r="B712" i="72"/>
  <c r="B1050" i="72"/>
  <c r="B2982" i="72"/>
  <c r="B606" i="72"/>
  <c r="B1699" i="72"/>
  <c r="A947" i="72"/>
  <c r="A2270" i="72"/>
  <c r="B2426" i="72"/>
  <c r="B358" i="72"/>
  <c r="B2508" i="72"/>
  <c r="B2494" i="72"/>
  <c r="B1365" i="72"/>
  <c r="B2926" i="72"/>
  <c r="B2261" i="72"/>
  <c r="B2138" i="72"/>
  <c r="B2422" i="72"/>
  <c r="B2670" i="72"/>
  <c r="B1460" i="72"/>
  <c r="B1030" i="72"/>
  <c r="B1898" i="72"/>
  <c r="B2759" i="72"/>
  <c r="A2903" i="72"/>
  <c r="B2978" i="72"/>
  <c r="B1370" i="72"/>
  <c r="B561" i="72"/>
  <c r="B1318" i="72"/>
  <c r="A2736" i="72"/>
  <c r="A2517" i="72"/>
  <c r="A1979" i="72"/>
  <c r="B2828" i="72"/>
  <c r="B2148" i="72"/>
  <c r="B711" i="72"/>
  <c r="B480" i="72"/>
  <c r="B1787" i="72"/>
  <c r="B2622" i="72"/>
  <c r="B740" i="72"/>
  <c r="B1490" i="72"/>
  <c r="B2543" i="72"/>
  <c r="B1735" i="72"/>
  <c r="B1355" i="72"/>
  <c r="B2329" i="72"/>
  <c r="B2604" i="72"/>
  <c r="B2018" i="72"/>
  <c r="B2294" i="72"/>
  <c r="B1709" i="72"/>
  <c r="A1978" i="72"/>
  <c r="B721" i="72"/>
  <c r="A949" i="72"/>
  <c r="A2984" i="72"/>
  <c r="A2537" i="72"/>
  <c r="B2404" i="72"/>
  <c r="B704" i="72"/>
  <c r="B2569" i="72"/>
  <c r="B672" i="72"/>
  <c r="B321" i="72"/>
  <c r="B2407" i="72"/>
  <c r="B2128" i="72"/>
  <c r="B524" i="72"/>
  <c r="B1494" i="72"/>
  <c r="A1227" i="72"/>
  <c r="B2507" i="72"/>
  <c r="B1354" i="72"/>
  <c r="B1681" i="72"/>
  <c r="A1725" i="72"/>
  <c r="B2029" i="72"/>
  <c r="B1420" i="72"/>
  <c r="A1712" i="72"/>
  <c r="B2372" i="72"/>
  <c r="A1242" i="72"/>
  <c r="A2976" i="72"/>
  <c r="A392" i="72"/>
  <c r="B392" i="72" s="1"/>
  <c r="A330" i="72"/>
  <c r="A925" i="72"/>
  <c r="B1036" i="72"/>
  <c r="A1478" i="72"/>
  <c r="A2758" i="72"/>
  <c r="B2758" i="72" s="1"/>
  <c r="A2711" i="72"/>
  <c r="B2711" i="72" s="1"/>
  <c r="A2240" i="72"/>
  <c r="A2548" i="72"/>
  <c r="B2548" i="72" s="1"/>
  <c r="A922" i="72"/>
  <c r="A77" i="72"/>
  <c r="A2221" i="72"/>
  <c r="A2655" i="72"/>
  <c r="B2655" i="72" s="1"/>
  <c r="A1357" i="72"/>
  <c r="B1357" i="72" s="1"/>
  <c r="A634" i="72"/>
  <c r="B634" i="72" s="1"/>
  <c r="B1688" i="72"/>
  <c r="A2374" i="72"/>
  <c r="B2374" i="72" s="1"/>
  <c r="A2946" i="72"/>
  <c r="A1191" i="72"/>
  <c r="A2082" i="72"/>
  <c r="B2082" i="72" s="1"/>
  <c r="A1568" i="72"/>
  <c r="B1568" i="72" s="1"/>
  <c r="B390" i="72"/>
  <c r="A1992" i="72"/>
  <c r="A2391" i="72"/>
  <c r="B2391" i="72" s="1"/>
  <c r="A2562" i="72"/>
  <c r="B2562" i="72" s="1"/>
  <c r="A1380" i="72"/>
  <c r="A1476" i="72"/>
  <c r="A1496" i="72"/>
  <c r="A2952" i="72"/>
  <c r="A1791" i="72"/>
  <c r="B1791" i="72" s="1"/>
  <c r="A2761" i="72"/>
  <c r="A1073" i="72"/>
  <c r="A2893" i="72"/>
  <c r="A1463" i="72"/>
  <c r="B1463" i="72" s="1"/>
  <c r="A2551" i="72"/>
  <c r="A2109" i="72"/>
  <c r="A1545" i="72"/>
  <c r="A2495" i="72"/>
  <c r="B2495" i="72" s="1"/>
  <c r="A2571" i="72"/>
  <c r="A2301" i="72"/>
  <c r="B2301" i="72" s="1"/>
  <c r="A1865" i="72"/>
  <c r="B943" i="72"/>
  <c r="A2475" i="72"/>
  <c r="B2475" i="72" s="1"/>
  <c r="A2814" i="72"/>
  <c r="B2814" i="72" s="1"/>
  <c r="A2427" i="72"/>
  <c r="A2705" i="72"/>
  <c r="B2705" i="72" s="1"/>
  <c r="A2316" i="72"/>
  <c r="A2720" i="72"/>
  <c r="B2720" i="72" s="1"/>
  <c r="A2836" i="72"/>
  <c r="A1280" i="72"/>
  <c r="A2709" i="72"/>
  <c r="B2709" i="72" s="1"/>
  <c r="A2770" i="72"/>
  <c r="A2880" i="72"/>
  <c r="A2055" i="72"/>
  <c r="B2055" i="72" s="1"/>
  <c r="A2977" i="72"/>
  <c r="A1812" i="72"/>
  <c r="A2474" i="72"/>
  <c r="A2659" i="72"/>
  <c r="B2659" i="72" s="1"/>
  <c r="A2857" i="72"/>
  <c r="A702" i="72"/>
  <c r="B702" i="72" s="1"/>
  <c r="A2620" i="72"/>
  <c r="B2620" i="72" s="1"/>
  <c r="A1943" i="72"/>
  <c r="B1897" i="72"/>
  <c r="B2204" i="72"/>
  <c r="B2749" i="72"/>
  <c r="B1395" i="72"/>
  <c r="B1522" i="72"/>
  <c r="B1648" i="72"/>
  <c r="B3000" i="72"/>
  <c r="A2207" i="72"/>
  <c r="A2409" i="72"/>
  <c r="A2274" i="72"/>
  <c r="B1478" i="72"/>
  <c r="B1062" i="72"/>
  <c r="B1484" i="72"/>
  <c r="B1452" i="72"/>
  <c r="B1411" i="72"/>
  <c r="B514" i="72"/>
  <c r="B1584" i="72"/>
  <c r="B689" i="72"/>
  <c r="A1939" i="72"/>
  <c r="A2901" i="72"/>
  <c r="A2704" i="72"/>
  <c r="A2739" i="72"/>
  <c r="B2839" i="72"/>
  <c r="B2090" i="72"/>
  <c r="B2987" i="72"/>
  <c r="B2663" i="72"/>
  <c r="B1530" i="72"/>
  <c r="B2852" i="72"/>
  <c r="B2450" i="72"/>
  <c r="B1623" i="72"/>
  <c r="B1560" i="72"/>
  <c r="B2817" i="72"/>
  <c r="B1457" i="72"/>
  <c r="B2593" i="72"/>
  <c r="B1825" i="72"/>
  <c r="A725" i="72"/>
  <c r="A2047" i="72"/>
  <c r="A1882" i="72"/>
  <c r="B378" i="72"/>
  <c r="A2807" i="72"/>
  <c r="A1374" i="72"/>
  <c r="A1934" i="72"/>
  <c r="B2462" i="72"/>
  <c r="B1528" i="72"/>
  <c r="B2938" i="72"/>
  <c r="B339" i="72"/>
  <c r="B2275" i="72"/>
  <c r="B2873" i="72"/>
  <c r="B2972" i="72"/>
  <c r="B2177" i="72"/>
  <c r="B2530" i="72"/>
  <c r="B2792" i="72"/>
  <c r="B2748" i="72"/>
  <c r="B2788" i="72"/>
  <c r="B2228" i="72"/>
  <c r="B1873" i="72"/>
  <c r="B1501" i="72"/>
  <c r="B556" i="72"/>
  <c r="A1785" i="72"/>
  <c r="A2288" i="72"/>
  <c r="A1440" i="72"/>
  <c r="A2272" i="72"/>
  <c r="B2272" i="72" s="1"/>
  <c r="A2199" i="72"/>
  <c r="A2444" i="72"/>
  <c r="A790" i="72"/>
  <c r="B2793" i="72"/>
  <c r="B2975" i="72"/>
  <c r="B2398" i="72"/>
  <c r="B2732" i="72"/>
  <c r="B1473" i="72"/>
  <c r="B1393" i="72"/>
  <c r="B1317" i="72"/>
  <c r="B661" i="72"/>
  <c r="B1759" i="72"/>
  <c r="B1710" i="72"/>
  <c r="B2165" i="72"/>
  <c r="B1417" i="72"/>
  <c r="B1414" i="72"/>
  <c r="B2963" i="72"/>
  <c r="B1412" i="72"/>
  <c r="B2686" i="72"/>
  <c r="B2430" i="72"/>
  <c r="A2896" i="72"/>
  <c r="A2868" i="72"/>
  <c r="A1930" i="72"/>
  <c r="B1742" i="72"/>
  <c r="B2170" i="72"/>
  <c r="B1828" i="72"/>
  <c r="B1598" i="72"/>
  <c r="B2969" i="72"/>
  <c r="B2927" i="72"/>
  <c r="B2803" i="72"/>
  <c r="B2413" i="72"/>
  <c r="B631" i="72"/>
  <c r="B455" i="72"/>
  <c r="B644" i="72"/>
  <c r="B2411" i="72"/>
  <c r="B468" i="72"/>
  <c r="B1103" i="72"/>
  <c r="A1561" i="72"/>
  <c r="B2444" i="72"/>
  <c r="B493" i="72"/>
  <c r="B2631" i="72"/>
  <c r="B2288" i="72"/>
  <c r="B2263" i="72"/>
  <c r="B1360" i="72"/>
  <c r="A2401" i="72"/>
  <c r="B2373" i="72"/>
  <c r="B2535" i="72"/>
  <c r="B1367" i="72"/>
  <c r="B1467" i="72"/>
  <c r="B2772" i="72"/>
  <c r="B2985" i="72"/>
  <c r="B2524" i="72"/>
  <c r="B2689" i="72"/>
  <c r="B686" i="72"/>
  <c r="B1331" i="72"/>
  <c r="B510" i="72"/>
  <c r="B2345" i="72"/>
  <c r="A2725" i="72"/>
  <c r="B725" i="72"/>
  <c r="A2419" i="72"/>
  <c r="B720" i="72"/>
  <c r="B404" i="72"/>
  <c r="A2991" i="72"/>
  <c r="B2770" i="72"/>
  <c r="B2840" i="72"/>
  <c r="B1553" i="72"/>
  <c r="A2959" i="72"/>
  <c r="A1238" i="72"/>
  <c r="A2009" i="72"/>
  <c r="B2881" i="72"/>
  <c r="B2807" i="72"/>
  <c r="B2332" i="72"/>
  <c r="B1407" i="72"/>
  <c r="B2608" i="72"/>
  <c r="B2794" i="72"/>
  <c r="B1348" i="72"/>
  <c r="B2893" i="72"/>
  <c r="B2857" i="72"/>
  <c r="B698" i="72"/>
  <c r="B623" i="72"/>
  <c r="B1524" i="72"/>
  <c r="B751" i="72"/>
  <c r="B1347" i="72"/>
  <c r="B1496" i="72"/>
  <c r="B566" i="72"/>
  <c r="B2007" i="72"/>
  <c r="A2702" i="72"/>
  <c r="B370" i="72"/>
  <c r="B2612" i="72"/>
  <c r="A2176" i="72"/>
  <c r="A1387" i="72"/>
  <c r="A2914" i="72"/>
  <c r="B1446" i="72"/>
  <c r="B2239" i="72"/>
  <c r="B1777" i="72"/>
  <c r="B2350" i="72"/>
  <c r="B1359" i="72"/>
  <c r="B522" i="72"/>
  <c r="B1297" i="72"/>
  <c r="B2632" i="72"/>
  <c r="B693" i="72"/>
  <c r="B354" i="72"/>
  <c r="B700" i="72"/>
  <c r="B2892" i="72"/>
  <c r="B2385" i="72"/>
  <c r="A2074" i="72"/>
  <c r="B2328" i="72"/>
  <c r="B1655" i="72"/>
  <c r="B1405" i="72"/>
  <c r="A2666" i="72"/>
  <c r="B1573" i="72"/>
  <c r="B2872" i="72"/>
  <c r="B813" i="72"/>
  <c r="B2942" i="72"/>
  <c r="A1816" i="72"/>
  <c r="A2357" i="72"/>
  <c r="A1841" i="72"/>
  <c r="B2671" i="72"/>
  <c r="B2876" i="72"/>
  <c r="B1924" i="72"/>
  <c r="B1920" i="72"/>
  <c r="B2266" i="72"/>
  <c r="B1485" i="72"/>
  <c r="B2519" i="72"/>
  <c r="B1281" i="72"/>
  <c r="B1593" i="72"/>
  <c r="B633" i="72"/>
  <c r="B2101" i="72"/>
  <c r="B2712" i="72"/>
  <c r="B407" i="72"/>
  <c r="B2445" i="72"/>
  <c r="B2581" i="72"/>
  <c r="B1559" i="72"/>
  <c r="B1252" i="72"/>
  <c r="B2923" i="72"/>
  <c r="A2638" i="72"/>
  <c r="B1479" i="72"/>
  <c r="B1798" i="72"/>
  <c r="B1882" i="72"/>
  <c r="B135" i="72"/>
  <c r="B191" i="72"/>
  <c r="B1696" i="72"/>
  <c r="B1586" i="72"/>
  <c r="B2014" i="72"/>
  <c r="B1284" i="72"/>
  <c r="B149" i="72"/>
  <c r="B169" i="72"/>
  <c r="B1223" i="72"/>
  <c r="B167" i="72"/>
  <c r="B1547" i="72"/>
  <c r="B1056" i="72"/>
  <c r="B2147" i="72"/>
  <c r="B921" i="72"/>
  <c r="B1168" i="72"/>
  <c r="B157" i="72"/>
  <c r="B115" i="72"/>
  <c r="B1208" i="72"/>
  <c r="B181" i="72"/>
  <c r="B61" i="72"/>
  <c r="B205" i="72"/>
  <c r="B394" i="72"/>
  <c r="A787" i="72"/>
  <c r="A962" i="72"/>
  <c r="B962" i="72" s="1"/>
  <c r="A599" i="72"/>
  <c r="A1117" i="72"/>
  <c r="A676" i="72"/>
  <c r="B676" i="72" s="1"/>
  <c r="A1107" i="72"/>
  <c r="A282" i="72"/>
  <c r="A1868" i="72"/>
  <c r="B1868" i="72" s="1"/>
  <c r="A2238" i="72"/>
  <c r="A2016" i="72"/>
  <c r="A2369" i="72"/>
  <c r="B2369" i="72" s="1"/>
  <c r="B300" i="72"/>
  <c r="A2864" i="72"/>
  <c r="A862" i="72"/>
  <c r="A1270" i="72"/>
  <c r="A1937" i="72"/>
  <c r="A2841" i="72"/>
  <c r="B2841" i="72" s="1"/>
  <c r="B1661" i="72"/>
  <c r="A1397" i="72"/>
  <c r="A1520" i="72"/>
  <c r="A850" i="72"/>
  <c r="B850" i="72" s="1"/>
  <c r="A1889" i="72"/>
  <c r="B1889" i="72" s="1"/>
  <c r="A1928" i="72"/>
  <c r="A2637" i="72"/>
  <c r="B2637" i="72" s="1"/>
  <c r="A1971" i="72"/>
  <c r="B1971" i="72" s="1"/>
  <c r="A2131" i="72"/>
  <c r="A1938" i="72"/>
  <c r="B1938" i="72" s="1"/>
  <c r="A1730" i="72"/>
  <c r="A1773" i="72"/>
  <c r="A2983" i="72"/>
  <c r="B2983" i="72" s="1"/>
  <c r="A256" i="72"/>
  <c r="A2114" i="72"/>
  <c r="B2114" i="72" s="1"/>
  <c r="A1763" i="72"/>
  <c r="A2640" i="72"/>
  <c r="B2640" i="72" s="1"/>
  <c r="B2240" i="72"/>
  <c r="A1885" i="72"/>
  <c r="B1885" i="72" s="1"/>
  <c r="A1526" i="72"/>
  <c r="A1974" i="72"/>
  <c r="A2194" i="72"/>
  <c r="B2194" i="72" s="1"/>
  <c r="A1582" i="72"/>
  <c r="A2658" i="72"/>
  <c r="A1821" i="72"/>
  <c r="A2930" i="72"/>
  <c r="B2930" i="72" s="1"/>
  <c r="B1149" i="72"/>
  <c r="A2639" i="72"/>
  <c r="B2639" i="72" s="1"/>
  <c r="A2149" i="72"/>
  <c r="A2735" i="72"/>
  <c r="A67" i="72"/>
  <c r="A1915" i="72"/>
  <c r="A2542" i="72"/>
  <c r="A2586" i="72"/>
  <c r="B2586" i="72" s="1"/>
  <c r="A2003" i="72"/>
  <c r="B1069" i="72"/>
  <c r="A1300" i="72"/>
  <c r="A2341" i="72"/>
  <c r="B2594" i="72"/>
  <c r="A2597" i="72"/>
  <c r="A2466" i="72"/>
  <c r="B2466" i="72" s="1"/>
  <c r="A2513" i="72"/>
  <c r="A1204" i="72"/>
  <c r="A2173" i="72"/>
  <c r="A2665" i="72"/>
  <c r="B2665" i="72" s="1"/>
  <c r="B1801" i="72"/>
  <c r="B1028" i="72"/>
  <c r="B2609" i="72"/>
  <c r="B1291" i="72"/>
  <c r="B652" i="72"/>
  <c r="B2327" i="72"/>
  <c r="B2570" i="72"/>
  <c r="A2889" i="72"/>
  <c r="B2889" i="72" s="1"/>
  <c r="A2988" i="72"/>
  <c r="B2988" i="72" s="1"/>
  <c r="B1350" i="72"/>
  <c r="B1551" i="72"/>
  <c r="B2664" i="72"/>
  <c r="B2862" i="72"/>
  <c r="B1290" i="72"/>
  <c r="B2496" i="72"/>
  <c r="B2457" i="72"/>
  <c r="A2498" i="72"/>
  <c r="A2928" i="72"/>
  <c r="A1464" i="72"/>
  <c r="A2710" i="72"/>
  <c r="B2710" i="72" s="1"/>
  <c r="B2994" i="72"/>
  <c r="B1876" i="72"/>
  <c r="B2461" i="72"/>
  <c r="B2276" i="72"/>
  <c r="B696" i="72"/>
  <c r="B2549" i="72"/>
  <c r="B2358" i="72"/>
  <c r="B899" i="72"/>
  <c r="B1677" i="72"/>
  <c r="B594" i="72"/>
  <c r="B2557" i="72"/>
  <c r="B411" i="72"/>
  <c r="B1326" i="72"/>
  <c r="B1308" i="72"/>
  <c r="A1401" i="72"/>
  <c r="A2714" i="72"/>
  <c r="A1741" i="72"/>
  <c r="B1741" i="72" s="1"/>
  <c r="B1629" i="72"/>
  <c r="A1904" i="72"/>
  <c r="B2097" i="72"/>
  <c r="A1944" i="72"/>
  <c r="B2967" i="72"/>
  <c r="B1870" i="72"/>
  <c r="B706" i="72"/>
  <c r="B2311" i="72"/>
  <c r="B2823" i="72"/>
  <c r="B2818" i="72"/>
  <c r="B293" i="72"/>
  <c r="B668" i="72"/>
  <c r="B1391" i="72"/>
  <c r="B2700" i="72"/>
  <c r="B903" i="72"/>
  <c r="B2172" i="72"/>
  <c r="B2259" i="72"/>
  <c r="B1416" i="72"/>
  <c r="B1319" i="72"/>
  <c r="B1856" i="72"/>
  <c r="B1169" i="72"/>
  <c r="B1352" i="72"/>
  <c r="A2226" i="72"/>
  <c r="B2226" i="72" s="1"/>
  <c r="A1218" i="72"/>
  <c r="A1893" i="72"/>
  <c r="A1408" i="72"/>
  <c r="A2511" i="72"/>
  <c r="A1929" i="72"/>
  <c r="B1929" i="72" s="1"/>
  <c r="B2989" i="72"/>
  <c r="B1776" i="72"/>
  <c r="B746" i="72"/>
  <c r="B1642" i="72"/>
  <c r="B429" i="72"/>
  <c r="B2174" i="72"/>
  <c r="B2583" i="72"/>
  <c r="B363" i="72"/>
  <c r="B1886" i="72"/>
  <c r="B1477" i="72"/>
  <c r="B919" i="72"/>
  <c r="B1932" i="72"/>
  <c r="B2751" i="72"/>
  <c r="B1705" i="72"/>
  <c r="B1669" i="72"/>
  <c r="B1747" i="72"/>
  <c r="B1344" i="72"/>
  <c r="B2431" i="72"/>
  <c r="B2515" i="72"/>
  <c r="A2690" i="72"/>
  <c r="B1822" i="72"/>
  <c r="A2730" i="72"/>
  <c r="B1940" i="72"/>
  <c r="B2701" i="72"/>
  <c r="B2093" i="72"/>
  <c r="B2730" i="72"/>
  <c r="B1389" i="72"/>
  <c r="B1518" i="72"/>
  <c r="B682" i="72"/>
  <c r="B642" i="72"/>
  <c r="B2699" i="72"/>
  <c r="B2966" i="72"/>
  <c r="B1511" i="72"/>
  <c r="B1470" i="72"/>
  <c r="B450" i="72"/>
  <c r="B1406" i="72"/>
  <c r="B1495" i="72"/>
  <c r="A2302" i="72"/>
  <c r="B2915" i="72"/>
  <c r="B575" i="72"/>
  <c r="A1984" i="72"/>
  <c r="B2679" i="72"/>
  <c r="B639" i="72"/>
  <c r="A933" i="72"/>
  <c r="A2393" i="72"/>
  <c r="A2417" i="72"/>
  <c r="B717" i="72"/>
  <c r="B1542" i="72"/>
  <c r="B349" i="72"/>
  <c r="B2182" i="72"/>
  <c r="B1670" i="72"/>
  <c r="B1413" i="72"/>
  <c r="B616" i="72"/>
  <c r="B2957" i="72"/>
  <c r="B2349" i="72"/>
  <c r="B2278" i="72"/>
  <c r="B2774" i="72"/>
  <c r="B2603" i="72"/>
  <c r="A2611" i="72"/>
  <c r="B609" i="72"/>
  <c r="B716" i="72"/>
  <c r="B1124" i="72"/>
  <c r="B2996" i="72"/>
  <c r="A2004" i="72"/>
  <c r="B1702" i="72"/>
  <c r="B1474" i="72"/>
  <c r="A2384" i="72"/>
  <c r="A2418" i="72"/>
  <c r="A2298" i="72"/>
  <c r="B1283" i="72"/>
  <c r="B1643" i="72"/>
  <c r="B713" i="72"/>
  <c r="B619" i="72"/>
  <c r="B2467" i="72"/>
  <c r="B1824" i="72"/>
  <c r="B1654" i="72"/>
  <c r="B1901" i="72"/>
  <c r="B2648" i="72"/>
  <c r="B1545" i="72"/>
  <c r="B730" i="72"/>
  <c r="B2143" i="72"/>
  <c r="B2383" i="72"/>
  <c r="B1527" i="72"/>
  <c r="B2378" i="72"/>
  <c r="B2498" i="72"/>
  <c r="B621" i="72"/>
  <c r="B2453" i="72"/>
  <c r="B1900" i="72"/>
  <c r="B1589" i="72"/>
  <c r="A2024" i="72"/>
  <c r="A2056" i="72"/>
  <c r="A1305" i="72"/>
  <c r="B1662" i="72"/>
  <c r="B2403" i="72"/>
  <c r="B2541" i="72"/>
  <c r="B1902" i="72"/>
  <c r="B2428" i="72"/>
  <c r="B2420" i="72"/>
  <c r="B1433" i="72"/>
  <c r="B2616" i="72"/>
  <c r="B1866" i="72"/>
  <c r="B2864" i="72"/>
  <c r="B395" i="72"/>
  <c r="B2865" i="72"/>
  <c r="A2200" i="72"/>
  <c r="B2336" i="72"/>
  <c r="B2075" i="72"/>
  <c r="B2527" i="72"/>
  <c r="B2717" i="72"/>
  <c r="B1543" i="72"/>
  <c r="B1502" i="72"/>
  <c r="A2540" i="72"/>
  <c r="A2218" i="72"/>
  <c r="A1272" i="72"/>
  <c r="B1272" i="72" s="1"/>
  <c r="A352" i="72"/>
  <c r="A148" i="72"/>
  <c r="B578" i="72"/>
  <c r="B128" i="72"/>
  <c r="A323" i="72"/>
  <c r="A1022" i="72"/>
  <c r="A1917" i="72"/>
  <c r="B1917" i="72" s="1"/>
  <c r="A1890" i="72"/>
  <c r="B1890" i="72" s="1"/>
  <c r="A2258" i="72"/>
  <c r="A1053" i="72"/>
  <c r="B1053" i="72" s="1"/>
  <c r="B827" i="72"/>
  <c r="A2359" i="72"/>
  <c r="B2359" i="72" s="1"/>
  <c r="A2371" i="72"/>
  <c r="B2371" i="72" s="1"/>
  <c r="A1278" i="72"/>
  <c r="B1278" i="72" s="1"/>
  <c r="A2813" i="72"/>
  <c r="A2300" i="72"/>
  <c r="B2300" i="72" s="1"/>
  <c r="A2575" i="72"/>
  <c r="A964" i="72"/>
  <c r="A1222" i="72"/>
  <c r="A2124" i="72"/>
  <c r="B2124" i="72" s="1"/>
  <c r="B1853" i="72"/>
  <c r="A2886" i="72"/>
  <c r="B2886" i="72" s="1"/>
  <c r="A2395" i="72"/>
  <c r="B2395" i="72" s="1"/>
  <c r="A1462" i="72"/>
  <c r="B1462" i="72" s="1"/>
  <c r="A1641" i="72"/>
  <c r="A1840" i="72"/>
  <c r="A1093" i="72"/>
  <c r="B2083" i="72"/>
  <c r="A2919" i="72"/>
  <c r="B2919" i="72" s="1"/>
  <c r="A1698" i="72"/>
  <c r="B1698" i="72" s="1"/>
  <c r="A2030" i="72"/>
  <c r="B2030" i="72" s="1"/>
  <c r="A2285" i="72"/>
  <c r="A859" i="72"/>
  <c r="A2590" i="72"/>
  <c r="B2590" i="72" s="1"/>
  <c r="A2291" i="72"/>
  <c r="A1567" i="72"/>
  <c r="B1567" i="72" s="1"/>
  <c r="A1183" i="72"/>
  <c r="B1183" i="72" s="1"/>
  <c r="B1986" i="72"/>
  <c r="A2642" i="72"/>
  <c r="B2642" i="72" s="1"/>
  <c r="A2250" i="72"/>
  <c r="B2250" i="72" s="1"/>
  <c r="B174" i="72"/>
  <c r="A1903" i="72"/>
  <c r="B1304" i="72"/>
  <c r="A1861" i="72"/>
  <c r="A2676" i="72"/>
  <c r="A2805" i="72"/>
  <c r="A1733" i="72"/>
  <c r="A2746" i="72"/>
  <c r="B2746" i="72" s="1"/>
  <c r="A838" i="72"/>
  <c r="A2947" i="72"/>
  <c r="B2947" i="72" s="1"/>
  <c r="A2255" i="72"/>
  <c r="A2339" i="72"/>
  <c r="B2339" i="72" s="1"/>
  <c r="A934" i="72"/>
  <c r="A2167" i="72"/>
  <c r="A1645" i="72"/>
  <c r="B1645" i="72" s="1"/>
  <c r="A1336" i="72"/>
  <c r="B1574" i="72"/>
  <c r="A2100" i="72"/>
  <c r="B2100" i="72" s="1"/>
  <c r="A2745" i="72"/>
  <c r="B2745" i="72" s="1"/>
  <c r="A2798" i="72"/>
  <c r="B2798" i="72" s="1"/>
  <c r="A2351" i="72"/>
  <c r="B1390" i="72"/>
  <c r="B2599" i="72"/>
  <c r="B2805" i="72"/>
  <c r="B2782" i="72"/>
  <c r="B1005" i="72"/>
  <c r="B413" i="72"/>
  <c r="B544" i="72"/>
  <c r="A2860" i="72"/>
  <c r="A2656" i="72"/>
  <c r="B2656" i="72" s="1"/>
  <c r="B543" i="72"/>
  <c r="B427" i="72"/>
  <c r="B724" i="72"/>
  <c r="B1687" i="72"/>
  <c r="B1255" i="72"/>
  <c r="B557" i="72"/>
  <c r="B628" i="72"/>
  <c r="B2015" i="72"/>
  <c r="B2904" i="72"/>
  <c r="A1475" i="72"/>
  <c r="A2405" i="72"/>
  <c r="A1955" i="72"/>
  <c r="A2741" i="72"/>
  <c r="B2929" i="72"/>
  <c r="B440" i="72"/>
  <c r="B2597" i="72"/>
  <c r="B495" i="72"/>
  <c r="B1520" i="72"/>
  <c r="B605" i="72"/>
  <c r="B1821" i="72"/>
  <c r="B608" i="72"/>
  <c r="B1576" i="72"/>
  <c r="B2684" i="72"/>
  <c r="B2073" i="72"/>
  <c r="B2703" i="72"/>
  <c r="B638" i="72"/>
  <c r="B977" i="72"/>
  <c r="A1754" i="72"/>
  <c r="A1864" i="72"/>
  <c r="A1597" i="72"/>
  <c r="B1597" i="72" s="1"/>
  <c r="A2482" i="72"/>
  <c r="B2482" i="72" s="1"/>
  <c r="A2933" i="72"/>
  <c r="B2933" i="72" s="1"/>
  <c r="A2719" i="72"/>
  <c r="B2735" i="72"/>
  <c r="B464" i="72"/>
  <c r="B936" i="72"/>
  <c r="B1438" i="72"/>
  <c r="B2439" i="72"/>
  <c r="B1843" i="72"/>
  <c r="B667" i="72"/>
  <c r="B2600" i="72"/>
  <c r="B2281" i="72"/>
  <c r="B1970" i="72"/>
  <c r="B1426" i="72"/>
  <c r="B2804" i="72"/>
  <c r="B1447" i="72"/>
  <c r="B2993" i="72"/>
  <c r="B2783" i="72"/>
  <c r="B2153" i="72"/>
  <c r="B1336" i="72"/>
  <c r="B2518" i="72"/>
  <c r="A2691" i="72"/>
  <c r="A2724" i="72"/>
  <c r="A2134" i="72"/>
  <c r="A2455" i="72"/>
  <c r="B2304" i="72"/>
  <c r="A2468" i="72"/>
  <c r="B2468" i="72" s="1"/>
  <c r="A1880" i="72"/>
  <c r="B2849" i="72"/>
  <c r="B741" i="72"/>
  <c r="B1505" i="72"/>
  <c r="B398" i="72"/>
  <c r="B2853" i="72"/>
  <c r="B1588" i="72"/>
  <c r="B377" i="72"/>
  <c r="B1860" i="72"/>
  <c r="B2207" i="72"/>
  <c r="B1535" i="72"/>
  <c r="B2051" i="72"/>
  <c r="B2636" i="72"/>
  <c r="B2762" i="72"/>
  <c r="B2995" i="72"/>
  <c r="B646" i="72"/>
  <c r="B699" i="72"/>
  <c r="B2474" i="72"/>
  <c r="B2041" i="72"/>
  <c r="B2624" i="72"/>
  <c r="A994" i="72"/>
  <c r="A2098" i="72"/>
  <c r="B2198" i="72"/>
  <c r="A503" i="72"/>
  <c r="A2113" i="72"/>
  <c r="B2113" i="72" s="1"/>
  <c r="A2810" i="72"/>
  <c r="B2810" i="72" s="1"/>
  <c r="A2254" i="72"/>
  <c r="B2254" i="72" s="1"/>
  <c r="A1594" i="72"/>
  <c r="A1834" i="72"/>
  <c r="B204" i="72"/>
  <c r="A1780" i="72"/>
  <c r="A2446" i="72"/>
  <c r="A2415" i="72"/>
  <c r="A2424" i="72"/>
  <c r="A2251" i="72"/>
  <c r="B2251" i="72" s="1"/>
  <c r="A1674" i="72"/>
  <c r="A2797" i="72"/>
  <c r="B2797" i="72" s="1"/>
  <c r="A2585" i="72"/>
  <c r="A1288" i="72"/>
  <c r="B2649" i="72"/>
  <c r="B2052" i="72"/>
  <c r="B2960" i="72"/>
  <c r="B2760" i="72"/>
  <c r="A2125" i="72"/>
  <c r="B1814" i="72"/>
  <c r="B459" i="72"/>
  <c r="B2768" i="72"/>
  <c r="B1353" i="72"/>
  <c r="A2225" i="72"/>
  <c r="B2225" i="72" s="1"/>
  <c r="A2036" i="72"/>
  <c r="B2036" i="72" s="1"/>
  <c r="B2310" i="72"/>
  <c r="B2674" i="72"/>
  <c r="B622" i="72"/>
  <c r="A2472" i="72"/>
  <c r="A2187" i="72"/>
  <c r="B1915" i="72"/>
  <c r="B540" i="72"/>
  <c r="B1651" i="72"/>
  <c r="B2676" i="72"/>
  <c r="B2714" i="72"/>
  <c r="A2046" i="72"/>
  <c r="B1483" i="72"/>
  <c r="B1403" i="72"/>
  <c r="B1468" i="72"/>
  <c r="A2146" i="72"/>
  <c r="B2399" i="72"/>
  <c r="B2928" i="72"/>
  <c r="B1596" i="72"/>
  <c r="A2672" i="72"/>
  <c r="B2571" i="72"/>
  <c r="B2534" i="72"/>
  <c r="B728" i="72"/>
  <c r="B337" i="72"/>
  <c r="B1762" i="72"/>
  <c r="B541" i="72"/>
  <c r="B2290" i="72"/>
  <c r="A2389" i="72"/>
  <c r="B2389" i="72" s="1"/>
  <c r="B1538" i="72"/>
  <c r="B2419" i="72"/>
  <c r="B1794" i="72"/>
  <c r="B2863" i="72"/>
  <c r="B2202" i="72"/>
  <c r="B2950" i="72"/>
  <c r="B2326" i="72"/>
  <c r="B2429" i="72"/>
  <c r="A1312" i="72"/>
  <c r="B2625" i="72"/>
  <c r="B446" i="72"/>
  <c r="B1875" i="72"/>
  <c r="B1311" i="72"/>
  <c r="B1647" i="72"/>
  <c r="B2722" i="72"/>
  <c r="B2223" i="72"/>
  <c r="B2056" i="72"/>
  <c r="B1733" i="72"/>
  <c r="B1276" i="72"/>
  <c r="B1454" i="72"/>
  <c r="B1431" i="72"/>
  <c r="A2040" i="72"/>
  <c r="A2956" i="72"/>
  <c r="B1673" i="72"/>
  <c r="B2279" i="72"/>
  <c r="B2669" i="72"/>
  <c r="B1456" i="72"/>
  <c r="B1753" i="72"/>
  <c r="B1892" i="72"/>
  <c r="B2340" i="72"/>
  <c r="B2347" i="72"/>
  <c r="B993" i="72"/>
  <c r="B715" i="72"/>
  <c r="B1758" i="72"/>
  <c r="B2934" i="72"/>
  <c r="B1982" i="72"/>
  <c r="B2908" i="72"/>
  <c r="B1587" i="72"/>
  <c r="B560" i="72"/>
  <c r="B2585" i="72"/>
  <c r="B2158" i="72"/>
  <c r="B2221" i="72"/>
  <c r="B1956" i="72"/>
  <c r="B1635" i="72"/>
  <c r="B74" i="72"/>
  <c r="B985" i="72"/>
  <c r="B876" i="72"/>
  <c r="B808" i="72"/>
  <c r="B886" i="72"/>
  <c r="B1541" i="72"/>
  <c r="B179" i="72"/>
  <c r="B136" i="72"/>
  <c r="B2219" i="72"/>
  <c r="B37" i="72"/>
  <c r="B1138" i="72"/>
  <c r="B364" i="72"/>
  <c r="B529" i="72"/>
  <c r="B422" i="72"/>
  <c r="B854" i="72"/>
  <c r="B794" i="72"/>
  <c r="B2255" i="72"/>
  <c r="B1092" i="72"/>
  <c r="B2024" i="72"/>
  <c r="B248" i="72"/>
  <c r="B1280" i="72"/>
  <c r="B1222" i="72"/>
  <c r="B183" i="72"/>
  <c r="B1508" i="72"/>
  <c r="B1195" i="72"/>
  <c r="B1052" i="72"/>
  <c r="B94" i="72"/>
  <c r="B1240" i="72"/>
  <c r="B14" i="72"/>
  <c r="B1063" i="72"/>
  <c r="B279" i="72"/>
  <c r="B1228" i="72"/>
  <c r="B17" i="72"/>
  <c r="B1196" i="72"/>
  <c r="B1244" i="72"/>
  <c r="B1712" i="72"/>
  <c r="B184" i="72"/>
  <c r="B401" i="72"/>
  <c r="B322" i="72"/>
  <c r="B106" i="72"/>
  <c r="B916" i="72"/>
  <c r="B1137" i="72"/>
  <c r="B211" i="72"/>
  <c r="B241" i="72"/>
  <c r="B2185" i="72"/>
  <c r="B1191" i="72"/>
  <c r="B368" i="72"/>
  <c r="B766" i="72"/>
  <c r="B202" i="72"/>
  <c r="B155" i="72"/>
  <c r="B95" i="72"/>
  <c r="B65" i="72"/>
  <c r="B13" i="72"/>
  <c r="B50" i="72"/>
  <c r="B866" i="72"/>
  <c r="B1925" i="72"/>
  <c r="B802" i="72"/>
  <c r="B830" i="72"/>
  <c r="B119" i="72"/>
  <c r="B151" i="72"/>
  <c r="B42" i="72"/>
  <c r="B983" i="72"/>
  <c r="B506" i="72"/>
  <c r="B309" i="72"/>
  <c r="B1200" i="72"/>
  <c r="B914" i="72"/>
  <c r="B143" i="72"/>
  <c r="B91" i="72"/>
  <c r="A2356" i="72"/>
  <c r="B536" i="72"/>
  <c r="A2503" i="72"/>
  <c r="B1386" i="72"/>
  <c r="A1382" i="72"/>
  <c r="B750" i="72"/>
  <c r="B1601" i="72"/>
  <c r="A2572" i="72"/>
  <c r="B2572" i="72" s="1"/>
  <c r="B2367" i="72"/>
  <c r="A1844" i="72"/>
  <c r="B1375" i="72"/>
  <c r="A2695" i="72"/>
  <c r="B2169" i="72"/>
  <c r="B1646" i="72"/>
  <c r="A1257" i="72"/>
  <c r="A898" i="72"/>
  <c r="B2199" i="72"/>
  <c r="B2237" i="72"/>
  <c r="B1840" i="72"/>
  <c r="B80" i="72"/>
  <c r="B263" i="72"/>
  <c r="B277" i="72"/>
  <c r="B332" i="72"/>
  <c r="B126" i="72"/>
  <c r="B1086" i="72"/>
  <c r="B990" i="72"/>
  <c r="B73" i="72"/>
  <c r="B170" i="72"/>
  <c r="B438" i="72"/>
  <c r="B209" i="72"/>
  <c r="A1266" i="72"/>
  <c r="B1266" i="72" s="1"/>
  <c r="A658" i="72"/>
  <c r="B2253" i="72"/>
  <c r="B2761" i="72"/>
  <c r="B2740" i="72"/>
  <c r="B1624" i="72"/>
  <c r="B508" i="72"/>
  <c r="B1415" i="72"/>
  <c r="B2258" i="72"/>
  <c r="B1340" i="72"/>
  <c r="A2354" i="72"/>
  <c r="B1356" i="72"/>
  <c r="A2448" i="72"/>
  <c r="B2602" i="72"/>
  <c r="B2819" i="72"/>
  <c r="B2980" i="72"/>
  <c r="B2421" i="72"/>
  <c r="B1476" i="72"/>
  <c r="B2874" i="72"/>
  <c r="B9" i="72"/>
  <c r="B285" i="72"/>
  <c r="B1713" i="72"/>
  <c r="B113" i="72"/>
  <c r="B1034" i="72"/>
  <c r="B232" i="72"/>
  <c r="B1536" i="72"/>
  <c r="B399" i="72"/>
  <c r="B1544" i="72"/>
  <c r="B1211" i="72"/>
  <c r="A976" i="72"/>
  <c r="B976" i="72" s="1"/>
  <c r="A197" i="72"/>
  <c r="B2058" i="72"/>
  <c r="A2780" i="72"/>
  <c r="B2780" i="72" s="1"/>
  <c r="A1803" i="72"/>
  <c r="B1803" i="72" s="1"/>
  <c r="A1859" i="72"/>
  <c r="B1859" i="72" s="1"/>
  <c r="A1224" i="72"/>
  <c r="A1769" i="72"/>
  <c r="B1769" i="72" s="1"/>
  <c r="A1820" i="72"/>
  <c r="B1820" i="72" s="1"/>
  <c r="A2280" i="72"/>
  <c r="A2884" i="72"/>
  <c r="B2884" i="72" s="1"/>
  <c r="A955" i="72"/>
  <c r="A2121" i="72"/>
  <c r="A2257" i="72"/>
  <c r="B2257" i="72" s="1"/>
  <c r="A2057" i="72"/>
  <c r="B2057" i="72" s="1"/>
  <c r="A2162" i="72"/>
  <c r="B1076" i="72"/>
  <c r="A1757" i="72"/>
  <c r="B1757" i="72" s="1"/>
  <c r="B2565" i="72"/>
  <c r="B2023" i="72"/>
  <c r="A2596" i="72"/>
  <c r="B520" i="72"/>
  <c r="B1790" i="72"/>
  <c r="B2833" i="72"/>
  <c r="A2660" i="72"/>
  <c r="B1049" i="72"/>
  <c r="B599" i="72"/>
  <c r="B507" i="72"/>
  <c r="B1810" i="72"/>
  <c r="B2449" i="72"/>
  <c r="A1718" i="72"/>
  <c r="A932" i="72"/>
  <c r="B2320" i="72"/>
  <c r="B1578" i="72"/>
  <c r="B625" i="72"/>
  <c r="B523" i="72"/>
  <c r="B980" i="72"/>
  <c r="A2022" i="72"/>
  <c r="B1765" i="72"/>
  <c r="B1330" i="72"/>
  <c r="B1582" i="72"/>
  <c r="B2520" i="72"/>
  <c r="A2342" i="72"/>
  <c r="B2342" i="72" s="1"/>
  <c r="B2641" i="72"/>
  <c r="B1455" i="72"/>
  <c r="B1451" i="72"/>
  <c r="A1858" i="72"/>
  <c r="B2154" i="72"/>
  <c r="B2708" i="72"/>
  <c r="B1295" i="72"/>
  <c r="B1509" i="72"/>
  <c r="B1679" i="72"/>
  <c r="B2486" i="72"/>
  <c r="B655" i="72"/>
  <c r="A2186" i="72"/>
  <c r="B2961" i="72"/>
  <c r="A2858" i="72"/>
  <c r="B2764" i="72"/>
  <c r="B979" i="72"/>
  <c r="B2089" i="72"/>
  <c r="B1303" i="72"/>
  <c r="B2544" i="72"/>
  <c r="B2707" i="72"/>
  <c r="B732" i="72"/>
  <c r="B1569" i="72"/>
  <c r="A2765" i="72"/>
  <c r="B2943" i="72"/>
  <c r="B2427" i="72"/>
  <c r="B1800" i="72"/>
  <c r="B1848" i="72"/>
  <c r="B1419" i="72"/>
  <c r="B2405" i="72"/>
  <c r="B2387" i="72"/>
  <c r="B2981" i="72"/>
  <c r="B2188" i="72"/>
  <c r="B2959" i="72"/>
  <c r="B519" i="72"/>
  <c r="B1989" i="72"/>
  <c r="B2187" i="72"/>
  <c r="B1604" i="72"/>
  <c r="A2273" i="72"/>
  <c r="A1684" i="72"/>
  <c r="B2848" i="72"/>
  <c r="B2916" i="72"/>
  <c r="B2333" i="72"/>
  <c r="B1887" i="72"/>
  <c r="B2843" i="72"/>
  <c r="B2778" i="72"/>
  <c r="B2719" i="72"/>
  <c r="B2025" i="72"/>
  <c r="B2610" i="72"/>
  <c r="B2434" i="72"/>
  <c r="B2379" i="72"/>
  <c r="B747" i="72"/>
  <c r="B1345" i="72"/>
  <c r="B1721" i="72"/>
  <c r="B356" i="72"/>
  <c r="B2363" i="72"/>
  <c r="B572" i="72"/>
  <c r="B458" i="72"/>
  <c r="B2743" i="72"/>
  <c r="B1539" i="72"/>
  <c r="B460" i="72"/>
  <c r="B1234" i="72"/>
  <c r="B203" i="72"/>
  <c r="B1725" i="72"/>
  <c r="B225" i="72"/>
  <c r="B173" i="72"/>
  <c r="B501" i="72"/>
  <c r="B1243" i="72"/>
  <c r="B790" i="72"/>
  <c r="B165" i="72"/>
  <c r="B1184" i="72"/>
  <c r="B2212" i="72"/>
  <c r="B775" i="72"/>
  <c r="B796" i="72"/>
  <c r="B1090" i="72"/>
  <c r="B86" i="72"/>
  <c r="B1773" i="72"/>
  <c r="B1718" i="72"/>
  <c r="B334" i="72"/>
  <c r="B1780" i="72"/>
  <c r="B774" i="72"/>
  <c r="B828" i="72"/>
  <c r="B1507" i="72"/>
  <c r="B787" i="72"/>
  <c r="B1118" i="72"/>
  <c r="B856" i="72"/>
  <c r="B481" i="72"/>
  <c r="B974" i="72"/>
  <c r="B195" i="72"/>
  <c r="B2159" i="72"/>
  <c r="B137" i="72"/>
  <c r="B798" i="72"/>
  <c r="B1227" i="72"/>
  <c r="B1188" i="72"/>
  <c r="B1206" i="72"/>
  <c r="B2214" i="72"/>
  <c r="B1634" i="72"/>
  <c r="B201" i="72"/>
  <c r="B999" i="72"/>
  <c r="B175" i="72"/>
  <c r="B888" i="72"/>
  <c r="B1328" i="72"/>
  <c r="A1351" i="72"/>
  <c r="B1351" i="72" s="1"/>
  <c r="B2977" i="72"/>
  <c r="B2713" i="72"/>
  <c r="A1905" i="72"/>
  <c r="B928" i="72"/>
  <c r="B611" i="72"/>
  <c r="B2280" i="72"/>
  <c r="B1939" i="72"/>
  <c r="B2344" i="72"/>
  <c r="B445" i="72"/>
  <c r="B2033" i="72"/>
  <c r="B103" i="72"/>
  <c r="B89" i="72"/>
  <c r="B193" i="72"/>
  <c r="B251" i="72"/>
  <c r="B1190" i="72"/>
  <c r="B1996" i="72"/>
  <c r="B1093" i="72"/>
  <c r="B1746" i="72"/>
  <c r="B1435" i="72"/>
  <c r="A1976" i="72"/>
  <c r="B1048" i="72"/>
  <c r="B597" i="72"/>
  <c r="B2433" i="72"/>
  <c r="B692" i="72"/>
  <c r="A2948" i="72"/>
  <c r="B2948" i="72" s="1"/>
  <c r="B1948" i="72"/>
  <c r="B1916" i="72"/>
  <c r="B2008" i="72"/>
  <c r="A2829" i="72"/>
  <c r="B1491" i="72"/>
  <c r="A1991" i="72"/>
  <c r="B2696" i="72"/>
  <c r="B79" i="72"/>
  <c r="B1362" i="72"/>
  <c r="B87" i="72"/>
  <c r="B1239" i="72"/>
  <c r="B1186" i="72"/>
  <c r="B1874" i="72"/>
  <c r="B846" i="72"/>
  <c r="A117" i="72"/>
  <c r="B117" i="72" s="1"/>
  <c r="A1726" i="72"/>
  <c r="B1726" i="72" s="1"/>
  <c r="A2152" i="72"/>
  <c r="B2152" i="72" s="1"/>
  <c r="B1123" i="72"/>
  <c r="A2142" i="72"/>
  <c r="B2142" i="72" s="1"/>
  <c r="A2493" i="72"/>
  <c r="B2493" i="72" s="1"/>
  <c r="B2043" i="72"/>
  <c r="A1807" i="72"/>
  <c r="B1807" i="72" s="1"/>
  <c r="A1363" i="72"/>
  <c r="B1363" i="72" s="1"/>
  <c r="A2606" i="72"/>
  <c r="B2606" i="72" s="1"/>
  <c r="A1102" i="72"/>
  <c r="A2654" i="72"/>
  <c r="B1091" i="72"/>
  <c r="A858" i="72"/>
  <c r="B858" i="72" s="1"/>
  <c r="A816" i="72"/>
  <c r="B2513" i="72"/>
  <c r="B2446" i="72"/>
  <c r="A2837" i="72"/>
  <c r="B2837" i="72" s="1"/>
  <c r="B2728" i="72"/>
  <c r="B1815" i="72"/>
  <c r="A2824" i="72"/>
  <c r="B2824" i="72" s="1"/>
  <c r="B2049" i="72"/>
  <c r="B2812" i="72"/>
  <c r="B2575" i="72"/>
  <c r="B617" i="72"/>
  <c r="B1302" i="72"/>
  <c r="A2531" i="72"/>
  <c r="B1609" i="72"/>
  <c r="B2179" i="72"/>
  <c r="B2277" i="72"/>
  <c r="B1922" i="72"/>
  <c r="A2832" i="72"/>
  <c r="A2441" i="72"/>
  <c r="B2441" i="72" s="1"/>
  <c r="B1947" i="72"/>
  <c r="B1599" i="72"/>
  <c r="B1514" i="72"/>
  <c r="B1788" i="72"/>
  <c r="B1381" i="72"/>
  <c r="B2505" i="72"/>
  <c r="B2134" i="72"/>
  <c r="B669" i="72"/>
  <c r="B2368" i="72"/>
  <c r="B1453" i="72"/>
  <c r="A1320" i="72"/>
  <c r="B1564" i="72"/>
  <c r="B1906" i="72"/>
  <c r="B2654" i="72"/>
  <c r="A1972" i="72"/>
  <c r="B1972" i="72" s="1"/>
  <c r="B360" i="72"/>
  <c r="B1429" i="72"/>
  <c r="B1923" i="72"/>
  <c r="B1666" i="72"/>
  <c r="B2286" i="72"/>
  <c r="B1080" i="72"/>
  <c r="A2811" i="72"/>
  <c r="B2081" i="72"/>
  <c r="B2155" i="72"/>
  <c r="B707" i="72"/>
  <c r="B1177" i="72"/>
  <c r="B1392" i="72"/>
  <c r="B485" i="72"/>
  <c r="B2526" i="72"/>
  <c r="B680" i="72"/>
  <c r="B736" i="72"/>
  <c r="A2898" i="72"/>
  <c r="B739" i="72"/>
  <c r="B1775" i="72"/>
  <c r="B906" i="72"/>
  <c r="B1835" i="72"/>
  <c r="B477" i="72"/>
  <c r="B546" i="72"/>
  <c r="B1707" i="72"/>
  <c r="B719" i="72"/>
  <c r="B2619" i="72"/>
  <c r="B2222" i="72"/>
  <c r="B2953" i="72"/>
  <c r="B2773" i="72"/>
  <c r="B2550" i="72"/>
  <c r="B1380" i="72"/>
  <c r="A2330" i="72"/>
  <c r="B1532" i="72"/>
  <c r="B1339" i="72"/>
  <c r="B2921" i="72"/>
  <c r="B2896" i="72"/>
  <c r="B2477" i="72"/>
  <c r="B2698" i="72"/>
  <c r="B489" i="72"/>
  <c r="B1027" i="72"/>
  <c r="B567" i="72"/>
  <c r="B1903" i="72"/>
  <c r="B425" i="72"/>
  <c r="B1300" i="72"/>
  <c r="B1594" i="72"/>
  <c r="B2224" i="72"/>
  <c r="B509" i="72"/>
  <c r="B2563" i="72"/>
  <c r="B1010" i="72"/>
  <c r="B1341" i="72"/>
  <c r="A1627" i="72"/>
  <c r="B1627" i="72" s="1"/>
  <c r="B2561" i="72"/>
  <c r="B1683" i="72"/>
  <c r="B1031" i="72"/>
  <c r="B189" i="72"/>
  <c r="B26" i="72"/>
  <c r="B1289" i="72"/>
  <c r="B910" i="72"/>
  <c r="B217" i="72"/>
  <c r="B874" i="72"/>
  <c r="B996" i="72"/>
  <c r="B366" i="72"/>
  <c r="B269" i="72"/>
  <c r="B105" i="72"/>
  <c r="B840" i="72"/>
  <c r="B107" i="72"/>
  <c r="B289" i="72"/>
  <c r="B1977" i="72"/>
  <c r="B161" i="72"/>
  <c r="B271" i="72"/>
  <c r="B1607" i="72"/>
  <c r="B783" i="72"/>
  <c r="B1089" i="72"/>
  <c r="B832" i="72"/>
  <c r="B812" i="72"/>
  <c r="B235" i="72"/>
  <c r="B1084" i="72"/>
  <c r="B1834" i="72"/>
  <c r="B129" i="72"/>
  <c r="B291" i="72"/>
  <c r="B1101" i="72"/>
  <c r="B1088" i="72"/>
  <c r="B154" i="72"/>
  <c r="B1006" i="72"/>
  <c r="B185" i="72"/>
  <c r="B1792" i="72"/>
  <c r="B419" i="72"/>
  <c r="B496" i="72"/>
  <c r="B46" i="72"/>
  <c r="B257" i="72"/>
  <c r="B1136" i="72"/>
  <c r="B1122" i="72"/>
  <c r="B383" i="72"/>
  <c r="B814" i="72"/>
  <c r="B2063" i="72"/>
  <c r="B923" i="72"/>
  <c r="B122" i="72"/>
  <c r="B842" i="72"/>
  <c r="B806" i="72"/>
  <c r="B218" i="72"/>
  <c r="B1152" i="72"/>
  <c r="B822" i="72"/>
  <c r="B102" i="72"/>
  <c r="B1192" i="72"/>
  <c r="B229" i="72"/>
  <c r="B264" i="72"/>
  <c r="B1789" i="72"/>
  <c r="B1019" i="72"/>
  <c r="B1099" i="72"/>
  <c r="B197" i="72"/>
  <c r="B93" i="72"/>
  <c r="B898" i="72"/>
  <c r="B1257" i="72"/>
  <c r="B311" i="72"/>
  <c r="B333" i="72"/>
  <c r="B868" i="72"/>
  <c r="B233" i="72"/>
  <c r="B2149" i="72"/>
  <c r="B53" i="72"/>
  <c r="B405" i="72"/>
  <c r="B462" i="72"/>
  <c r="B860" i="72"/>
  <c r="B49" i="72"/>
  <c r="B804" i="72"/>
  <c r="B125" i="72"/>
  <c r="B83" i="72"/>
  <c r="B82" i="72"/>
  <c r="B818" i="72"/>
  <c r="B2167" i="72"/>
  <c r="B1021" i="72"/>
  <c r="B85" i="72"/>
  <c r="A2094" i="72"/>
  <c r="B930" i="72"/>
  <c r="B2658" i="72"/>
  <c r="B1880" i="72"/>
  <c r="B2542" i="72"/>
  <c r="B562" i="72"/>
  <c r="B2834" i="72"/>
  <c r="B2308" i="72"/>
  <c r="B2643" i="72"/>
  <c r="B484" i="72"/>
  <c r="B1329" i="72"/>
  <c r="B54" i="72"/>
  <c r="B90" i="72"/>
  <c r="B1216" i="72"/>
  <c r="B199" i="72"/>
  <c r="B385" i="72"/>
  <c r="B2130" i="72"/>
  <c r="B1701" i="72"/>
  <c r="B283" i="72"/>
  <c r="B152" i="72"/>
  <c r="B247" i="72"/>
  <c r="B145" i="72"/>
  <c r="A1083" i="72"/>
  <c r="B1083" i="72" s="1"/>
  <c r="A2891" i="72"/>
  <c r="B2891" i="72" s="1"/>
  <c r="A2688" i="72"/>
  <c r="B2688" i="72" s="1"/>
  <c r="A2854" i="72"/>
  <c r="B2854" i="72" s="1"/>
  <c r="B662" i="72"/>
  <c r="B2238" i="72"/>
  <c r="A2502" i="72"/>
  <c r="B2502" i="72" s="1"/>
  <c r="B2821" i="72"/>
  <c r="B565" i="72"/>
  <c r="A2314" i="72"/>
  <c r="B679" i="72"/>
  <c r="B2355" i="72"/>
  <c r="B1023" i="72"/>
  <c r="B2464" i="72"/>
  <c r="B1321" i="72"/>
  <c r="B1489" i="72"/>
  <c r="B2354" i="72"/>
  <c r="B2838" i="72"/>
  <c r="B1549" i="72"/>
  <c r="B1836" i="72"/>
  <c r="B1950" i="72"/>
  <c r="B532" i="72"/>
  <c r="B431" i="72"/>
  <c r="B1865" i="72"/>
  <c r="B2388" i="72"/>
  <c r="B112" i="72"/>
  <c r="B1711" i="72"/>
  <c r="B2121" i="72"/>
  <c r="B498" i="72"/>
  <c r="B223" i="72"/>
  <c r="B186" i="72"/>
  <c r="B492" i="72"/>
  <c r="B1808" i="72"/>
  <c r="B852" i="72"/>
  <c r="B139" i="72"/>
  <c r="B1602" i="72"/>
  <c r="B219" i="72"/>
  <c r="A735" i="72"/>
  <c r="B735" i="72" s="1"/>
  <c r="A1953" i="72"/>
  <c r="B1953" i="72" s="1"/>
  <c r="A2771" i="72"/>
  <c r="A2512" i="72"/>
  <c r="B2512" i="72" s="1"/>
  <c r="A2217" i="72"/>
  <c r="A2899" i="72"/>
  <c r="B2899" i="72" s="1"/>
  <c r="A1826" i="72"/>
  <c r="B1826" i="72" s="1"/>
  <c r="A576" i="72"/>
  <c r="B576" i="72" s="1"/>
  <c r="A1614" i="72"/>
  <c r="B1614" i="72" s="1"/>
  <c r="A2806" i="72"/>
  <c r="B2806" i="72" s="1"/>
  <c r="B845" i="72"/>
  <c r="A2166" i="72"/>
  <c r="B2166" i="72" s="1"/>
  <c r="A2380" i="72"/>
  <c r="B2380" i="72" s="1"/>
  <c r="A2087" i="72"/>
  <c r="B2087" i="72" s="1"/>
  <c r="A1689" i="72"/>
  <c r="B2145" i="72"/>
  <c r="B2234" i="72"/>
  <c r="A2396" i="72"/>
  <c r="B2396" i="72" s="1"/>
  <c r="B2150" i="72"/>
  <c r="B2667" i="72"/>
  <c r="A2262" i="72"/>
  <c r="B2262" i="72" s="1"/>
  <c r="B2757" i="72"/>
  <c r="B2285" i="72"/>
  <c r="B1449" i="72"/>
  <c r="A2965" i="72"/>
  <c r="A2365" i="72"/>
  <c r="B2506" i="72"/>
  <c r="B1942" i="72"/>
  <c r="B2860" i="72"/>
  <c r="B918" i="72"/>
  <c r="A494" i="72"/>
  <c r="A2241" i="72"/>
  <c r="B2504" i="72"/>
  <c r="B1786" i="72"/>
  <c r="B2315" i="72"/>
  <c r="B1674" i="72"/>
  <c r="B2790" i="72"/>
  <c r="B607" i="72"/>
  <c r="B428" i="72"/>
  <c r="B1296" i="72"/>
  <c r="B659" i="72"/>
  <c r="B1338" i="72"/>
  <c r="B2365" i="72"/>
  <c r="B2173" i="72"/>
  <c r="B1096" i="72"/>
  <c r="B1298" i="72"/>
  <c r="A2516" i="72"/>
  <c r="B2343" i="72"/>
  <c r="B432" i="72"/>
  <c r="B2146" i="72"/>
  <c r="B2514" i="72"/>
  <c r="B1422" i="72"/>
  <c r="B456" i="72"/>
  <c r="B1613" i="72"/>
  <c r="B2447" i="72"/>
  <c r="A1113" i="72"/>
  <c r="B2268" i="72"/>
  <c r="B2866" i="72"/>
  <c r="B2771" i="72"/>
  <c r="B2299" i="72"/>
  <c r="B2459" i="72"/>
  <c r="B1772" i="72"/>
  <c r="B2005" i="72"/>
  <c r="B645" i="72"/>
  <c r="B2291" i="72"/>
  <c r="A2528" i="72"/>
  <c r="B2499" i="72"/>
  <c r="B2820" i="72"/>
  <c r="B1703" i="72"/>
  <c r="B2364" i="72"/>
  <c r="B1837" i="72"/>
  <c r="B2356" i="72"/>
  <c r="B2941" i="72"/>
  <c r="A2871" i="72"/>
  <c r="B2871" i="72" s="1"/>
  <c r="B550" i="72"/>
  <c r="B636" i="72"/>
  <c r="B1621" i="72"/>
  <c r="B1445" i="72"/>
  <c r="B1176" i="72"/>
  <c r="B701" i="72"/>
  <c r="A2962" i="72"/>
  <c r="A2846" i="72"/>
  <c r="B2756" i="72"/>
  <c r="B1592" i="72"/>
  <c r="B2879" i="72"/>
  <c r="B932" i="72"/>
  <c r="B2242" i="72"/>
  <c r="B2394" i="72"/>
  <c r="B2168" i="72"/>
  <c r="B1399" i="72"/>
  <c r="B1408" i="72"/>
  <c r="B2687" i="72"/>
  <c r="B2348" i="72"/>
  <c r="B2697" i="72"/>
  <c r="B2452" i="72"/>
  <c r="A2576" i="72"/>
  <c r="B1959" i="72"/>
  <c r="B475" i="72"/>
  <c r="A2509" i="72"/>
  <c r="B2010" i="72"/>
  <c r="B451" i="72"/>
  <c r="B443" i="72"/>
  <c r="B929" i="72"/>
  <c r="B76" i="72"/>
  <c r="B21" i="72"/>
  <c r="B666" i="72"/>
  <c r="B1632" i="72"/>
  <c r="B78" i="72"/>
  <c r="B1207" i="72"/>
  <c r="B1716" i="72"/>
  <c r="B239" i="72"/>
  <c r="B864" i="72"/>
  <c r="B1079" i="72"/>
  <c r="B844" i="72"/>
  <c r="B1159" i="72"/>
  <c r="B1271" i="72"/>
  <c r="B2048" i="72"/>
  <c r="B110" i="72"/>
  <c r="B756" i="72"/>
  <c r="B1046" i="72"/>
  <c r="B838" i="72"/>
  <c r="B18" i="72"/>
  <c r="B287" i="72"/>
  <c r="B45" i="72"/>
  <c r="B147" i="72"/>
  <c r="B281" i="72"/>
  <c r="B908" i="72"/>
  <c r="B1154" i="72"/>
  <c r="B255" i="72"/>
  <c r="B1944" i="72"/>
  <c r="B890" i="72"/>
  <c r="B763" i="72"/>
  <c r="B213" i="72"/>
  <c r="B816" i="72"/>
  <c r="B29" i="72"/>
  <c r="B1722" i="72"/>
  <c r="B1220" i="72"/>
  <c r="B1270" i="72"/>
  <c r="B38" i="72"/>
  <c r="B870" i="72"/>
  <c r="B2060" i="72"/>
  <c r="B848" i="72"/>
  <c r="B499" i="72"/>
  <c r="B6" i="72"/>
  <c r="B153" i="72"/>
  <c r="B71" i="72"/>
  <c r="B872" i="72"/>
  <c r="B884" i="72"/>
  <c r="B237" i="72"/>
  <c r="B1248" i="72"/>
  <c r="B1937" i="72"/>
  <c r="A1659" i="72"/>
  <c r="B1862" i="72"/>
  <c r="B733" i="72"/>
  <c r="B2314" i="72"/>
  <c r="B1572" i="72"/>
  <c r="A1793" i="72"/>
  <c r="B585" i="72"/>
  <c r="B1659" i="72"/>
  <c r="B2402" i="72"/>
  <c r="B400" i="72"/>
  <c r="B2831" i="72"/>
  <c r="B1778" i="72"/>
  <c r="B1656" i="72"/>
  <c r="B2092" i="72"/>
  <c r="B1202" i="72"/>
  <c r="B1236" i="72"/>
  <c r="B324" i="72"/>
  <c r="B1928" i="72"/>
  <c r="B1238" i="72"/>
  <c r="B1730" i="72"/>
  <c r="B1039" i="72"/>
  <c r="B141" i="72"/>
  <c r="B2069" i="72"/>
  <c r="B1625" i="72"/>
  <c r="A1486" i="72"/>
  <c r="B1486" i="72" s="1"/>
  <c r="A2470" i="72"/>
  <c r="B2470" i="72" s="1"/>
  <c r="A2412" i="72"/>
  <c r="B2412" i="72" s="1"/>
  <c r="B2579" i="72"/>
  <c r="B1871" i="72"/>
  <c r="B1563" i="72"/>
  <c r="B2951" i="72"/>
  <c r="B2623" i="72"/>
  <c r="A1346" i="72"/>
  <c r="B1346" i="72" s="1"/>
  <c r="B351" i="72"/>
  <c r="B2432" i="72"/>
  <c r="B1980" i="72"/>
  <c r="B2660" i="72"/>
  <c r="B2401" i="72"/>
  <c r="B2220" i="72"/>
  <c r="B2454" i="72"/>
  <c r="B2939" i="72"/>
  <c r="B528" i="72"/>
  <c r="B2968" i="72"/>
  <c r="B1644" i="72"/>
  <c r="B1224" i="72"/>
  <c r="B381" i="72"/>
  <c r="B101" i="72"/>
  <c r="B467" i="72"/>
  <c r="B1618" i="72"/>
  <c r="B1072" i="72"/>
  <c r="B114" i="72"/>
  <c r="B896" i="72"/>
  <c r="B335" i="72"/>
  <c r="A1591" i="72"/>
  <c r="B1591" i="72" s="1"/>
  <c r="B865" i="72"/>
  <c r="A1037" i="72"/>
  <c r="A1732" i="72"/>
  <c r="B1732" i="72" s="1"/>
  <c r="A389" i="72"/>
  <c r="A1935" i="72"/>
  <c r="B1935" i="72" s="1"/>
  <c r="A2802" i="72"/>
  <c r="B2802" i="72" s="1"/>
  <c r="B1057" i="72"/>
  <c r="A1911" i="72"/>
  <c r="B1911" i="72" s="1"/>
  <c r="A2582" i="72"/>
  <c r="B2582" i="72" s="1"/>
  <c r="A2213" i="72"/>
  <c r="B2213" i="72" s="1"/>
  <c r="A2895" i="72"/>
  <c r="B2895" i="72" s="1"/>
  <c r="A2334" i="72"/>
  <c r="B2334" i="72" s="1"/>
  <c r="A2376" i="72"/>
  <c r="A1590" i="72"/>
  <c r="B1590" i="72" s="1"/>
  <c r="B2331" i="72"/>
  <c r="B697" i="72"/>
  <c r="A1849" i="72"/>
  <c r="B1849" i="72" s="1"/>
  <c r="B2386" i="72"/>
  <c r="B1879" i="72"/>
  <c r="A2850" i="72"/>
  <c r="B2850" i="72" s="1"/>
  <c r="B1615" i="72"/>
  <c r="B1275" i="72"/>
  <c r="B2809" i="72"/>
  <c r="B2836" i="72"/>
  <c r="B1173" i="72"/>
  <c r="B2587" i="72"/>
  <c r="B1519" i="72"/>
  <c r="B2044" i="72"/>
  <c r="B2256" i="72"/>
  <c r="B2799" i="72"/>
  <c r="A2554" i="72"/>
  <c r="A1663" i="72"/>
  <c r="B327" i="72"/>
  <c r="B1907" i="72"/>
  <c r="B1324" i="72"/>
  <c r="B2458" i="72"/>
  <c r="B2555" i="72"/>
  <c r="B681" i="72"/>
  <c r="B925" i="72"/>
  <c r="B2779" i="72"/>
  <c r="B569" i="72"/>
  <c r="B2180" i="72"/>
  <c r="B1098" i="72"/>
  <c r="A2558" i="72"/>
  <c r="B2801" i="72"/>
  <c r="B2888" i="72"/>
  <c r="A2605" i="72"/>
  <c r="B2605" i="72" s="1"/>
  <c r="B2471" i="72"/>
  <c r="B1805" i="72"/>
  <c r="B2578" i="72"/>
  <c r="B2596" i="72"/>
  <c r="B2366" i="72"/>
  <c r="B2573" i="72"/>
  <c r="B1619" i="72"/>
  <c r="B2415" i="72"/>
  <c r="A1368" i="72"/>
  <c r="B2880" i="72"/>
  <c r="B2906" i="72"/>
  <c r="B2750" i="72"/>
  <c r="B1552" i="72"/>
  <c r="B1691" i="72"/>
  <c r="B568" i="72"/>
  <c r="A2054" i="72"/>
  <c r="B1374" i="72"/>
  <c r="B2533" i="72"/>
  <c r="A2731" i="72"/>
  <c r="B2324" i="72"/>
  <c r="B558" i="72"/>
  <c r="B2351" i="72"/>
  <c r="B2894" i="72"/>
  <c r="B2629" i="72"/>
  <c r="B2875" i="72"/>
  <c r="B1444" i="72"/>
  <c r="A2397" i="72"/>
  <c r="B2911" i="72"/>
  <c r="B687" i="72"/>
  <c r="B502" i="72"/>
  <c r="B2370" i="72"/>
  <c r="B584" i="72"/>
  <c r="B1641" i="72"/>
  <c r="A2909" i="72"/>
  <c r="B2940" i="72"/>
  <c r="B2200" i="72"/>
  <c r="B2784" i="72"/>
  <c r="B660" i="72"/>
  <c r="B1799" i="72"/>
  <c r="B1951" i="72"/>
  <c r="B2317" i="72"/>
  <c r="B1671" i="72"/>
  <c r="B338" i="72"/>
  <c r="B2952" i="72"/>
  <c r="B571" i="72"/>
  <c r="B2260" i="72"/>
  <c r="B1983" i="72"/>
  <c r="B729" i="72"/>
  <c r="A168" i="72"/>
  <c r="B168" i="72" s="1"/>
  <c r="B542" i="72"/>
  <c r="B2776" i="72"/>
  <c r="A2282" i="72"/>
  <c r="B1664" i="72"/>
  <c r="B2898" i="72"/>
  <c r="B1008" i="72"/>
  <c r="B2115" i="72"/>
  <c r="B250" i="72"/>
  <c r="B504" i="72"/>
  <c r="B2042" i="72"/>
  <c r="B221" i="72"/>
  <c r="B2004" i="72"/>
  <c r="B171" i="72"/>
  <c r="B1094" i="72"/>
  <c r="B245" i="72"/>
  <c r="B99" i="72"/>
  <c r="B1723" i="72"/>
  <c r="B1077" i="72"/>
  <c r="B267" i="72"/>
  <c r="B62" i="72"/>
  <c r="B1583" i="72"/>
  <c r="B1250" i="72"/>
  <c r="B265" i="72"/>
  <c r="B601" i="72"/>
  <c r="B882" i="72"/>
  <c r="B1232" i="72"/>
  <c r="B30" i="72"/>
  <c r="B231" i="72"/>
  <c r="B439" i="72"/>
  <c r="B1260" i="72"/>
  <c r="B249" i="72"/>
  <c r="B441" i="72"/>
  <c r="B978" i="72"/>
  <c r="B215" i="72"/>
  <c r="B826" i="72"/>
  <c r="B2284" i="72"/>
  <c r="B1708" i="72"/>
  <c r="B243" i="72"/>
  <c r="B1580" i="72"/>
  <c r="B33" i="72"/>
  <c r="B253" i="72"/>
  <c r="B118" i="72"/>
  <c r="B810" i="72"/>
  <c r="B767" i="72"/>
  <c r="B901" i="72"/>
  <c r="B187" i="72"/>
  <c r="B779" i="72"/>
  <c r="B58" i="72"/>
  <c r="B1992" i="72"/>
  <c r="A894" i="72"/>
  <c r="B894" i="72" s="1"/>
  <c r="B384" i="72"/>
  <c r="B2026" i="72"/>
  <c r="B1487" i="72"/>
  <c r="A2292" i="72"/>
  <c r="B2292" i="72" s="1"/>
  <c r="B690" i="72"/>
  <c r="B684" i="72"/>
  <c r="B678" i="72"/>
  <c r="A2488" i="72"/>
  <c r="A2869" i="72"/>
  <c r="B2738" i="72"/>
  <c r="A1660" i="72"/>
  <c r="B2890" i="72"/>
  <c r="B22" i="72"/>
  <c r="B1626" i="72"/>
  <c r="B127" i="72"/>
  <c r="B2017" i="72"/>
  <c r="B2000" i="72"/>
  <c r="B834" i="72"/>
  <c r="B261" i="72"/>
  <c r="A2522" i="72"/>
  <c r="B2522" i="72" s="1"/>
  <c r="B2551" i="72"/>
  <c r="B731" i="72"/>
  <c r="B671" i="72"/>
  <c r="B1760" i="72"/>
  <c r="B123" i="72"/>
  <c r="B792" i="72"/>
  <c r="B2274" i="72"/>
  <c r="B227" i="72"/>
  <c r="B200" i="72"/>
  <c r="B97" i="72"/>
  <c r="B159" i="72"/>
  <c r="A1376" i="72"/>
  <c r="B1376" i="72" s="1"/>
  <c r="B797" i="72"/>
  <c r="A580" i="72"/>
  <c r="A1109" i="72"/>
  <c r="B1109" i="72" s="1"/>
  <c r="A452" i="72"/>
  <c r="B452" i="72" s="1"/>
  <c r="A2139" i="72"/>
  <c r="A2546" i="72"/>
  <c r="B2546" i="72" s="1"/>
  <c r="A1269" i="72"/>
  <c r="A2536" i="72"/>
  <c r="B2536" i="72" s="1"/>
  <c r="A1731" i="72"/>
  <c r="B1731" i="72" s="1"/>
  <c r="A2682" i="72"/>
  <c r="B2682" i="72" s="1"/>
  <c r="A2726" i="72"/>
  <c r="B2726" i="72" s="1"/>
  <c r="A1774" i="72"/>
  <c r="B1774" i="72" s="1"/>
  <c r="A2111" i="72"/>
  <c r="B2111" i="72" s="1"/>
  <c r="A2416" i="72"/>
  <c r="B2416" i="72" s="1"/>
  <c r="B2577" i="72"/>
  <c r="B2786" i="72"/>
  <c r="A2203" i="72"/>
  <c r="B2203" i="72" s="1"/>
  <c r="B1579" i="72"/>
  <c r="B1307" i="72"/>
  <c r="A2992" i="72"/>
  <c r="B2992" i="72" s="1"/>
  <c r="B518" i="72"/>
  <c r="B685" i="72"/>
  <c r="B2460" i="72"/>
  <c r="B1157" i="72"/>
  <c r="A2390" i="72"/>
  <c r="B2390" i="72" s="1"/>
  <c r="B1830" i="72"/>
  <c r="B2900" i="72"/>
  <c r="B1316" i="72"/>
  <c r="B1500" i="72"/>
  <c r="B2574" i="72"/>
  <c r="A2525" i="72"/>
  <c r="B2184" i="72"/>
  <c r="B2813" i="72"/>
  <c r="B2247" i="72"/>
  <c r="B2129" i="72"/>
  <c r="B2547" i="72"/>
  <c r="B1139" i="72"/>
  <c r="B1779" i="72"/>
  <c r="B1516" i="72"/>
  <c r="B587" i="72"/>
  <c r="B1397" i="72"/>
  <c r="B2901" i="72"/>
  <c r="B651" i="72"/>
  <c r="A2227" i="72"/>
  <c r="A1373" i="72"/>
  <c r="B1373" i="72" s="1"/>
  <c r="B547" i="72"/>
  <c r="A2922" i="72"/>
  <c r="B1751" i="72"/>
  <c r="B2815" i="72"/>
  <c r="B3001" i="72"/>
  <c r="B2907" i="72"/>
  <c r="B2634" i="72"/>
  <c r="B2408" i="72"/>
  <c r="B2845" i="72"/>
  <c r="B2424" i="72"/>
  <c r="A2463" i="72"/>
  <c r="B1488" i="72"/>
  <c r="B2652" i="72"/>
  <c r="B2965" i="72"/>
  <c r="B1622" i="72"/>
  <c r="B2998" i="72"/>
  <c r="B2937" i="72"/>
  <c r="B1745" i="72"/>
  <c r="B1653" i="72"/>
  <c r="B1847" i="72"/>
  <c r="A2729" i="72"/>
  <c r="B1383" i="72"/>
  <c r="B454" i="72"/>
  <c r="B2106" i="72"/>
  <c r="B2651" i="72"/>
  <c r="B2485" i="72"/>
  <c r="B2031" i="72"/>
  <c r="B640" i="72"/>
  <c r="A2973" i="72"/>
  <c r="B564" i="72"/>
  <c r="A1531" i="72"/>
  <c r="B2681" i="72"/>
  <c r="A1143" i="72"/>
  <c r="B630" i="72"/>
  <c r="A1286" i="72"/>
  <c r="B1286" i="72" s="1"/>
  <c r="A643" i="72"/>
  <c r="B2160" i="72"/>
  <c r="B402" i="72"/>
  <c r="B603" i="72"/>
  <c r="B2859" i="72"/>
  <c r="B2914" i="72"/>
  <c r="B393" i="72"/>
  <c r="B1672" i="72"/>
  <c r="B1686" i="72"/>
  <c r="B1844" i="72"/>
  <c r="B637" i="72"/>
  <c r="B2946" i="72"/>
  <c r="B1371" i="72"/>
  <c r="A1749" i="72"/>
  <c r="B2617" i="72"/>
  <c r="B2360" i="72"/>
  <c r="A1838" i="72"/>
  <c r="B2858" i="72"/>
  <c r="B1332" i="72"/>
  <c r="B2480" i="72"/>
  <c r="B2727" i="72"/>
  <c r="B1013" i="72"/>
  <c r="B234" i="72"/>
  <c r="B282" i="72"/>
  <c r="B344" i="72"/>
  <c r="B1037" i="72"/>
  <c r="B1261" i="72"/>
  <c r="B768" i="72"/>
  <c r="B583" i="72"/>
  <c r="B266" i="72"/>
  <c r="B2095" i="72"/>
  <c r="B800" i="72"/>
  <c r="B771" i="72"/>
  <c r="B207" i="72"/>
  <c r="B1035" i="72"/>
  <c r="B892" i="72"/>
  <c r="B995" i="72"/>
  <c r="B69" i="72"/>
  <c r="B280" i="72"/>
  <c r="B880" i="72"/>
  <c r="B355" i="72"/>
  <c r="B1212" i="72"/>
  <c r="B109" i="72"/>
  <c r="B1166" i="72"/>
  <c r="B824" i="72"/>
  <c r="B1218" i="72"/>
  <c r="B410" i="72"/>
  <c r="B346" i="72"/>
  <c r="B259" i="72"/>
  <c r="B474" i="72"/>
  <c r="B1763" i="72"/>
  <c r="B131" i="72"/>
  <c r="B2243" i="72"/>
  <c r="B77" i="72"/>
  <c r="B1033" i="72"/>
  <c r="B1612" i="72"/>
  <c r="B836" i="72"/>
  <c r="B2245" i="72"/>
  <c r="B98" i="72"/>
  <c r="B2065" i="72"/>
  <c r="B521" i="72"/>
  <c r="B75" i="72"/>
  <c r="B138" i="72"/>
  <c r="B1288" i="72"/>
  <c r="B177" i="72"/>
  <c r="B10" i="72"/>
  <c r="B1204" i="72"/>
  <c r="B34" i="72"/>
  <c r="B111" i="72"/>
  <c r="B108" i="72"/>
  <c r="B782" i="72"/>
  <c r="B25" i="72"/>
  <c r="B70" i="72"/>
  <c r="B66" i="72"/>
  <c r="B133" i="72"/>
  <c r="B350" i="72"/>
  <c r="B820" i="72"/>
  <c r="B331" i="72"/>
  <c r="B465" i="72"/>
  <c r="B1676" i="72"/>
  <c r="A1736" i="72"/>
  <c r="B1736" i="72" s="1"/>
  <c r="A1162" i="72"/>
  <c r="A714" i="72"/>
  <c r="B714" i="72" s="1"/>
  <c r="A2381" i="72"/>
  <c r="B2381" i="72" s="1"/>
  <c r="A1782" i="72"/>
  <c r="B1782" i="72" s="1"/>
  <c r="A2027" i="72"/>
  <c r="B2027" i="72" s="1"/>
  <c r="B442" i="72"/>
  <c r="A2781" i="72"/>
  <c r="B2781" i="72" s="1"/>
  <c r="A2954" i="72"/>
  <c r="B2954" i="72" s="1"/>
  <c r="A1995" i="72"/>
  <c r="B1878" i="72"/>
  <c r="B2071" i="72"/>
  <c r="B2059" i="72"/>
  <c r="B500" i="72"/>
  <c r="B2156" i="72"/>
  <c r="B1949" i="72"/>
  <c r="A1918" i="72"/>
  <c r="B1918" i="72" s="1"/>
  <c r="B1306" i="72"/>
  <c r="A2723" i="72"/>
  <c r="B2723" i="72" s="1"/>
  <c r="B1852" i="72"/>
  <c r="B1546" i="72"/>
  <c r="B2136" i="72"/>
  <c r="B2217" i="72"/>
  <c r="B1510" i="72"/>
  <c r="B2472" i="72"/>
  <c r="B408" i="72"/>
  <c r="B1888" i="72"/>
  <c r="B2321" i="72"/>
  <c r="B2913" i="72"/>
  <c r="B2905" i="72"/>
  <c r="B641" i="72"/>
  <c r="A2584" i="72"/>
  <c r="B2615" i="72"/>
  <c r="B163" i="72"/>
  <c r="B469" i="72"/>
  <c r="B275" i="72"/>
  <c r="B487" i="72"/>
  <c r="B379" i="72"/>
  <c r="B2341" i="72"/>
  <c r="B81" i="72"/>
  <c r="B912" i="72"/>
  <c r="B273" i="72"/>
  <c r="B436" i="72"/>
  <c r="B878" i="72"/>
  <c r="A2140" i="72"/>
  <c r="B2140" i="72" s="1"/>
  <c r="A2099" i="72"/>
  <c r="B2099" i="72" s="1"/>
  <c r="A1441" i="72"/>
  <c r="B1441" i="72" s="1"/>
  <c r="B1292" i="72"/>
  <c r="B352" i="72"/>
  <c r="B2882" i="72"/>
  <c r="A2487" i="72"/>
  <c r="B2487" i="72" s="1"/>
  <c r="B2856" i="72"/>
  <c r="B328" i="72"/>
  <c r="A2191" i="72"/>
  <c r="B2191" i="72" s="1"/>
  <c r="B2742" i="72"/>
  <c r="B2646" i="72"/>
  <c r="B2715" i="72"/>
  <c r="B2084" i="72"/>
  <c r="B1738" i="72"/>
  <c r="B592" i="72"/>
  <c r="A2747" i="72"/>
  <c r="B531" i="72"/>
  <c r="B1469" i="72"/>
  <c r="B2731" i="72"/>
  <c r="B121" i="72"/>
  <c r="B216" i="72"/>
  <c r="B329" i="72"/>
  <c r="B862" i="72"/>
  <c r="B1930" i="72"/>
  <c r="B981" i="72"/>
  <c r="B2091" i="72"/>
  <c r="B1540" i="72"/>
  <c r="B41" i="72"/>
  <c r="B57" i="72"/>
  <c r="B326" i="72"/>
  <c r="B643" i="72"/>
  <c r="B1896" i="72"/>
  <c r="B1011" i="72"/>
  <c r="B224" i="72"/>
  <c r="B1180" i="72"/>
  <c r="B1174" i="72"/>
  <c r="B1692" i="72"/>
  <c r="B1783" i="72"/>
  <c r="B2469" i="72"/>
  <c r="B1130" i="72"/>
  <c r="B961" i="72"/>
  <c r="B939" i="72"/>
  <c r="B295" i="72"/>
  <c r="B968" i="72"/>
  <c r="B32" i="72"/>
  <c r="B444" i="72"/>
  <c r="B433" i="72"/>
  <c r="B1755" i="72"/>
  <c r="B96" i="72"/>
  <c r="B254" i="72"/>
  <c r="B963" i="72"/>
  <c r="B1957" i="72"/>
  <c r="B793" i="72"/>
  <c r="B1235" i="72"/>
  <c r="B803" i="72"/>
  <c r="B2035" i="72"/>
  <c r="B397" i="72"/>
  <c r="B158" i="72"/>
  <c r="B1314" i="72"/>
  <c r="B2162" i="72"/>
  <c r="B1963" i="72"/>
  <c r="B582" i="72"/>
  <c r="B755" i="72"/>
  <c r="B317" i="72"/>
  <c r="B1861" i="72"/>
  <c r="B1637" i="72"/>
  <c r="B1140" i="72"/>
  <c r="B959" i="72"/>
  <c r="B319" i="72"/>
  <c r="B1143" i="72"/>
  <c r="B1926" i="72"/>
  <c r="B1105" i="72"/>
  <c r="B178" i="72"/>
  <c r="B1521" i="72"/>
  <c r="B294" i="72"/>
  <c r="B104" i="72"/>
  <c r="B220" i="72"/>
  <c r="B156" i="72"/>
  <c r="B1748" i="72"/>
  <c r="B1117" i="72"/>
  <c r="B2127" i="72"/>
  <c r="B1974" i="72"/>
  <c r="B577" i="72"/>
  <c r="B1927" i="72"/>
  <c r="B35" i="72"/>
  <c r="B1312" i="72"/>
  <c r="B1116" i="72"/>
  <c r="B323" i="72"/>
  <c r="B1895" i="72"/>
  <c r="B1107" i="72"/>
  <c r="B1233" i="72"/>
  <c r="B2003" i="72"/>
  <c r="B52" i="72"/>
  <c r="B1133" i="72"/>
  <c r="B1058" i="72"/>
  <c r="B1793" i="72"/>
  <c r="B56" i="72"/>
  <c r="B2077" i="72"/>
  <c r="B887" i="72"/>
  <c r="B483" i="72"/>
  <c r="B1075" i="72"/>
  <c r="B823" i="72"/>
  <c r="B4" i="72"/>
  <c r="B1100" i="72"/>
  <c r="B964" i="72"/>
  <c r="B1193" i="72"/>
  <c r="B1936" i="72"/>
  <c r="B2105" i="72"/>
  <c r="B479" i="72"/>
  <c r="B1171" i="72"/>
  <c r="B1899" i="72"/>
  <c r="B2079" i="72"/>
  <c r="B272" i="72"/>
  <c r="B196" i="72"/>
  <c r="B482" i="72"/>
  <c r="B406" i="72"/>
  <c r="B994" i="72"/>
  <c r="B785" i="72"/>
  <c r="B1198" i="72"/>
  <c r="B1246" i="72"/>
  <c r="B345" i="72"/>
  <c r="B92" i="72"/>
  <c r="B773" i="72"/>
  <c r="B989" i="72"/>
  <c r="B2109" i="72"/>
  <c r="B252" i="72"/>
  <c r="B956" i="72"/>
  <c r="B2098" i="72"/>
  <c r="B1909" i="72"/>
  <c r="B284" i="72"/>
  <c r="B1727" i="72"/>
  <c r="B1134" i="72"/>
  <c r="B244" i="72"/>
  <c r="B288" i="72"/>
  <c r="B417" i="72"/>
  <c r="B973" i="72"/>
  <c r="B589" i="72"/>
  <c r="B1078" i="72"/>
  <c r="B754" i="72"/>
  <c r="B940" i="72"/>
  <c r="B388" i="72"/>
  <c r="B2078" i="72"/>
  <c r="B933" i="72"/>
  <c r="B658" i="72"/>
  <c r="B426" i="72"/>
  <c r="B341" i="72"/>
  <c r="B753" i="72"/>
  <c r="B1943" i="72"/>
  <c r="B1962" i="72"/>
  <c r="B825" i="72"/>
  <c r="B871" i="72"/>
  <c r="B144" i="72"/>
  <c r="B2235" i="72"/>
  <c r="B1145" i="72"/>
  <c r="B1113" i="72"/>
  <c r="B299" i="72"/>
  <c r="B1652" i="72"/>
  <c r="B1739" i="72"/>
  <c r="B372" i="72"/>
  <c r="B12" i="72"/>
  <c r="B1845" i="72"/>
  <c r="B2580" i="72"/>
  <c r="B1197" i="72"/>
  <c r="B788" i="72"/>
  <c r="B72" i="72"/>
  <c r="B2032" i="72"/>
  <c r="B1120" i="72"/>
  <c r="B837" i="72"/>
  <c r="B2289" i="72"/>
  <c r="B391" i="72"/>
  <c r="B2022" i="72"/>
  <c r="B1203" i="72"/>
  <c r="B1067" i="72"/>
  <c r="B1912" i="72"/>
  <c r="B494" i="72"/>
  <c r="B1241" i="72"/>
  <c r="B726" i="72"/>
  <c r="B855" i="72"/>
  <c r="B1795" i="72"/>
  <c r="B164" i="72"/>
  <c r="B373" i="72"/>
  <c r="B1976" i="72"/>
  <c r="B2120" i="72"/>
  <c r="B1804" i="72"/>
  <c r="B1032" i="72"/>
  <c r="B533" i="72"/>
  <c r="B172" i="72"/>
  <c r="B146" i="72"/>
  <c r="B952" i="72"/>
  <c r="B1557" i="72"/>
  <c r="B941" i="72"/>
  <c r="B1229" i="72"/>
  <c r="B315" i="72"/>
  <c r="B2016" i="72"/>
  <c r="B1182" i="72"/>
  <c r="B1210" i="72"/>
  <c r="B2104" i="72"/>
  <c r="B449" i="72"/>
  <c r="B1054" i="72"/>
  <c r="B1087" i="72"/>
  <c r="B19" i="72"/>
  <c r="B84" i="72"/>
  <c r="B2108" i="72"/>
  <c r="B935" i="72"/>
  <c r="B375" i="72"/>
  <c r="B1979" i="72"/>
  <c r="B2107" i="72"/>
  <c r="B160" i="72"/>
  <c r="B2175" i="72"/>
  <c r="B1095" i="72"/>
  <c r="B955" i="72"/>
  <c r="B922" i="72"/>
  <c r="B148" i="72"/>
  <c r="B236" i="72"/>
  <c r="B1934" i="72"/>
  <c r="B2102" i="72"/>
  <c r="B486" i="72"/>
  <c r="B162" i="72"/>
  <c r="B2053" i="72"/>
  <c r="B807" i="72"/>
  <c r="B2558" i="72"/>
  <c r="B2006" i="72"/>
  <c r="B206" i="72"/>
  <c r="B39" i="72"/>
  <c r="B447" i="72"/>
  <c r="B764" i="72"/>
  <c r="B841" i="72"/>
  <c r="B290" i="72"/>
  <c r="B1214" i="72"/>
  <c r="B765" i="72"/>
  <c r="B1262" i="72"/>
  <c r="B511" i="72"/>
  <c r="B904" i="72"/>
  <c r="B473" i="72"/>
  <c r="B549" i="72"/>
  <c r="B2227" i="72"/>
  <c r="B1985" i="72"/>
  <c r="B1181" i="72"/>
  <c r="B1164" i="72"/>
  <c r="B2151" i="72"/>
  <c r="B1734" i="72"/>
  <c r="B258" i="72"/>
  <c r="B330" i="72"/>
  <c r="B7" i="72"/>
  <c r="B298" i="72"/>
  <c r="B1941" i="72"/>
  <c r="B1242" i="72"/>
  <c r="B1768" i="72"/>
  <c r="B1162" i="72"/>
  <c r="B1247" i="72"/>
  <c r="B905" i="72"/>
  <c r="B198" i="72"/>
  <c r="B51" i="72"/>
  <c r="B580" i="72"/>
  <c r="B1955" i="72"/>
  <c r="B727" i="72"/>
  <c r="B318" i="72"/>
  <c r="B2094" i="72"/>
  <c r="B1043" i="72"/>
  <c r="B1251" i="72"/>
  <c r="B2409" i="72"/>
  <c r="B530" i="72"/>
  <c r="B938" i="72"/>
  <c r="B946" i="72"/>
  <c r="B2456" i="72"/>
  <c r="B859" i="72"/>
  <c r="B2002" i="72"/>
  <c r="B297" i="72"/>
  <c r="B503" i="72"/>
  <c r="B1958" i="72"/>
  <c r="B1148" i="72"/>
  <c r="B1689" i="72"/>
  <c r="B389" i="72"/>
  <c r="B453" i="72"/>
  <c r="B365" i="72"/>
  <c r="B1812" i="72"/>
  <c r="B537" i="72"/>
  <c r="B2068" i="72"/>
  <c r="B947" i="72"/>
  <c r="B1724" i="72"/>
  <c r="B1343" i="72"/>
  <c r="B902" i="72"/>
  <c r="B867" i="72"/>
  <c r="B791" i="72"/>
  <c r="B945" i="72"/>
  <c r="B142" i="72"/>
  <c r="B180" i="72"/>
  <c r="B917" i="72"/>
  <c r="B1253" i="72"/>
  <c r="B20" i="72"/>
  <c r="B709" i="72"/>
  <c r="B2316" i="72"/>
  <c r="B2264" i="72"/>
  <c r="B270" i="72"/>
  <c r="B579" i="72"/>
  <c r="B1817" i="72"/>
  <c r="B1842" i="72"/>
  <c r="B1617" i="72"/>
  <c r="B1170" i="72"/>
  <c r="B2302" i="72"/>
  <c r="B2229" i="72"/>
  <c r="B2233" i="72"/>
  <c r="B348" i="72"/>
  <c r="B966" i="72"/>
  <c r="B2141" i="72"/>
  <c r="B1258" i="72"/>
  <c r="B548" i="72"/>
  <c r="B1991" i="72"/>
  <c r="B2096" i="72"/>
  <c r="B1277" i="72"/>
  <c r="B262" i="72"/>
  <c r="B1165" i="72"/>
  <c r="B1952" i="72"/>
  <c r="B1523" i="72"/>
  <c r="B361" i="72"/>
  <c r="B835" i="72"/>
  <c r="B795" i="72"/>
  <c r="B1534" i="72"/>
  <c r="B2021" i="72"/>
  <c r="B851" i="72"/>
  <c r="B629" i="72"/>
  <c r="B1081" i="72"/>
  <c r="B343" i="72"/>
  <c r="B1851" i="72"/>
  <c r="B1199" i="72"/>
  <c r="G30" i="66" l="1"/>
  <c r="G35" i="66"/>
  <c r="G31" i="66"/>
  <c r="G32" i="66"/>
  <c r="G33" i="66"/>
  <c r="G34" i="66"/>
  <c r="C11" i="83"/>
  <c r="B10" i="83"/>
  <c r="A2" i="79"/>
  <c r="A2" i="80"/>
  <c r="A2" i="81"/>
  <c r="A2" i="82"/>
  <c r="A2" i="83"/>
  <c r="E33" i="79"/>
  <c r="E36" i="79"/>
  <c r="E44" i="79" s="1"/>
  <c r="E48" i="79" s="1"/>
  <c r="E152" i="70" s="1"/>
  <c r="C33" i="79"/>
  <c r="D29" i="79"/>
  <c r="B2747" i="72"/>
  <c r="B2463" i="72"/>
  <c r="B2282" i="72"/>
  <c r="B2509" i="72"/>
  <c r="B2811" i="72"/>
  <c r="B2273" i="72"/>
  <c r="B2956" i="72"/>
  <c r="B1864" i="72"/>
  <c r="B1305" i="72"/>
  <c r="B2690" i="72"/>
  <c r="B256" i="72"/>
  <c r="B1387" i="72"/>
  <c r="B1440" i="72"/>
  <c r="B2984" i="72"/>
  <c r="B2692" i="72"/>
  <c r="B1372" i="72"/>
  <c r="B2613" i="72"/>
  <c r="B2171" i="72"/>
  <c r="B116" i="72"/>
  <c r="B246" i="72"/>
  <c r="B2072" i="72"/>
  <c r="B1883" i="72"/>
  <c r="B2734" i="72"/>
  <c r="B1556" i="72"/>
  <c r="B1806" i="72"/>
  <c r="B409" i="72"/>
  <c r="B43" i="72"/>
  <c r="B786" i="72"/>
  <c r="B1064" i="72"/>
  <c r="B1042" i="72"/>
  <c r="B150" i="72"/>
  <c r="B602" i="72"/>
  <c r="B1151" i="72"/>
  <c r="B11" i="72"/>
  <c r="B374" i="72"/>
  <c r="B831" i="72"/>
  <c r="B1041" i="72"/>
  <c r="B132" i="72"/>
  <c r="B2584" i="72"/>
  <c r="B2922" i="72"/>
  <c r="B2909" i="72"/>
  <c r="B2576" i="72"/>
  <c r="B1320" i="72"/>
  <c r="B2765" i="72"/>
  <c r="B2040" i="72"/>
  <c r="B1754" i="72"/>
  <c r="B2298" i="72"/>
  <c r="B2511" i="72"/>
  <c r="B2131" i="72"/>
  <c r="B2176" i="72"/>
  <c r="B1785" i="72"/>
  <c r="B949" i="72"/>
  <c r="B1418" i="72"/>
  <c r="B1908" i="72"/>
  <c r="B2382" i="72"/>
  <c r="B1839" i="72"/>
  <c r="B1115" i="72"/>
  <c r="B212" i="72"/>
  <c r="B2306" i="72"/>
  <c r="B2206" i="72"/>
  <c r="B1833" i="72"/>
  <c r="B1931" i="72"/>
  <c r="B770" i="72"/>
  <c r="B415" i="72"/>
  <c r="B1125" i="72"/>
  <c r="B1144" i="72"/>
  <c r="B1342" i="72"/>
  <c r="B1000" i="72"/>
  <c r="B28" i="72"/>
  <c r="B1017" i="72"/>
  <c r="B24" i="72"/>
  <c r="B877" i="72"/>
  <c r="B278" i="72"/>
  <c r="B762" i="72"/>
  <c r="B1857" i="72"/>
  <c r="B423" i="72"/>
  <c r="B1995" i="72"/>
  <c r="B2525" i="72"/>
  <c r="B2397" i="72"/>
  <c r="B2846" i="72"/>
  <c r="B2832" i="72"/>
  <c r="B2186" i="72"/>
  <c r="B2672" i="72"/>
  <c r="B2741" i="72"/>
  <c r="B2418" i="72"/>
  <c r="B1893" i="72"/>
  <c r="B2638" i="72"/>
  <c r="B2702" i="72"/>
  <c r="B2047" i="72"/>
  <c r="B1978" i="72"/>
  <c r="B2318" i="72"/>
  <c r="B2694" i="72"/>
  <c r="B2626" i="72"/>
  <c r="B2307" i="72"/>
  <c r="B1610" i="72"/>
  <c r="B1743" i="72"/>
  <c r="B998" i="72"/>
  <c r="B1855" i="72"/>
  <c r="B2215" i="72"/>
  <c r="B1605" i="72"/>
  <c r="B1566" i="72"/>
  <c r="B386" i="72"/>
  <c r="B1060" i="72"/>
  <c r="B222" i="72"/>
  <c r="B1025" i="72"/>
  <c r="B120" i="72"/>
  <c r="B182" i="72"/>
  <c r="B505" i="72"/>
  <c r="B238" i="72"/>
  <c r="B48" i="72"/>
  <c r="B2110" i="72"/>
  <c r="B2484" i="72"/>
  <c r="B466" i="72"/>
  <c r="B1554" i="72"/>
  <c r="B55" i="72"/>
  <c r="B1282" i="72"/>
  <c r="B839" i="72"/>
  <c r="B3" i="72"/>
  <c r="B371" i="72"/>
  <c r="B1259" i="72"/>
  <c r="B817" i="72"/>
  <c r="B2868" i="72"/>
  <c r="B2236" i="72"/>
  <c r="B1009" i="72"/>
  <c r="B382" i="72"/>
  <c r="B1838" i="72"/>
  <c r="B1269" i="72"/>
  <c r="B2054" i="72"/>
  <c r="B2962" i="72"/>
  <c r="B2531" i="72"/>
  <c r="B1858" i="72"/>
  <c r="B2046" i="72"/>
  <c r="B1475" i="72"/>
  <c r="B2384" i="72"/>
  <c r="B1904" i="72"/>
  <c r="B1841" i="72"/>
  <c r="B2009" i="72"/>
  <c r="B2739" i="72"/>
  <c r="B2517" i="72"/>
  <c r="B2971" i="72"/>
  <c r="B2867" i="72"/>
  <c r="B2851" i="72"/>
  <c r="B2353" i="72"/>
  <c r="B1129" i="72"/>
  <c r="B369" i="72"/>
  <c r="B1150" i="72"/>
  <c r="B228" i="72"/>
  <c r="B2335" i="72"/>
  <c r="B1967" i="72"/>
  <c r="B396" i="72"/>
  <c r="B59" i="72"/>
  <c r="B210" i="72"/>
  <c r="B1059" i="72"/>
  <c r="B124" i="72"/>
  <c r="B5" i="72"/>
  <c r="B1132" i="72"/>
  <c r="B296" i="72"/>
  <c r="B64" i="72"/>
  <c r="B2736" i="72"/>
  <c r="B2787" i="72"/>
  <c r="B16" i="72"/>
  <c r="B1066" i="72"/>
  <c r="B1796" i="72"/>
  <c r="B2117" i="72"/>
  <c r="B857" i="72"/>
  <c r="B8" i="72"/>
  <c r="B950" i="72"/>
  <c r="B347" i="72"/>
  <c r="B942" i="72"/>
  <c r="B1226" i="72"/>
  <c r="B194" i="72"/>
  <c r="B2205" i="72"/>
  <c r="B2423" i="72"/>
  <c r="B491" i="72"/>
  <c r="B1209" i="72"/>
  <c r="B991" i="72"/>
  <c r="B1749" i="72"/>
  <c r="B2139" i="72"/>
  <c r="B1368" i="72"/>
  <c r="B2528" i="72"/>
  <c r="B1102" i="72"/>
  <c r="B2448" i="72"/>
  <c r="B2125" i="72"/>
  <c r="B934" i="72"/>
  <c r="B2611" i="72"/>
  <c r="B1401" i="72"/>
  <c r="B2357" i="72"/>
  <c r="B2991" i="72"/>
  <c r="B2704" i="72"/>
  <c r="B2161" i="72"/>
  <c r="B1002" i="72"/>
  <c r="B1051" i="72"/>
  <c r="B376" i="72"/>
  <c r="B63" i="72"/>
  <c r="B953" i="72"/>
  <c r="B1531" i="72"/>
  <c r="B1660" i="72"/>
  <c r="B1663" i="72"/>
  <c r="B2516" i="72"/>
  <c r="B2829" i="72"/>
  <c r="B2695" i="72"/>
  <c r="B2455" i="72"/>
  <c r="B1022" i="72"/>
  <c r="B2417" i="72"/>
  <c r="B1464" i="72"/>
  <c r="B1816" i="72"/>
  <c r="B2725" i="72"/>
  <c r="B1073" i="72"/>
  <c r="B2903" i="72"/>
  <c r="B2936" i="72"/>
  <c r="B1333" i="72"/>
  <c r="B2195" i="72"/>
  <c r="B2216" i="72"/>
  <c r="B1301" i="72"/>
  <c r="B1933" i="72"/>
  <c r="B342" i="72"/>
  <c r="B2076" i="72"/>
  <c r="B967" i="72"/>
  <c r="B2973" i="72"/>
  <c r="B2869" i="72"/>
  <c r="B2554" i="72"/>
  <c r="B2241" i="72"/>
  <c r="B1905" i="72"/>
  <c r="B1382" i="72"/>
  <c r="B2724" i="72"/>
  <c r="B2218" i="72"/>
  <c r="B2393" i="72"/>
  <c r="B67" i="72"/>
  <c r="B2666" i="72"/>
  <c r="B1561" i="72"/>
  <c r="B2976" i="72"/>
  <c r="B2270" i="72"/>
  <c r="B2011" i="72"/>
  <c r="B2013" i="72"/>
  <c r="B2677" i="72"/>
  <c r="B1112" i="72"/>
  <c r="B1608" i="72"/>
  <c r="B2721" i="72"/>
  <c r="B588" i="72"/>
  <c r="B948" i="72"/>
  <c r="B1153" i="72"/>
  <c r="B1668" i="72"/>
  <c r="B230" i="72"/>
  <c r="B27" i="72"/>
  <c r="B778" i="72"/>
  <c r="B954" i="72"/>
  <c r="B951" i="72"/>
  <c r="B314" i="72"/>
  <c r="B777" i="72"/>
  <c r="B759" i="72"/>
  <c r="B1004" i="72"/>
  <c r="B2729" i="72"/>
  <c r="B2488" i="72"/>
  <c r="B2376" i="72"/>
  <c r="B2330" i="72"/>
  <c r="B1684" i="72"/>
  <c r="B2503" i="72"/>
  <c r="B2691" i="72"/>
  <c r="B2540" i="72"/>
  <c r="B1984" i="72"/>
  <c r="B1526" i="72"/>
  <c r="B2074" i="72"/>
  <c r="B2537" i="72"/>
  <c r="B2465" i="72"/>
  <c r="B1965" i="72"/>
  <c r="B1215" i="72"/>
  <c r="B769" i="72"/>
  <c r="C12" i="83" l="1"/>
  <c r="C13" i="83" s="1"/>
  <c r="B12" i="83"/>
  <c r="B13" i="83" s="1"/>
  <c r="D112" i="70"/>
  <c r="C2" i="81"/>
  <c r="C2" i="82"/>
  <c r="F2" i="79"/>
  <c r="B2" i="80"/>
  <c r="C2" i="83"/>
  <c r="C57" i="66" l="1"/>
  <c r="C56" i="66"/>
  <c r="E6" i="70"/>
  <c r="C6" i="70"/>
  <c r="A54" i="37" l="1"/>
  <c r="A9" i="78"/>
  <c r="A8" i="78"/>
  <c r="A7" i="78"/>
  <c r="A6" i="78"/>
  <c r="A5" i="78"/>
  <c r="E4" i="78"/>
  <c r="B4" i="78"/>
  <c r="C3" i="78"/>
  <c r="D3" i="78"/>
  <c r="E3" i="78"/>
  <c r="B3" i="78"/>
  <c r="A3" i="78"/>
  <c r="E8" i="77" l="1"/>
  <c r="A2" i="77" l="1"/>
  <c r="G42" i="66" l="1"/>
  <c r="E42" i="66"/>
  <c r="F42" i="66"/>
  <c r="F43" i="66" s="1"/>
  <c r="E43" i="66" l="1"/>
  <c r="B43" i="66"/>
  <c r="B42" i="66"/>
  <c r="A991" i="68"/>
  <c r="A45" i="68"/>
  <c r="A2146" i="68"/>
  <c r="A898" i="68"/>
  <c r="A299" i="68"/>
  <c r="A1370" i="68"/>
  <c r="A2191" i="68"/>
  <c r="A1619" i="68"/>
  <c r="A2994" i="68"/>
  <c r="A2228" i="68"/>
  <c r="A2482" i="68"/>
  <c r="A2846" i="68"/>
  <c r="A749" i="68"/>
  <c r="A2082" i="68"/>
  <c r="A450" i="68"/>
  <c r="A2589" i="68"/>
  <c r="A2038" i="68"/>
  <c r="A1071" i="68"/>
  <c r="A356" i="68"/>
  <c r="A1087" i="68"/>
  <c r="A945" i="68"/>
  <c r="A775" i="68"/>
  <c r="A1632" i="68"/>
  <c r="A940" i="68"/>
  <c r="A1541" i="68"/>
  <c r="A1758" i="68"/>
  <c r="A1263" i="68"/>
  <c r="A1831" i="68"/>
  <c r="A1654" i="68"/>
  <c r="A1161" i="68"/>
  <c r="A925" i="68"/>
  <c r="A1488" i="68"/>
  <c r="A438" i="68"/>
  <c r="A1406" i="68"/>
  <c r="A890" i="68"/>
  <c r="A1026" i="68"/>
  <c r="A241" i="68"/>
  <c r="A1873" i="68"/>
  <c r="A451" i="68"/>
  <c r="A1568" i="68"/>
  <c r="A1633" i="68"/>
  <c r="A2013" i="68"/>
  <c r="A2665" i="68"/>
  <c r="A712" i="68"/>
  <c r="A1868" i="68"/>
  <c r="A778" i="68"/>
  <c r="A1820" i="68"/>
  <c r="A1174" i="68"/>
  <c r="A2296" i="68"/>
  <c r="A630" i="68"/>
  <c r="A528" i="68"/>
  <c r="A1530" i="68"/>
  <c r="A1225" i="68"/>
  <c r="A861" i="68"/>
  <c r="A1870" i="68"/>
  <c r="A2008" i="68"/>
  <c r="A602" i="68"/>
  <c r="A1204" i="68"/>
  <c r="A400" i="68"/>
  <c r="A2135" i="68"/>
  <c r="A1200" i="68"/>
  <c r="A2290" i="68"/>
  <c r="A1545" i="68"/>
  <c r="A1727" i="68"/>
  <c r="A862" i="68"/>
  <c r="A1022" i="68"/>
  <c r="A2073" i="68"/>
  <c r="A690" i="68"/>
  <c r="A2170" i="68"/>
  <c r="A2533" i="68"/>
  <c r="A751" i="68"/>
  <c r="A1316" i="68"/>
  <c r="A291" i="68"/>
  <c r="A2024" i="68"/>
  <c r="A375" i="68"/>
  <c r="A2619" i="68"/>
  <c r="A2330" i="68"/>
  <c r="A1338" i="68"/>
  <c r="A1302" i="68"/>
  <c r="A316" i="68"/>
  <c r="A1871" i="68"/>
  <c r="A2029" i="68"/>
  <c r="A849" i="68"/>
  <c r="A25" i="68"/>
  <c r="A869" i="68"/>
  <c r="A1851" i="68"/>
  <c r="A1076" i="68"/>
  <c r="A20" i="68"/>
  <c r="A473" i="68"/>
  <c r="A536" i="68"/>
  <c r="A1669" i="68"/>
  <c r="A1213" i="68"/>
  <c r="A1889" i="68"/>
  <c r="A943" i="68"/>
  <c r="A1635" i="68"/>
  <c r="A668" i="68"/>
  <c r="A1424" i="68"/>
  <c r="A2491" i="68"/>
  <c r="A1297" i="68"/>
  <c r="A158" i="68"/>
  <c r="A1949" i="68"/>
  <c r="A312" i="68"/>
  <c r="A462" i="68"/>
  <c r="A1080" i="68"/>
  <c r="A2076" i="68"/>
  <c r="A666" i="68"/>
  <c r="A1333" i="68"/>
  <c r="A753" i="68"/>
  <c r="A1103" i="68"/>
  <c r="A1416" i="68"/>
  <c r="A1865" i="68"/>
  <c r="A139" i="68"/>
  <c r="A388" i="68"/>
  <c r="A36" i="68"/>
  <c r="A747" i="68"/>
  <c r="A1800" i="68"/>
  <c r="A394" i="68"/>
  <c r="A534" i="68"/>
  <c r="A421" i="68"/>
  <c r="A1991" i="68"/>
  <c r="A2459" i="68"/>
  <c r="A488" i="68"/>
  <c r="A446" i="68"/>
  <c r="A1079" i="68"/>
  <c r="A1575" i="68"/>
  <c r="A1866" i="68"/>
  <c r="A2451" i="68"/>
  <c r="A1357" i="68"/>
  <c r="A2981" i="68"/>
  <c r="A1283" i="68"/>
  <c r="A1181" i="68"/>
  <c r="A230" i="68"/>
  <c r="A22" i="68"/>
  <c r="A1771" i="68"/>
  <c r="A1685" i="68"/>
  <c r="A1489" i="68"/>
  <c r="A1378" i="68"/>
  <c r="A246" i="68"/>
  <c r="A2989" i="68"/>
  <c r="A2424" i="68"/>
  <c r="A582" i="68"/>
  <c r="A170" i="68"/>
  <c r="A2370" i="68"/>
  <c r="A639" i="68"/>
  <c r="A1268" i="68"/>
  <c r="A1385" i="68"/>
  <c r="A1345" i="68"/>
  <c r="A514" i="68"/>
  <c r="A2663" i="68"/>
  <c r="A2837" i="68"/>
  <c r="A512" i="68"/>
  <c r="A755" i="68"/>
  <c r="A2871" i="68"/>
  <c r="A699" i="68"/>
  <c r="A817" i="68"/>
  <c r="A572" i="68"/>
  <c r="A944" i="68"/>
  <c r="A2213" i="68"/>
  <c r="A1596" i="68"/>
  <c r="A927" i="68"/>
  <c r="A857" i="68"/>
  <c r="A2477" i="68"/>
  <c r="A1754" i="68"/>
  <c r="A398" i="68"/>
  <c r="A870" i="68"/>
  <c r="A567" i="68"/>
  <c r="A544" i="68"/>
  <c r="A1710" i="68"/>
  <c r="A2042" i="68"/>
  <c r="A1566" i="68"/>
  <c r="A101" i="68"/>
  <c r="A371" i="68"/>
  <c r="A1699" i="68"/>
  <c r="A2380" i="68"/>
  <c r="A2110" i="68"/>
  <c r="A1707" i="68"/>
  <c r="A1607" i="68"/>
  <c r="A767" i="68"/>
  <c r="A2549" i="68"/>
  <c r="A1413" i="68"/>
  <c r="A936" i="68"/>
  <c r="A721" i="68"/>
  <c r="A8" i="68"/>
  <c r="A1740" i="68"/>
  <c r="A660" i="68"/>
  <c r="A449" i="68"/>
  <c r="A1736" i="68"/>
  <c r="A2393" i="68"/>
  <c r="A1822" i="68"/>
  <c r="A1452" i="68"/>
  <c r="A126" i="68"/>
  <c r="A1576" i="68"/>
  <c r="A198" i="68"/>
  <c r="A1369" i="68"/>
  <c r="A2693" i="68"/>
  <c r="A2366" i="68"/>
  <c r="A1473" i="68"/>
  <c r="A1027" i="68"/>
  <c r="A201" i="68"/>
  <c r="A2401" i="68"/>
  <c r="A577" i="68"/>
  <c r="A321" i="68"/>
  <c r="A1232" i="68"/>
  <c r="A2271" i="68"/>
  <c r="A2187" i="68"/>
  <c r="A2412" i="68"/>
  <c r="A2021" i="68"/>
  <c r="A57" i="68"/>
  <c r="A2745" i="68"/>
  <c r="A1175" i="68"/>
  <c r="A2700" i="68"/>
  <c r="A2205" i="68"/>
  <c r="A2560" i="68"/>
  <c r="A257" i="68"/>
  <c r="A2240" i="68"/>
  <c r="A5" i="68"/>
  <c r="A2535" i="68"/>
  <c r="A2524" i="68"/>
  <c r="A2964" i="68"/>
  <c r="A2744" i="68"/>
  <c r="A2872" i="68"/>
  <c r="A2830" i="68"/>
  <c r="A788" i="68"/>
  <c r="A2252" i="68"/>
  <c r="A416" i="68"/>
  <c r="A711" i="68"/>
  <c r="A2529" i="68"/>
  <c r="A993" i="68"/>
  <c r="A1435" i="68"/>
  <c r="A1258" i="68"/>
  <c r="A1221" i="68"/>
  <c r="A1577" i="68"/>
  <c r="A293" i="68"/>
  <c r="A1858" i="68"/>
  <c r="A2914" i="68"/>
  <c r="A1531" i="68"/>
  <c r="A2413" i="68"/>
  <c r="A1274" i="68"/>
  <c r="A550" i="68"/>
  <c r="A1193" i="68"/>
  <c r="A181" i="68"/>
  <c r="A693" i="68"/>
  <c r="A1163" i="68"/>
  <c r="A996" i="68"/>
  <c r="A380" i="68"/>
  <c r="A2717" i="68"/>
  <c r="A429" i="68"/>
  <c r="A2341" i="68"/>
  <c r="A2085" i="68"/>
  <c r="A499" i="68"/>
  <c r="A1655" i="68"/>
  <c r="A1427" i="68"/>
  <c r="A701" i="68"/>
  <c r="A2870" i="68"/>
  <c r="A2762" i="68"/>
  <c r="A2447" i="68"/>
  <c r="A752" i="68"/>
  <c r="A981" i="68"/>
  <c r="A1493" i="68"/>
  <c r="A860" i="68"/>
  <c r="A2131" i="68"/>
  <c r="A509" i="68"/>
  <c r="A1544" i="68"/>
  <c r="A1587" i="68"/>
  <c r="A1470" i="68"/>
  <c r="A735" i="68"/>
  <c r="A1126" i="68"/>
  <c r="A187" i="68"/>
  <c r="A543" i="68"/>
  <c r="A1941" i="68"/>
  <c r="A2300" i="68"/>
  <c r="A7" i="68"/>
  <c r="A2125" i="68"/>
  <c r="A2594" i="68"/>
  <c r="A2738" i="68"/>
  <c r="A1733" i="68"/>
  <c r="A613" i="68"/>
  <c r="A1778" i="68"/>
  <c r="A2678" i="68"/>
  <c r="A2973" i="68"/>
  <c r="A2144" i="68"/>
  <c r="A2831" i="68"/>
  <c r="A1418" i="68"/>
  <c r="A2157" i="68"/>
  <c r="A2133" i="68"/>
  <c r="A2513" i="68"/>
  <c r="A94" i="68"/>
  <c r="A598" i="68"/>
  <c r="A2505" i="68"/>
  <c r="A1963" i="68"/>
  <c r="A1052" i="68"/>
  <c r="A502" i="68"/>
  <c r="A843" i="68"/>
  <c r="A1519" i="68"/>
  <c r="A1476" i="68"/>
  <c r="A2274" i="68"/>
  <c r="A2150" i="68"/>
  <c r="A631" i="68"/>
  <c r="A143" i="68"/>
  <c r="A2241" i="68"/>
  <c r="A494" i="68"/>
  <c r="A453" i="68"/>
  <c r="A374" i="68"/>
  <c r="A407" i="68"/>
  <c r="A592" i="68"/>
  <c r="A470" i="68"/>
  <c r="A765" i="68"/>
  <c r="A531" i="68"/>
  <c r="A974" i="68"/>
  <c r="A2834" i="68"/>
  <c r="A500" i="68"/>
  <c r="A2360" i="68"/>
  <c r="A2078" i="68"/>
  <c r="A1805" i="68"/>
  <c r="A2654" i="68"/>
  <c r="A2420" i="68"/>
  <c r="A2630" i="68"/>
  <c r="A2201" i="68"/>
  <c r="A1973" i="68"/>
  <c r="A2641" i="68"/>
  <c r="A2729" i="68"/>
  <c r="A626" i="68"/>
  <c r="A2660" i="68"/>
  <c r="A1180" i="68"/>
  <c r="A2895" i="68"/>
  <c r="A684" i="68"/>
  <c r="A467" i="68"/>
  <c r="A1683" i="68"/>
  <c r="A2671" i="68"/>
  <c r="A2642" i="68"/>
  <c r="A741" i="68"/>
  <c r="A2716" i="68"/>
  <c r="A1154" i="68"/>
  <c r="A1367" i="68"/>
  <c r="A2113" i="68"/>
  <c r="A1529" i="68"/>
  <c r="A1254" i="68"/>
  <c r="A2461" i="68"/>
  <c r="A78" i="68"/>
  <c r="A988" i="68"/>
  <c r="A1514" i="68"/>
  <c r="A1057" i="68"/>
  <c r="A147" i="68"/>
  <c r="A1887" i="68"/>
  <c r="B1367" i="68"/>
  <c r="A524" i="68"/>
  <c r="A2590" i="68"/>
  <c r="A1487" i="68"/>
  <c r="A1111" i="68"/>
  <c r="A2163" i="68"/>
  <c r="A176" i="68"/>
  <c r="A2081" i="68"/>
  <c r="A1938" i="68"/>
  <c r="A215" i="68"/>
  <c r="A1173" i="68"/>
  <c r="A2707" i="68"/>
  <c r="A2407" i="68"/>
  <c r="A359" i="68"/>
  <c r="A138" i="68"/>
  <c r="A1477" i="68"/>
  <c r="A1318" i="68"/>
  <c r="A1835" i="68"/>
  <c r="A1892" i="68"/>
  <c r="A1279" i="68"/>
  <c r="A1750" i="68"/>
  <c r="A182" i="68"/>
  <c r="A1241" i="68"/>
  <c r="A610" i="68"/>
  <c r="A347" i="68"/>
  <c r="A644" i="68"/>
  <c r="A440" i="68"/>
  <c r="A2821" i="68"/>
  <c r="A574" i="68"/>
  <c r="A1210" i="68"/>
  <c r="A265" i="68"/>
  <c r="A1179" i="68"/>
  <c r="A2226" i="68"/>
  <c r="A352" i="68"/>
  <c r="A1198" i="68"/>
  <c r="A1359" i="68"/>
  <c r="A847" i="68"/>
  <c r="A311" i="68"/>
  <c r="A1007" i="68"/>
  <c r="A1166" i="68"/>
  <c r="A104" i="68"/>
  <c r="A908" i="68"/>
  <c r="A1686" i="68"/>
  <c r="A2719" i="68"/>
  <c r="A1792" i="68"/>
  <c r="A2018" i="68"/>
  <c r="A2490" i="68"/>
  <c r="A2515" i="68"/>
  <c r="A1407" i="68"/>
  <c r="A2960" i="68"/>
  <c r="A2470" i="68"/>
  <c r="A2725" i="68"/>
  <c r="A1593" i="68"/>
  <c r="A717" i="68"/>
  <c r="A1961" i="68"/>
  <c r="A83" i="68"/>
  <c r="A1803" i="68"/>
  <c r="A2972" i="68"/>
  <c r="A1886" i="68"/>
  <c r="A2352" i="68"/>
  <c r="A2055" i="68"/>
  <c r="A2859" i="68"/>
  <c r="A2182" i="68"/>
  <c r="A1934" i="68"/>
  <c r="A2690" i="68"/>
  <c r="A2609" i="68"/>
  <c r="A2518" i="68"/>
  <c r="A1567" i="68"/>
  <c r="A2376" i="68"/>
  <c r="A2917" i="68"/>
  <c r="A1875" i="68"/>
  <c r="A2966" i="68"/>
  <c r="A923" i="68"/>
  <c r="A2817" i="68"/>
  <c r="A608" i="68"/>
  <c r="A329" i="68"/>
  <c r="A1630" i="68"/>
  <c r="A734" i="68"/>
  <c r="A1091" i="68"/>
  <c r="A1105" i="68"/>
  <c r="A498" i="68"/>
  <c r="A2924" i="68"/>
  <c r="A1824" i="68"/>
  <c r="A2123" i="68"/>
  <c r="A1054" i="68"/>
  <c r="A1728" i="68"/>
  <c r="A956" i="68"/>
  <c r="A1681" i="68"/>
  <c r="A479" i="68"/>
  <c r="A746" i="68"/>
  <c r="A2494" i="68"/>
  <c r="A2672" i="68"/>
  <c r="A2782" i="68"/>
  <c r="A2958" i="68"/>
  <c r="A1376" i="68"/>
  <c r="A153" i="68"/>
  <c r="A355" i="68"/>
  <c r="A983" i="68"/>
  <c r="A1990" i="68"/>
  <c r="A932" i="68"/>
  <c r="A2739" i="68"/>
  <c r="A2284" i="68"/>
  <c r="A837" i="68"/>
  <c r="A1451" i="68"/>
  <c r="A986" i="68"/>
  <c r="A1155" i="68"/>
  <c r="A2311" i="68"/>
  <c r="A2196" i="68"/>
  <c r="A545" i="68"/>
  <c r="A199" i="68"/>
  <c r="A191" i="68"/>
  <c r="A792" i="68"/>
  <c r="A1768" i="68"/>
  <c r="A846" i="68"/>
  <c r="A2967" i="68"/>
  <c r="A2628" i="68"/>
  <c r="A2475" i="68"/>
  <c r="A412" i="68"/>
  <c r="A1775" i="68"/>
  <c r="A1397" i="68"/>
  <c r="A2377" i="68"/>
  <c r="A1996" i="68"/>
  <c r="A2278" i="68"/>
  <c r="A672" i="68"/>
  <c r="A2281" i="68"/>
  <c r="A2479" i="68"/>
  <c r="A127" i="68"/>
  <c r="A2547" i="68"/>
  <c r="A2897" i="68"/>
  <c r="A2440" i="68"/>
  <c r="A290" i="68"/>
  <c r="A2430" i="68"/>
  <c r="A2919" i="68"/>
  <c r="A2227" i="68"/>
  <c r="A1107" i="68"/>
  <c r="A2386" i="68"/>
  <c r="A1339" i="68"/>
  <c r="A866" i="68"/>
  <c r="A516" i="68"/>
  <c r="A2857" i="68"/>
  <c r="A2285" i="68"/>
  <c r="A1209" i="68"/>
  <c r="A2531" i="68"/>
  <c r="A1556" i="68"/>
  <c r="A1396" i="68"/>
  <c r="A1957" i="68"/>
  <c r="A1559" i="68"/>
  <c r="A723" i="68"/>
  <c r="A344" i="68"/>
  <c r="A2506" i="68"/>
  <c r="A1132" i="68"/>
  <c r="A248" i="68"/>
  <c r="A1573" i="68"/>
  <c r="A1636" i="68"/>
  <c r="A386" i="68"/>
  <c r="A2047" i="68"/>
  <c r="A334" i="68"/>
  <c r="A2462" i="68"/>
  <c r="A1443" i="68"/>
  <c r="A338" i="68"/>
  <c r="A535" i="68"/>
  <c r="A1267" i="68"/>
  <c r="A302" i="68"/>
  <c r="A881" i="68"/>
  <c r="A2999" i="68"/>
  <c r="A1911" i="68"/>
  <c r="A1227" i="68"/>
  <c r="A1523" i="68"/>
  <c r="A61" i="68"/>
  <c r="A1652" i="68"/>
  <c r="A2286" i="68"/>
  <c r="A1885" i="68"/>
  <c r="A2579" i="68"/>
  <c r="A2916" i="68"/>
  <c r="A2411" i="68"/>
  <c r="A1898" i="68"/>
  <c r="A1141" i="68"/>
  <c r="A1542" i="68"/>
  <c r="A855" i="68"/>
  <c r="A2069" i="68"/>
  <c r="A1670" i="68"/>
  <c r="A1932" i="68"/>
  <c r="A2617" i="68"/>
  <c r="A1392" i="68"/>
  <c r="A2037" i="68"/>
  <c r="A1507" i="68"/>
  <c r="A2909" i="68"/>
  <c r="A465" i="68"/>
  <c r="A1085" i="68"/>
  <c r="A1117" i="68"/>
  <c r="A173" i="68"/>
  <c r="A1442" i="68"/>
  <c r="A19" i="68"/>
  <c r="A548" i="68"/>
  <c r="A1393" i="68"/>
  <c r="A332" i="68"/>
  <c r="A2439" i="68"/>
  <c r="A1429" i="68"/>
  <c r="A568" i="68"/>
  <c r="A1133" i="68"/>
  <c r="A2742" i="68"/>
  <c r="A2676" i="68"/>
  <c r="A2017" i="68"/>
  <c r="A370" i="68"/>
  <c r="A2400" i="68"/>
  <c r="A587" i="68"/>
  <c r="A1004" i="68"/>
  <c r="A2937" i="68"/>
  <c r="A1648" i="68"/>
  <c r="A2860" i="68"/>
  <c r="A661" i="68"/>
  <c r="A2838" i="68"/>
  <c r="A2881" i="68"/>
  <c r="A1423" i="68"/>
  <c r="A989" i="68"/>
  <c r="A2819" i="68"/>
  <c r="A597" i="68"/>
  <c r="A1086" i="68"/>
  <c r="A2723" i="68"/>
  <c r="A1220" i="68"/>
  <c r="A129" i="68"/>
  <c r="A2508" i="68"/>
  <c r="A1706" i="68"/>
  <c r="A408" i="68"/>
  <c r="A2839" i="68"/>
  <c r="A247" i="68"/>
  <c r="A2563" i="68"/>
  <c r="A852" i="68"/>
  <c r="A1433" i="68"/>
  <c r="A1936" i="68"/>
  <c r="A1164" i="68"/>
  <c r="A928" i="68"/>
  <c r="A1602" i="68"/>
  <c r="A586" i="68"/>
  <c r="A758" i="68"/>
  <c r="A1042" i="68"/>
  <c r="A1540" i="68"/>
  <c r="A2375" i="68"/>
  <c r="A2885" i="68"/>
  <c r="A387" i="68"/>
  <c r="A2844" i="68"/>
  <c r="A1301" i="68"/>
  <c r="A782" i="68"/>
  <c r="A2582" i="68"/>
  <c r="A1001" i="68"/>
  <c r="A1712" i="68"/>
  <c r="A546" i="68"/>
  <c r="A308" i="68"/>
  <c r="A2139" i="68"/>
  <c r="A2845" i="68"/>
  <c r="A2892" i="68"/>
  <c r="A1926" i="68"/>
  <c r="A1159" i="68"/>
  <c r="A1951" i="68"/>
  <c r="A2472" i="68"/>
  <c r="A2544" i="68"/>
  <c r="A2357" i="68"/>
  <c r="A1604" i="68"/>
  <c r="A1212" i="68"/>
  <c r="A685" i="68"/>
  <c r="A2804" i="68"/>
  <c r="A505" i="68"/>
  <c r="A777" i="68"/>
  <c r="A2244" i="68"/>
  <c r="A1783" i="68"/>
  <c r="A1950" i="68"/>
  <c r="A1291" i="68"/>
  <c r="A1177" i="68"/>
  <c r="A1852" i="68"/>
  <c r="A1770" i="68"/>
  <c r="A867" i="68"/>
  <c r="A2060" i="68"/>
  <c r="A2189" i="68"/>
  <c r="A2324" i="68"/>
  <c r="A2167" i="68"/>
  <c r="A618" i="68"/>
  <c r="A2900" i="68"/>
  <c r="A919" i="68"/>
  <c r="A82" i="68"/>
  <c r="B82" i="68" s="1"/>
  <c r="A912" i="68"/>
  <c r="A2953" i="68"/>
  <c r="A2941" i="68"/>
  <c r="A520" i="68"/>
  <c r="A1460" i="68"/>
  <c r="A2998" i="68"/>
  <c r="A1952" i="68"/>
  <c r="A2239" i="68"/>
  <c r="A575" i="68"/>
  <c r="A716" i="68"/>
  <c r="A517" i="68"/>
  <c r="A1719" i="68"/>
  <c r="A1623" i="68"/>
  <c r="B1623" i="68" s="1"/>
  <c r="A2243" i="68"/>
  <c r="A2186" i="68"/>
  <c r="A1374" i="68"/>
  <c r="A2007" i="68"/>
  <c r="A955" i="68"/>
  <c r="A260" i="68"/>
  <c r="A1011" i="68"/>
  <c r="A118" i="68"/>
  <c r="A1337" i="68"/>
  <c r="A49" i="68"/>
  <c r="A2178" i="68"/>
  <c r="A840" i="68"/>
  <c r="A2553" i="68"/>
  <c r="A1482" i="68"/>
  <c r="A2929" i="68"/>
  <c r="A2408" i="68"/>
  <c r="A1914" i="68"/>
  <c r="A1003" i="68"/>
  <c r="A769" i="68"/>
  <c r="A2850" i="68"/>
  <c r="A977" i="68"/>
  <c r="A1106" i="68"/>
  <c r="A2464" i="68"/>
  <c r="A1478" i="68"/>
  <c r="A2667" i="68"/>
  <c r="A1248" i="68"/>
  <c r="A475" i="68"/>
  <c r="A913" i="68"/>
  <c r="A1391" i="68"/>
  <c r="A2926" i="68"/>
  <c r="A2306" i="68"/>
  <c r="A805" i="68"/>
  <c r="A2277" i="68"/>
  <c r="A245" i="68"/>
  <c r="A649" i="68"/>
  <c r="A2749" i="68"/>
  <c r="A519" i="68"/>
  <c r="A1439" i="68"/>
  <c r="A2388" i="68"/>
  <c r="A2297" i="68"/>
  <c r="A106" i="68"/>
  <c r="A594" i="68"/>
  <c r="A2086" i="68"/>
  <c r="A437" i="68"/>
  <c r="A2245" i="68"/>
  <c r="A2323" i="68"/>
  <c r="A606" i="68"/>
  <c r="A2174" i="68"/>
  <c r="A1890" i="68"/>
  <c r="A1714" i="68"/>
  <c r="A2421" i="68"/>
  <c r="A2661" i="68"/>
  <c r="A1383" i="68"/>
  <c r="A320" i="68"/>
  <c r="A1610" i="68"/>
  <c r="A984" i="68"/>
  <c r="A894" i="68"/>
  <c r="A957" i="68"/>
  <c r="A1844" i="68"/>
  <c r="A2359" i="68"/>
  <c r="A202" i="68"/>
  <c r="A650" i="68"/>
  <c r="A2054" i="68"/>
  <c r="A2458" i="68"/>
  <c r="A10" i="68"/>
  <c r="A1972" i="68"/>
  <c r="A2940" i="68"/>
  <c r="A1643" i="68"/>
  <c r="A1472" i="68"/>
  <c r="A665" i="68"/>
  <c r="A2247" i="68"/>
  <c r="A903" i="68"/>
  <c r="A2704" i="68"/>
  <c r="A399" i="68"/>
  <c r="A1496" i="68"/>
  <c r="A664" i="68"/>
  <c r="A1231" i="68"/>
  <c r="A1494" i="68"/>
  <c r="A349" i="68"/>
  <c r="A995" i="68"/>
  <c r="A1524" i="68"/>
  <c r="A1047" i="68"/>
  <c r="A1894" i="68"/>
  <c r="A1058" i="68"/>
  <c r="A2512" i="68"/>
  <c r="A2077" i="68"/>
  <c r="A1505" i="68"/>
  <c r="A141" i="68"/>
  <c r="A2242" i="68"/>
  <c r="A2304" i="68"/>
  <c r="A1238" i="68"/>
  <c r="A157" i="68"/>
  <c r="A109" i="68"/>
  <c r="A2273" i="68"/>
  <c r="A366" i="68"/>
  <c r="A2383" i="68"/>
  <c r="A787" i="68"/>
  <c r="A2471" i="68"/>
  <c r="A1292" i="68"/>
  <c r="A1404" i="68"/>
  <c r="A1449" i="68"/>
  <c r="A2263" i="68"/>
  <c r="A2624" i="68"/>
  <c r="B2624" i="68" s="1"/>
  <c r="A196" i="68"/>
  <c r="A918" i="68"/>
  <c r="A87" i="68"/>
  <c r="A2071" i="68"/>
  <c r="A1689" i="68"/>
  <c r="A2957" i="68"/>
  <c r="A171" i="68"/>
  <c r="A763" i="68"/>
  <c r="A1999" i="68"/>
  <c r="A508" i="68"/>
  <c r="A2556" i="68"/>
  <c r="A183" i="68"/>
  <c r="A361" i="68"/>
  <c r="A1020" i="68"/>
  <c r="A1925" i="68"/>
  <c r="A1278" i="68"/>
  <c r="A1704" i="68"/>
  <c r="A2302" i="68"/>
  <c r="A30" i="68"/>
  <c r="A561" i="68"/>
  <c r="A816" i="68"/>
  <c r="A1448" i="68"/>
  <c r="A1965" i="68"/>
  <c r="A2908" i="68"/>
  <c r="A2128" i="68"/>
  <c r="A373" i="68"/>
  <c r="A576" i="68"/>
  <c r="A2396" i="68"/>
  <c r="A288" i="68"/>
  <c r="A2679" i="68"/>
  <c r="A132" i="68"/>
  <c r="A2065" i="68"/>
  <c r="A2022" i="68"/>
  <c r="A1352" i="68"/>
  <c r="A489" i="68"/>
  <c r="A2901" i="68"/>
  <c r="A818" i="68"/>
  <c r="A2978" i="68"/>
  <c r="A119" i="68"/>
  <c r="A324" i="68"/>
  <c r="A971" i="68"/>
  <c r="A163" i="68"/>
  <c r="A2768" i="68"/>
  <c r="A1848" i="68"/>
  <c r="A2770" i="68"/>
  <c r="A2036" i="68"/>
  <c r="A589" i="68"/>
  <c r="A1296" i="68"/>
  <c r="A1743" i="68"/>
  <c r="A781" i="68"/>
  <c r="A2682" i="68"/>
  <c r="A150" i="68"/>
  <c r="A909" i="68"/>
  <c r="A1605" i="68"/>
  <c r="A110" i="68"/>
  <c r="A2980" i="68"/>
  <c r="A588" i="68"/>
  <c r="A164" i="68"/>
  <c r="A2880" i="68"/>
  <c r="A871" i="68"/>
  <c r="A2740" i="68"/>
  <c r="A643" i="68"/>
  <c r="A1468" i="68"/>
  <c r="A2343" i="68"/>
  <c r="A2701" i="68"/>
  <c r="A2452" i="68"/>
  <c r="A1044" i="68"/>
  <c r="A2715" i="68"/>
  <c r="A486" i="68"/>
  <c r="A2915" i="68"/>
  <c r="A1667" i="68"/>
  <c r="A31" i="68"/>
  <c r="A17" i="68"/>
  <c r="A583" i="68"/>
  <c r="A4" i="68"/>
  <c r="A1098" i="68"/>
  <c r="A1817" i="68"/>
  <c r="A280" i="68"/>
  <c r="A457" i="68"/>
  <c r="A2006" i="68"/>
  <c r="A140" i="68"/>
  <c r="A2876" i="68"/>
  <c r="A2580" i="68"/>
  <c r="A680" i="68"/>
  <c r="A1247" i="68"/>
  <c r="A2473" i="68"/>
  <c r="A2395" i="68"/>
  <c r="A2591" i="68"/>
  <c r="A1843" i="68"/>
  <c r="A1018" i="68"/>
  <c r="A1100" i="68"/>
  <c r="A244" i="68"/>
  <c r="A1088" i="68"/>
  <c r="A1189" i="68"/>
  <c r="A2673" i="68"/>
  <c r="A1479" i="68"/>
  <c r="A2803" i="68"/>
  <c r="A2813" i="68"/>
  <c r="A86" i="68"/>
  <c r="A46" i="68"/>
  <c r="A2500" i="68"/>
  <c r="A1329" i="68"/>
  <c r="A2259" i="68"/>
  <c r="A2394" i="68"/>
  <c r="A868" i="68"/>
  <c r="A1124" i="68"/>
  <c r="A570" i="68"/>
  <c r="A2769" i="68"/>
  <c r="A578" i="68"/>
  <c r="A74" i="68"/>
  <c r="A1765" i="68"/>
  <c r="A123" i="68"/>
  <c r="A527" i="68"/>
  <c r="A2853" i="68"/>
  <c r="A958" i="68"/>
  <c r="A754" i="68"/>
  <c r="B2630" i="68"/>
  <c r="A1830" i="68"/>
  <c r="A525" i="68"/>
  <c r="A1456" i="68"/>
  <c r="A1974" i="68"/>
  <c r="A2918" i="68"/>
  <c r="A678" i="68"/>
  <c r="A1715" i="68"/>
  <c r="A2066" i="68"/>
  <c r="A2979" i="68"/>
  <c r="A780" i="68"/>
  <c r="A829" i="68"/>
  <c r="A2822" i="68"/>
  <c r="A2130" i="68"/>
  <c r="A975" i="68"/>
  <c r="A9" i="68"/>
  <c r="A1832" i="68"/>
  <c r="A2219" i="68"/>
  <c r="A2587" i="68"/>
  <c r="A595" i="68"/>
  <c r="A1829" i="68"/>
  <c r="A2828" i="68"/>
  <c r="A492" i="68"/>
  <c r="A2349" i="68"/>
  <c r="A1780" i="68"/>
  <c r="A363" i="68"/>
  <c r="A766" i="68"/>
  <c r="A1776" i="68"/>
  <c r="A2155" i="68"/>
  <c r="A66" i="68"/>
  <c r="A2010" i="68"/>
  <c r="A1975" i="68"/>
  <c r="A1459" i="68"/>
  <c r="A2282" i="68"/>
  <c r="A1067" i="68"/>
  <c r="A1024" i="68"/>
  <c r="A1659" i="68"/>
  <c r="A466" i="68"/>
  <c r="A336" i="68"/>
  <c r="A2229" i="68"/>
  <c r="A1798" i="68"/>
  <c r="A1328" i="68"/>
  <c r="A480" i="68"/>
  <c r="A229" i="68"/>
  <c r="A547" i="68"/>
  <c r="A617" i="68"/>
  <c r="A695" i="68"/>
  <c r="A553" i="68"/>
  <c r="A255" i="68"/>
  <c r="A1665" i="68"/>
  <c r="A2569" i="68"/>
  <c r="A2391" i="68"/>
  <c r="A998" i="68"/>
  <c r="A2542" i="68"/>
  <c r="A2810" i="68"/>
  <c r="A274" i="68"/>
  <c r="A1547" i="68"/>
  <c r="A2427" i="68"/>
  <c r="A2224" i="68"/>
  <c r="A314" i="68"/>
  <c r="A580" i="68"/>
  <c r="A172" i="68"/>
  <c r="A2190" i="68"/>
  <c r="A1998" i="68"/>
  <c r="A1992" i="68"/>
  <c r="A2743" i="68"/>
  <c r="A1169" i="68"/>
  <c r="A774" i="68"/>
  <c r="A1183" i="68"/>
  <c r="A272" i="68"/>
  <c r="A1626" i="68"/>
  <c r="A2632" i="68"/>
  <c r="A2637" i="68"/>
  <c r="A2692" i="68"/>
  <c r="A2764" i="68"/>
  <c r="A959" i="68"/>
  <c r="A1389" i="68"/>
  <c r="A2194" i="68"/>
  <c r="A2925" i="68"/>
  <c r="A341" i="68"/>
  <c r="A431" i="68"/>
  <c r="A951" i="68"/>
  <c r="A354" i="68"/>
  <c r="A2444" i="68"/>
  <c r="A1202" i="68"/>
  <c r="A2328" i="68"/>
  <c r="A1984" i="68"/>
  <c r="A217" i="68"/>
  <c r="A2527" i="68"/>
  <c r="A2898" i="68"/>
  <c r="A156" i="68"/>
  <c r="A962" i="68"/>
  <c r="A1701" i="68"/>
  <c r="A1970" i="68"/>
  <c r="A2137" i="68"/>
  <c r="A1447" i="68"/>
  <c r="A2536" i="68"/>
  <c r="A1528" i="68"/>
  <c r="A1446" i="68"/>
  <c r="A590" i="68"/>
  <c r="A801" i="68"/>
  <c r="A2280" i="68"/>
  <c r="A1969" i="68"/>
  <c r="A108" i="68"/>
  <c r="A800" i="68"/>
  <c r="A2288" i="68"/>
  <c r="A358" i="68"/>
  <c r="A47" i="68"/>
  <c r="A1466" i="68"/>
  <c r="A513" i="68"/>
  <c r="A1734" i="68"/>
  <c r="A1354" i="68"/>
  <c r="A474" i="68"/>
  <c r="A2645" i="68"/>
  <c r="A2736" i="68"/>
  <c r="A1325" i="68"/>
  <c r="A2950" i="68"/>
  <c r="A2802" i="68"/>
  <c r="A1809" i="68"/>
  <c r="A2790" i="68"/>
  <c r="A1861" i="68"/>
  <c r="A2614" i="68"/>
  <c r="A722" i="68"/>
  <c r="A1252" i="68"/>
  <c r="A1045" i="68"/>
  <c r="B1045" i="68" s="1"/>
  <c r="A1008" i="68"/>
  <c r="A411" i="68"/>
  <c r="A1729" i="68"/>
  <c r="A623" i="68"/>
  <c r="A1828" i="68"/>
  <c r="A1764" i="68"/>
  <c r="A615" i="68"/>
  <c r="A1191" i="68"/>
  <c r="A2251" i="68"/>
  <c r="A2434" i="68"/>
  <c r="A619" i="68"/>
  <c r="A32" i="68"/>
  <c r="A628" i="68"/>
  <c r="A1060" i="68"/>
  <c r="A1327" i="68"/>
  <c r="A1571" i="68"/>
  <c r="A511" i="68"/>
  <c r="A2149" i="68"/>
  <c r="A1581" i="68"/>
  <c r="A2168" i="68"/>
  <c r="A2222" i="68"/>
  <c r="A1960" i="68"/>
  <c r="A151" i="68"/>
  <c r="A73" i="68"/>
  <c r="A1242" i="68"/>
  <c r="A2332" i="68"/>
  <c r="A709" i="68"/>
  <c r="A1795" i="68"/>
  <c r="A253" i="68"/>
  <c r="A1428" i="68"/>
  <c r="A914" i="68"/>
  <c r="A167" i="68"/>
  <c r="A2955" i="68"/>
  <c r="A600" i="68"/>
  <c r="A2510" i="68"/>
  <c r="A1928" i="68"/>
  <c r="A249" i="68"/>
  <c r="A1931" i="68"/>
  <c r="A2902" i="68"/>
  <c r="A50" i="68"/>
  <c r="A1162" i="68"/>
  <c r="A2653" i="68"/>
  <c r="A2521" i="68"/>
  <c r="A1614" i="68"/>
  <c r="A2269" i="68"/>
  <c r="A599" i="68"/>
  <c r="A762" i="68"/>
  <c r="A756" i="68"/>
  <c r="A325" i="68"/>
  <c r="A1569" i="68"/>
  <c r="A330" i="68"/>
  <c r="A784" i="68"/>
  <c r="A1520" i="68"/>
  <c r="A1766" i="68"/>
  <c r="A1508" i="68"/>
  <c r="A549" i="68"/>
  <c r="A2405" i="68"/>
  <c r="A2004" i="68"/>
  <c r="A1348" i="68"/>
  <c r="A1988" i="68"/>
  <c r="A2714" i="68"/>
  <c r="A418" i="68"/>
  <c r="A212" i="68"/>
  <c r="A2874" i="68"/>
  <c r="A2689" i="68"/>
  <c r="A63" i="68"/>
  <c r="A732" i="68"/>
  <c r="A825" i="68"/>
  <c r="A1253" i="68"/>
  <c r="B2395" i="68"/>
  <c r="A11" i="68"/>
  <c r="A2573" i="68"/>
  <c r="A436" i="68"/>
  <c r="A1601" i="68"/>
  <c r="A1717" i="68"/>
  <c r="A405" i="68"/>
  <c r="A2422" i="68"/>
  <c r="A2561" i="68"/>
  <c r="A1282" i="68"/>
  <c r="A444" i="68"/>
  <c r="A794" i="68"/>
  <c r="A1108" i="68"/>
  <c r="A2618" i="68"/>
  <c r="A620" i="68"/>
  <c r="A2050" i="68"/>
  <c r="A1256" i="68"/>
  <c r="A921" i="68"/>
  <c r="A2748" i="68"/>
  <c r="A841" i="68"/>
  <c r="A740" i="68"/>
  <c r="D7" i="44"/>
  <c r="A1218" i="68"/>
  <c r="A2195" i="68"/>
  <c r="A1384" i="68"/>
  <c r="A1454" i="68"/>
  <c r="A2003" i="68"/>
  <c r="A1379" i="68"/>
  <c r="A979" i="68"/>
  <c r="A1136" i="68"/>
  <c r="A987" i="68"/>
  <c r="A348" i="68"/>
  <c r="A821" i="68"/>
  <c r="A256" i="68"/>
  <c r="A2276" i="68"/>
  <c r="A501" i="68"/>
  <c r="A2877" i="68"/>
  <c r="A2116" i="68"/>
  <c r="A2162" i="68"/>
  <c r="A2982" i="68"/>
  <c r="A1115" i="68"/>
  <c r="A2463" i="68"/>
  <c r="A2476" i="68"/>
  <c r="A1574" i="68"/>
  <c r="A464" i="68"/>
  <c r="A559" i="68"/>
  <c r="A638" i="68"/>
  <c r="A1913" i="68"/>
  <c r="A2283" i="68"/>
  <c r="A833" i="68"/>
  <c r="A2015" i="68"/>
  <c r="A99" i="68"/>
  <c r="A1326" i="68"/>
  <c r="A1353" i="68"/>
  <c r="A2235" i="68"/>
  <c r="A2409" i="68"/>
  <c r="A135" i="68"/>
  <c r="A1986" i="68"/>
  <c r="A1977" i="68"/>
  <c r="A1310" i="68"/>
  <c r="A904" i="68"/>
  <c r="B1376" i="68"/>
  <c r="A189" i="68"/>
  <c r="A2499" i="68"/>
  <c r="A633" i="68"/>
  <c r="A1465" i="68"/>
  <c r="A1617" i="68"/>
  <c r="A493" i="68"/>
  <c r="A309" i="68"/>
  <c r="A2507" i="68"/>
  <c r="A1101" i="68"/>
  <c r="A2095" i="68"/>
  <c r="A1217" i="68"/>
  <c r="A2856" i="68"/>
  <c r="A2369" i="68"/>
  <c r="A216" i="68"/>
  <c r="A2188" i="68"/>
  <c r="A930" i="68"/>
  <c r="A177" i="68"/>
  <c r="A2057" i="68"/>
  <c r="A1905" i="68"/>
  <c r="A1387" i="68"/>
  <c r="A1275" i="68"/>
  <c r="A1324" i="68"/>
  <c r="A2197" i="68"/>
  <c r="A428" i="68"/>
  <c r="A2869" i="68"/>
  <c r="A1671" i="68"/>
  <c r="A533" i="68"/>
  <c r="A808" i="68"/>
  <c r="A802" i="68"/>
  <c r="A1402" i="68"/>
  <c r="A48" i="68"/>
  <c r="A1918" i="68"/>
  <c r="A2109" i="68"/>
  <c r="A1687" i="68"/>
  <c r="A193" i="68"/>
  <c r="A378" i="68"/>
  <c r="A2501" i="68"/>
  <c r="B2817" i="68"/>
  <c r="B2937" i="68"/>
  <c r="B1117" i="68"/>
  <c r="B1105" i="68"/>
  <c r="B494" i="68"/>
  <c r="B387" i="68"/>
  <c r="A937" i="68"/>
  <c r="A1243" i="68"/>
  <c r="A1063" i="68"/>
  <c r="A1680" i="68"/>
  <c r="A1386" i="68"/>
  <c r="A556" i="68"/>
  <c r="A1167" i="68"/>
  <c r="A563" i="68"/>
  <c r="A1855" i="68"/>
  <c r="A1070" i="68"/>
  <c r="A1192" i="68"/>
  <c r="A1233" i="68"/>
  <c r="A1940" i="68"/>
  <c r="A1622" i="68"/>
  <c r="A2089" i="68"/>
  <c r="A1053" i="68"/>
  <c r="A736" i="68"/>
  <c r="B2929" i="68"/>
  <c r="B983" i="68"/>
  <c r="B416" i="68"/>
  <c r="A1893" i="68"/>
  <c r="A102" i="68"/>
  <c r="A920" i="68"/>
  <c r="A2932" i="68"/>
  <c r="A2014" i="68"/>
  <c r="A882" i="68"/>
  <c r="A1877" i="68"/>
  <c r="A948" i="68"/>
  <c r="A2019" i="68"/>
  <c r="A90" i="68"/>
  <c r="A2011" i="68"/>
  <c r="B1193" i="68"/>
  <c r="A1664" i="68"/>
  <c r="A1145" i="68"/>
  <c r="B2082" i="68"/>
  <c r="A791" i="68"/>
  <c r="A239" i="68"/>
  <c r="A2954" i="68"/>
  <c r="A1322" i="68"/>
  <c r="B2531" i="68"/>
  <c r="B1393" i="68"/>
  <c r="B751" i="68"/>
  <c r="B1326" i="68"/>
  <c r="A713" i="68"/>
  <c r="A950" i="68"/>
  <c r="A2141" i="68"/>
  <c r="A1808" i="68"/>
  <c r="A1594" i="68"/>
  <c r="A495" i="68"/>
  <c r="B2388" i="68"/>
  <c r="A1586" i="68"/>
  <c r="A2629" i="68"/>
  <c r="A1942" i="68"/>
  <c r="A1025" i="68"/>
  <c r="A1876" i="68"/>
  <c r="A1130" i="68"/>
  <c r="A2767" i="68"/>
  <c r="A1967" i="68"/>
  <c r="A2776" i="68"/>
  <c r="A24" i="68"/>
  <c r="A1564" i="68"/>
  <c r="A221" i="68"/>
  <c r="A1628" i="68"/>
  <c r="B2579" i="68"/>
  <c r="B2981" i="68"/>
  <c r="B516" i="68"/>
  <c r="B1519" i="68"/>
  <c r="B527" i="68"/>
  <c r="B330" i="68"/>
  <c r="B2422" i="68"/>
  <c r="B7" i="68"/>
  <c r="A934" i="68"/>
  <c r="A1420" i="68"/>
  <c r="A875" i="68"/>
  <c r="A2761" i="68"/>
  <c r="A392" i="68"/>
  <c r="A864" i="68"/>
  <c r="A2005" i="68"/>
  <c r="A954" i="68"/>
  <c r="A2537" i="68"/>
  <c r="A454" i="68"/>
  <c r="A2319" i="68"/>
  <c r="B1180" i="68"/>
  <c r="A2115" i="68"/>
  <c r="B1063" i="68"/>
  <c r="A485" i="68"/>
  <c r="B421" i="68"/>
  <c r="A103" i="68"/>
  <c r="A1228" i="68"/>
  <c r="A2519" i="68"/>
  <c r="A2062" i="68"/>
  <c r="B2839" i="68"/>
  <c r="B1835" i="68"/>
  <c r="B412" i="68"/>
  <c r="B257" i="68"/>
  <c r="A1259" i="68"/>
  <c r="A1048" i="68"/>
  <c r="A2164" i="68"/>
  <c r="A1985" i="68"/>
  <c r="A1412" i="68"/>
  <c r="A1203" i="68"/>
  <c r="A1649" i="68"/>
  <c r="A1641" i="68"/>
  <c r="A2566" i="68"/>
  <c r="A1294" i="68"/>
  <c r="A456" i="68"/>
  <c r="A1023" i="68"/>
  <c r="A1095" i="68"/>
  <c r="A1624" i="68"/>
  <c r="A286" i="68"/>
  <c r="A2406" i="68"/>
  <c r="A2888" i="68"/>
  <c r="A1827" i="68"/>
  <c r="A783" i="68"/>
  <c r="A2965" i="68"/>
  <c r="A1599" i="68"/>
  <c r="A1518" i="68"/>
  <c r="A1735" i="68"/>
  <c r="A1658" i="68"/>
  <c r="A530" i="68"/>
  <c r="A2780" i="68"/>
  <c r="B2780" i="68" s="1"/>
  <c r="A539" i="68"/>
  <c r="A2478" i="68"/>
  <c r="A2623" i="68"/>
  <c r="A1971" i="68"/>
  <c r="A1912" i="68"/>
  <c r="A2119" i="68"/>
  <c r="A2340" i="68"/>
  <c r="A2442" i="68"/>
  <c r="B2239" i="68"/>
  <c r="A1525" i="68"/>
  <c r="A1347" i="68"/>
  <c r="A1774" i="68"/>
  <c r="A2232" i="68"/>
  <c r="A97" i="68"/>
  <c r="A448" i="68"/>
  <c r="A84" i="68"/>
  <c r="A483" i="68"/>
  <c r="A1900" i="68"/>
  <c r="A1485" i="68"/>
  <c r="A2765" i="68"/>
  <c r="A72" i="68"/>
  <c r="A1176" i="68"/>
  <c r="A748" i="68"/>
  <c r="A1511" i="68"/>
  <c r="A1453" i="68"/>
  <c r="A2548" i="68"/>
  <c r="A2539" i="68"/>
  <c r="A1127" i="68"/>
  <c r="A1264" i="68"/>
  <c r="A830" i="68"/>
  <c r="A2260" i="68"/>
  <c r="A2080" i="68"/>
  <c r="A1035" i="68"/>
  <c r="A145" i="68"/>
  <c r="A2030" i="68"/>
  <c r="A705" i="68"/>
  <c r="A455" i="68"/>
  <c r="A40" i="68"/>
  <c r="A1676" i="68"/>
  <c r="A538" i="68"/>
  <c r="A1962" i="68"/>
  <c r="A969" i="68"/>
  <c r="A1922" i="68"/>
  <c r="A856" i="68"/>
  <c r="B1887" i="68"/>
  <c r="A1757" i="68"/>
  <c r="A2160" i="68"/>
  <c r="A679" i="68"/>
  <c r="A1810" i="68"/>
  <c r="A1158" i="68"/>
  <c r="A2783" i="68"/>
  <c r="A2755" i="68"/>
  <c r="A1143" i="68"/>
  <c r="A1644" i="68"/>
  <c r="A2638" i="68"/>
  <c r="A2991" i="68"/>
  <c r="A2381" i="68"/>
  <c r="A277" i="68"/>
  <c r="A1461" i="68"/>
  <c r="A1761" i="68"/>
  <c r="A1793" i="68"/>
  <c r="A888" i="68"/>
  <c r="A1346" i="68"/>
  <c r="A1250" i="68"/>
  <c r="A960" i="68"/>
  <c r="A2094" i="68"/>
  <c r="A2786" i="68"/>
  <c r="A2301" i="68"/>
  <c r="A68" i="68"/>
  <c r="A2456" i="68"/>
  <c r="A27" i="68"/>
  <c r="A155" i="68"/>
  <c r="A2389" i="68"/>
  <c r="A893" i="68"/>
  <c r="A1112" i="68"/>
  <c r="A180" i="68"/>
  <c r="A463" i="68"/>
  <c r="A1355" i="68"/>
  <c r="A1469" i="68"/>
  <c r="A220" i="68"/>
  <c r="A1499" i="68"/>
  <c r="A761" i="68"/>
  <c r="A707" i="68"/>
  <c r="A1833" i="68"/>
  <c r="A2868" i="68"/>
  <c r="A669" i="68"/>
  <c r="A2551" i="68"/>
  <c r="A2884" i="68"/>
  <c r="B716" i="68"/>
  <c r="A1349" i="68"/>
  <c r="A863" i="68"/>
  <c r="A3001" i="68"/>
  <c r="A1627" i="68"/>
  <c r="A134" i="68"/>
  <c r="A2403" i="68"/>
  <c r="A2339" i="68"/>
  <c r="A757" i="68"/>
  <c r="A851" i="68"/>
  <c r="A1939" i="68"/>
  <c r="A730" i="68"/>
  <c r="A174" i="68"/>
  <c r="A2457" i="68"/>
  <c r="A197" i="68"/>
  <c r="B49" i="68"/>
  <c r="B47" i="68"/>
  <c r="B2191" i="68"/>
  <c r="B86" i="68"/>
  <c r="B2047" i="68"/>
  <c r="B2715" i="68"/>
  <c r="A1533" i="68"/>
  <c r="A1718" i="68"/>
  <c r="A2849" i="68"/>
  <c r="A1266" i="68"/>
  <c r="A2944" i="68"/>
  <c r="A2564" i="68"/>
  <c r="A1697" i="68"/>
  <c r="A362" i="68"/>
  <c r="A2726" i="68"/>
  <c r="A2460" i="68"/>
  <c r="B2460" i="68" s="1"/>
  <c r="A2775" i="68"/>
  <c r="A1425" i="68"/>
  <c r="A2179" i="68"/>
  <c r="A1935" i="68"/>
  <c r="B2055" i="68"/>
  <c r="A2712" i="68"/>
  <c r="A225" i="68"/>
  <c r="A1956" i="68"/>
  <c r="A2758" i="68"/>
  <c r="B741" i="68"/>
  <c r="B1795" i="68"/>
  <c r="B1291" i="68"/>
  <c r="A702" i="68"/>
  <c r="A113" i="68"/>
  <c r="A1445" i="68"/>
  <c r="A2706" i="68"/>
  <c r="A1660" i="68"/>
  <c r="A2275" i="68"/>
  <c r="A1947" i="68"/>
  <c r="A532" i="68"/>
  <c r="A2489" i="68"/>
  <c r="B9" i="68"/>
  <c r="A1899" i="68"/>
  <c r="A263" i="68"/>
  <c r="A745" i="68"/>
  <c r="A2906" i="68"/>
  <c r="A1321" i="68"/>
  <c r="A1921" i="68"/>
  <c r="B2389" i="68"/>
  <c r="A2532" i="68"/>
  <c r="A797" i="68"/>
  <c r="B595" i="68"/>
  <c r="B2201" i="68"/>
  <c r="B2188" i="68"/>
  <c r="B139" i="68"/>
  <c r="B183" i="68"/>
  <c r="B1282" i="68"/>
  <c r="A891" i="68"/>
  <c r="A779" i="68"/>
  <c r="A88" i="68"/>
  <c r="A2970" i="68"/>
  <c r="A2432" i="68"/>
  <c r="B2065" i="68"/>
  <c r="A510" i="68"/>
  <c r="A1481" i="68"/>
  <c r="A476" i="68"/>
  <c r="A2820" i="68"/>
  <c r="A1902" i="68"/>
  <c r="A1309" i="68"/>
  <c r="A420" i="68"/>
  <c r="A1910" i="68"/>
  <c r="A938" i="68"/>
  <c r="A2655" i="68"/>
  <c r="A526" i="68"/>
  <c r="A1958" i="68"/>
  <c r="A729" i="68"/>
  <c r="B1643" i="68"/>
  <c r="B2403" i="68"/>
  <c r="B2232" i="68"/>
  <c r="B679" i="68"/>
  <c r="A285" i="68"/>
  <c r="A1319" i="68"/>
  <c r="A1597" i="68"/>
  <c r="A2812" i="68"/>
  <c r="A1698" i="68"/>
  <c r="A424" i="68"/>
  <c r="A584" i="68"/>
  <c r="A259" i="68"/>
  <c r="A251" i="68"/>
  <c r="A254" i="68"/>
  <c r="A2208" i="68"/>
  <c r="A1812" i="68"/>
  <c r="A2517" i="68"/>
  <c r="A2968" i="68"/>
  <c r="B1181" i="68"/>
  <c r="A848" i="68"/>
  <c r="A81" i="68"/>
  <c r="A1983" i="68"/>
  <c r="B109" i="68"/>
  <c r="B2590" i="68"/>
  <c r="B1347" i="68"/>
  <c r="A1372" i="68"/>
  <c r="A2025" i="68"/>
  <c r="A2622" i="68"/>
  <c r="A1504" i="68"/>
  <c r="A1731" i="68"/>
  <c r="A698" i="68"/>
  <c r="A426" i="68"/>
  <c r="A1156" i="68"/>
  <c r="A895" i="68"/>
  <c r="A2691" i="68"/>
  <c r="A1819" i="68"/>
  <c r="A2923" i="68"/>
  <c r="A1361" i="68"/>
  <c r="A1358" i="68"/>
  <c r="A2974" i="68"/>
  <c r="A1787" i="68"/>
  <c r="A401" i="68"/>
  <c r="A2096" i="68"/>
  <c r="A1405" i="68"/>
  <c r="A1509" i="68"/>
  <c r="A1748" i="68"/>
  <c r="A1123" i="68"/>
  <c r="A942" i="68"/>
  <c r="A2142" i="68"/>
  <c r="A1205" i="68"/>
  <c r="A71" i="68"/>
  <c r="A554" i="68"/>
  <c r="A2238" i="68"/>
  <c r="B2238" i="68" s="1"/>
  <c r="A2211" i="68"/>
  <c r="A682" i="68"/>
  <c r="A2492" i="68"/>
  <c r="A1693" i="68"/>
  <c r="A1125" i="68"/>
  <c r="A1857" i="68"/>
  <c r="A1814" i="68"/>
  <c r="A1797" i="68"/>
  <c r="A657" i="68"/>
  <c r="A281" i="68"/>
  <c r="A2484" i="68"/>
  <c r="A1434" i="68"/>
  <c r="A2299" i="68"/>
  <c r="A1134" i="68"/>
  <c r="B1134" i="68" s="1"/>
  <c r="A518" i="68"/>
  <c r="A1953" i="68"/>
  <c r="A773" i="68"/>
  <c r="A2779" i="68"/>
  <c r="A2640" i="68"/>
  <c r="B1871" i="68"/>
  <c r="A1937" i="68"/>
  <c r="A2993" i="68"/>
  <c r="A2878" i="68"/>
  <c r="A2567" i="68"/>
  <c r="A2063" i="68"/>
  <c r="A2223" i="68"/>
  <c r="A2045" i="68"/>
  <c r="A1380" i="68"/>
  <c r="A2445" i="68"/>
  <c r="A2236" i="68"/>
  <c r="A1749" i="68"/>
  <c r="A2031" i="68"/>
  <c r="A2092" i="68"/>
  <c r="A124" i="68"/>
  <c r="A111" i="68"/>
  <c r="A2023" i="68"/>
  <c r="A1195" i="68"/>
  <c r="A1565" i="68"/>
  <c r="A1966" i="68"/>
  <c r="A434" i="68"/>
  <c r="A1549" i="68"/>
  <c r="A1199" i="68"/>
  <c r="B1199" i="68" s="1"/>
  <c r="A611" i="68"/>
  <c r="A12" i="68"/>
  <c r="A785" i="68"/>
  <c r="A284" i="68"/>
  <c r="A2584" i="68"/>
  <c r="A459" i="68"/>
  <c r="A1222" i="68"/>
  <c r="B2870" i="68"/>
  <c r="A916" i="68"/>
  <c r="A2699" i="68"/>
  <c r="A793" i="68"/>
  <c r="A2433" i="68"/>
  <c r="A1194" i="68"/>
  <c r="A1306" i="68"/>
  <c r="A318" i="68"/>
  <c r="A1237" i="68"/>
  <c r="A2368" i="68"/>
  <c r="B712" i="68"/>
  <c r="A441" i="68"/>
  <c r="A2565" i="68"/>
  <c r="A656" i="68"/>
  <c r="A742" i="68"/>
  <c r="A54" i="68"/>
  <c r="A136" i="68"/>
  <c r="A340" i="68"/>
  <c r="A1611" i="68"/>
  <c r="A2855" i="68"/>
  <c r="A2233" i="68"/>
  <c r="A1041" i="68"/>
  <c r="A1436" i="68"/>
  <c r="A811" i="68"/>
  <c r="A1078" i="68"/>
  <c r="A1702" i="68"/>
  <c r="A1051" i="68"/>
  <c r="A1675" i="68"/>
  <c r="A646" i="68"/>
  <c r="A1171" i="68"/>
  <c r="A1441" i="68"/>
  <c r="A1028" i="68"/>
  <c r="A2102" i="68"/>
  <c r="A873" i="68"/>
  <c r="A2766" i="68"/>
  <c r="A2559" i="68"/>
  <c r="A2441" i="68"/>
  <c r="B2360" i="68"/>
  <c r="B2982" i="68"/>
  <c r="A2000" i="68"/>
  <c r="A2488" i="68"/>
  <c r="A232" i="68"/>
  <c r="A1104" i="68"/>
  <c r="A1916" i="68"/>
  <c r="A858" i="68"/>
  <c r="A2774" i="68"/>
  <c r="B2144" i="68"/>
  <c r="A1139" i="68"/>
  <c r="A1708" i="68"/>
  <c r="A2074" i="68"/>
  <c r="A910" i="68"/>
  <c r="B438" i="68"/>
  <c r="B2021" i="68"/>
  <c r="B881" i="68"/>
  <c r="B1088" i="68"/>
  <c r="B141" i="68"/>
  <c r="A1888" i="68"/>
  <c r="A2904" i="68"/>
  <c r="A2103" i="68"/>
  <c r="A828" i="68"/>
  <c r="A1172" i="68"/>
  <c r="A319" i="68"/>
  <c r="A1475" i="68"/>
  <c r="A842" i="68"/>
  <c r="A2996" i="68"/>
  <c r="A2546" i="68"/>
  <c r="A1842" i="68"/>
  <c r="A1040" i="68"/>
  <c r="A2721" i="68"/>
  <c r="A2631" i="68"/>
  <c r="A339" i="68"/>
  <c r="A1277" i="68"/>
  <c r="A557" i="68"/>
  <c r="A2604" i="68"/>
  <c r="A591" i="68"/>
  <c r="B1549" i="68"/>
  <c r="B1354" i="68"/>
  <c r="B1630" i="68"/>
  <c r="B316" i="68"/>
  <c r="A2382" i="68"/>
  <c r="A1897" i="68"/>
  <c r="A1400" i="68"/>
  <c r="A1403" i="68"/>
  <c r="A2474" i="68"/>
  <c r="B1254" i="68"/>
  <c r="B987" i="68"/>
  <c r="A1679" i="68"/>
  <c r="A795" i="68"/>
  <c r="A2032" i="68"/>
  <c r="A1265" i="68"/>
  <c r="B2029" i="68"/>
  <c r="A2635" i="68"/>
  <c r="A1723" i="68"/>
  <c r="A2313" i="68"/>
  <c r="A2666" i="68"/>
  <c r="A1646" i="68"/>
  <c r="A323" i="68"/>
  <c r="A2818" i="68"/>
  <c r="B792" i="68"/>
  <c r="B2721" i="68"/>
  <c r="B2116" i="68"/>
  <c r="B378" i="68"/>
  <c r="B533" i="68"/>
  <c r="B479" i="68"/>
  <c r="A487" i="68"/>
  <c r="A1214" i="68"/>
  <c r="A14" i="68"/>
  <c r="A433" i="68"/>
  <c r="A228" i="68"/>
  <c r="A1777" i="68"/>
  <c r="A719" i="68"/>
  <c r="A1255" i="68"/>
  <c r="A2777" i="68"/>
  <c r="B2777" i="68" s="1"/>
  <c r="A2465" i="68"/>
  <c r="A2649" i="68"/>
  <c r="A2805" i="68"/>
  <c r="A714" i="68"/>
  <c r="A1907" i="68"/>
  <c r="B2745" i="68"/>
  <c r="A1458" i="68"/>
  <c r="B2654" i="68"/>
  <c r="A2329" i="68"/>
  <c r="A2317" i="68"/>
  <c r="A1737" i="68"/>
  <c r="B1624" i="68"/>
  <c r="B2955" i="68"/>
  <c r="B2073" i="68"/>
  <c r="B1892" i="68"/>
  <c r="B371" i="68"/>
  <c r="B1520" i="68"/>
  <c r="B777" i="68"/>
  <c r="B1493" i="68"/>
  <c r="A146" i="68"/>
  <c r="A905" i="68"/>
  <c r="A75" i="68"/>
  <c r="A1506" i="68"/>
  <c r="A295" i="68"/>
  <c r="A1968" i="68"/>
  <c r="A1307" i="68"/>
  <c r="A2735" i="68"/>
  <c r="A1982" i="68"/>
  <c r="B2241" i="68"/>
  <c r="A1853" i="68"/>
  <c r="A1495" i="68"/>
  <c r="A152" i="68"/>
  <c r="A2310" i="68"/>
  <c r="A2971" i="68"/>
  <c r="A144" i="68"/>
  <c r="A115" i="68"/>
  <c r="A1399" i="68"/>
  <c r="A2652" i="68"/>
  <c r="B2714" i="68"/>
  <c r="B2998" i="68"/>
  <c r="B1192" i="68"/>
  <c r="B2484" i="68"/>
  <c r="A2683" i="68"/>
  <c r="A112" i="68"/>
  <c r="A130" i="68"/>
  <c r="A2335" i="68"/>
  <c r="A2435" i="68"/>
  <c r="A166" i="68"/>
  <c r="A2234" i="68"/>
  <c r="A368" i="68"/>
  <c r="A2404" i="68"/>
  <c r="B2404" i="68" s="1"/>
  <c r="A1408" i="68"/>
  <c r="A28" i="68"/>
  <c r="A2068" i="68"/>
  <c r="A184" i="68"/>
  <c r="A2466" i="68"/>
  <c r="A2907" i="68"/>
  <c r="A53" i="68"/>
  <c r="A941" i="68"/>
  <c r="A579" i="68"/>
  <c r="A2337" i="68"/>
  <c r="A1782" i="68"/>
  <c r="A876" i="68"/>
  <c r="A1444" i="68"/>
  <c r="A2371" i="68"/>
  <c r="A2120" i="68"/>
  <c r="A2626" i="68"/>
  <c r="B2626" i="68" s="1"/>
  <c r="A2977" i="68"/>
  <c r="B2391" i="68"/>
  <c r="A2572" i="68"/>
  <c r="A458" i="68"/>
  <c r="B458" i="68" s="1"/>
  <c r="A2129" i="68"/>
  <c r="A1072" i="68"/>
  <c r="A2732" i="68"/>
  <c r="A726" i="68"/>
  <c r="A96" i="68"/>
  <c r="A2249" i="68"/>
  <c r="A2390" i="68"/>
  <c r="A162" i="68"/>
  <c r="A415" i="68"/>
  <c r="A234" i="68"/>
  <c r="A2210" i="68"/>
  <c r="A391" i="68"/>
  <c r="A2504" i="68"/>
  <c r="A739" i="68"/>
  <c r="A2621" i="68"/>
  <c r="A839" i="68"/>
  <c r="A2398" i="68"/>
  <c r="A1501" i="68"/>
  <c r="A34" i="68"/>
  <c r="A477" i="68"/>
  <c r="A718" i="68"/>
  <c r="A1946" i="68"/>
  <c r="A2083" i="68"/>
  <c r="A2348" i="68"/>
  <c r="B2348" i="68" s="1"/>
  <c r="A2052" i="68"/>
  <c r="A1118" i="68"/>
  <c r="A2677" i="68"/>
  <c r="A235" i="68"/>
  <c r="A1065" i="68"/>
  <c r="A2145" i="68"/>
  <c r="A564" i="68"/>
  <c r="A2322" i="68"/>
  <c r="A1497" i="68"/>
  <c r="A1534" i="68"/>
  <c r="B1534" i="68" s="1"/>
  <c r="A1187" i="68"/>
  <c r="A2829" i="68"/>
  <c r="A26" i="68"/>
  <c r="B26" i="68" s="1"/>
  <c r="A1140" i="68"/>
  <c r="A1431" i="68"/>
  <c r="A1555" i="68"/>
  <c r="A1600" i="68"/>
  <c r="A1295" i="68"/>
  <c r="A2151" i="68"/>
  <c r="A542" i="68"/>
  <c r="A1979" i="68"/>
  <c r="A1834" i="68"/>
  <c r="A1762" i="68"/>
  <c r="A1110" i="68"/>
  <c r="A2668" i="68"/>
  <c r="A2794" i="68"/>
  <c r="A1745" i="68"/>
  <c r="A1215" i="68"/>
  <c r="A307" i="68"/>
  <c r="A1251" i="68"/>
  <c r="A2695" i="68"/>
  <c r="A2033" i="68"/>
  <c r="A1280" i="68"/>
  <c r="B1280" i="68" s="1"/>
  <c r="A268" i="68"/>
  <c r="B2782" i="68"/>
  <c r="A1981" i="68"/>
  <c r="A2552" i="68"/>
  <c r="A2905" i="68"/>
  <c r="A845" i="68"/>
  <c r="A1959" i="68"/>
  <c r="A2012" i="68"/>
  <c r="B2012" i="68" s="1"/>
  <c r="A195" i="68"/>
  <c r="A404" i="68"/>
  <c r="A813" i="68"/>
  <c r="A1287" i="68"/>
  <c r="A743" i="68"/>
  <c r="A2093" i="68"/>
  <c r="A515" i="68"/>
  <c r="A414" i="68"/>
  <c r="A376" i="68"/>
  <c r="A2298" i="68"/>
  <c r="A273" i="68"/>
  <c r="A1030" i="68"/>
  <c r="B1030" i="68" s="1"/>
  <c r="A1760" i="68"/>
  <c r="A2255" i="68"/>
  <c r="A2098" i="68"/>
  <c r="A469" i="68"/>
  <c r="A482" i="68"/>
  <c r="A537" i="68"/>
  <c r="A1589" i="68"/>
  <c r="A1276" i="68"/>
  <c r="A1751" i="68"/>
  <c r="A2612" i="68"/>
  <c r="A2620" i="68"/>
  <c r="A990" i="68"/>
  <c r="A886" i="68"/>
  <c r="A2237" i="68"/>
  <c r="A804" i="68"/>
  <c r="A2020" i="68"/>
  <c r="A326" i="68"/>
  <c r="A252" i="68"/>
  <c r="A2438" i="68"/>
  <c r="B1218" i="68"/>
  <c r="B1571" i="68"/>
  <c r="B914" i="68"/>
  <c r="B1384" i="68"/>
  <c r="B2552" i="68"/>
  <c r="B1681" i="68"/>
  <c r="A2253" i="68"/>
  <c r="A490" i="68"/>
  <c r="A1055" i="68"/>
  <c r="A838" i="68"/>
  <c r="B986" i="68"/>
  <c r="A2258" i="68"/>
  <c r="A1639" i="68"/>
  <c r="A605" i="68"/>
  <c r="A2713" i="68"/>
  <c r="A419" i="68"/>
  <c r="A2538" i="68"/>
  <c r="A2362" i="68"/>
  <c r="B2210" i="68"/>
  <c r="A1807" i="68"/>
  <c r="A1414" i="68"/>
  <c r="A2789" i="68"/>
  <c r="A468" i="68"/>
  <c r="B468" i="68" s="1"/>
  <c r="A357" i="68"/>
  <c r="A2952" i="68"/>
  <c r="B2195" i="68"/>
  <c r="B804" i="68"/>
  <c r="B362" i="68"/>
  <c r="B2078" i="68"/>
  <c r="A798" i="68"/>
  <c r="A275" i="68"/>
  <c r="A844" i="68"/>
  <c r="A2705" i="68"/>
  <c r="A1201" i="68"/>
  <c r="A2615" i="68"/>
  <c r="A51" i="68"/>
  <c r="A1606" i="68"/>
  <c r="A2756" i="68"/>
  <c r="A2613" i="68"/>
  <c r="A2910" i="68"/>
  <c r="A383" i="68"/>
  <c r="A770" i="68"/>
  <c r="A2156" i="68"/>
  <c r="A175" i="68"/>
  <c r="B175" i="68" s="1"/>
  <c r="A1954" i="68"/>
  <c r="A1616" i="68"/>
  <c r="A560" i="68"/>
  <c r="A2606" i="68"/>
  <c r="B828" i="68"/>
  <c r="B2330" i="68"/>
  <c r="B721" i="68"/>
  <c r="B2283" i="68"/>
  <c r="B2914" i="68"/>
  <c r="B2713" i="68"/>
  <c r="A892" i="68"/>
  <c r="A503" i="68"/>
  <c r="A2267" i="68"/>
  <c r="A422" i="68"/>
  <c r="A1185" i="68"/>
  <c r="A1570" i="68"/>
  <c r="A2173" i="68"/>
  <c r="A2983" i="68"/>
  <c r="A1753" i="68"/>
  <c r="A1009" i="68"/>
  <c r="B1161" i="68"/>
  <c r="A2067" i="68"/>
  <c r="A1335" i="68"/>
  <c r="A2426" i="68"/>
  <c r="A2" i="68"/>
  <c r="B2" i="68" s="1"/>
  <c r="A2963" i="68"/>
  <c r="B1266" i="68"/>
  <c r="A2305" i="68"/>
  <c r="A1883" i="68"/>
  <c r="B519" i="68"/>
  <c r="B2888" i="68"/>
  <c r="B860" i="68"/>
  <c r="B1686" i="68"/>
  <c r="B246" i="68"/>
  <c r="B1400" i="68"/>
  <c r="B919" i="68"/>
  <c r="B1227" i="68"/>
  <c r="B2479" i="68"/>
  <c r="B867" i="68"/>
  <c r="B2014" i="68"/>
  <c r="B1764" i="68"/>
  <c r="A2568" i="68"/>
  <c r="A1039" i="68"/>
  <c r="A674" i="68"/>
  <c r="A2788" i="68"/>
  <c r="A1850" i="68"/>
  <c r="A772" i="68"/>
  <c r="A985" i="68"/>
  <c r="A2675" i="68"/>
  <c r="A2997" i="68"/>
  <c r="A2414" i="68"/>
  <c r="A968" i="68"/>
  <c r="A1882" i="68"/>
  <c r="A1031" i="68"/>
  <c r="A2272" i="68"/>
  <c r="B2247" i="68"/>
  <c r="A621" i="68"/>
  <c r="A2176" i="68"/>
  <c r="A2943" i="68"/>
  <c r="A2043" i="68"/>
  <c r="B2017" i="68"/>
  <c r="B2150" i="68"/>
  <c r="B2259" i="68"/>
  <c r="B545" i="68"/>
  <c r="B1268" i="68"/>
  <c r="B1470" i="68"/>
  <c r="B8" i="68"/>
  <c r="A1705" i="68"/>
  <c r="A2374" i="68"/>
  <c r="A1211" i="68"/>
  <c r="B1211" i="68" s="1"/>
  <c r="A850" i="68"/>
  <c r="A1016" i="68"/>
  <c r="A963" i="68"/>
  <c r="A3" i="68"/>
  <c r="A966" i="68"/>
  <c r="A292" i="68"/>
  <c r="A2402" i="68"/>
  <c r="A1818" i="68"/>
  <c r="A2608" i="68"/>
  <c r="B2608" i="68" s="1"/>
  <c r="A443" i="68"/>
  <c r="A1557" i="68"/>
  <c r="A1634" i="68"/>
  <c r="A994" i="68"/>
  <c r="B2490" i="68"/>
  <c r="A1304" i="68"/>
  <c r="A18" i="68"/>
  <c r="A2751" i="68"/>
  <c r="A382" i="68"/>
  <c r="A1919" i="68"/>
  <c r="A836" i="68"/>
  <c r="A1548" i="68"/>
  <c r="A367" i="68"/>
  <c r="A2449" i="68"/>
  <c r="A2797" i="68"/>
  <c r="A1371" i="68"/>
  <c r="A128" i="68"/>
  <c r="A696" i="68"/>
  <c r="A2558" i="68"/>
  <c r="A1840" i="68"/>
  <c r="A2554" i="68"/>
  <c r="A1206" i="68"/>
  <c r="A2132" i="68"/>
  <c r="B2132" i="68" s="1"/>
  <c r="A276" i="68"/>
  <c r="A2956" i="68"/>
  <c r="A92" i="68"/>
  <c r="A270" i="68"/>
  <c r="A2316" i="68"/>
  <c r="B2316" i="68" s="1"/>
  <c r="A1598" i="68"/>
  <c r="A2204" i="68"/>
  <c r="A2153" i="68"/>
  <c r="A2750" i="68"/>
  <c r="A1184" i="68"/>
  <c r="B1184" i="68" s="1"/>
  <c r="A317" i="68"/>
  <c r="A635" i="68"/>
  <c r="A1510" i="68"/>
  <c r="A2875" i="68"/>
  <c r="A1311" i="68"/>
  <c r="A2938" i="68"/>
  <c r="A364" i="68"/>
  <c r="A733" i="68"/>
  <c r="A768" i="68"/>
  <c r="B768" i="68" s="1"/>
  <c r="A313" i="68"/>
  <c r="A95" i="68"/>
  <c r="A350" i="68"/>
  <c r="A2104" i="68"/>
  <c r="A351" i="68"/>
  <c r="A627" i="68"/>
  <c r="A1661" i="68"/>
  <c r="A706" i="68"/>
  <c r="A2879" i="68"/>
  <c r="B2879" i="68" s="1"/>
  <c r="A835" i="68"/>
  <c r="A2503" i="68"/>
  <c r="A686" i="68"/>
  <c r="A2101" i="68"/>
  <c r="A1772" i="68"/>
  <c r="A659" i="68"/>
  <c r="B659" i="68" s="1"/>
  <c r="A750" i="68"/>
  <c r="A2728" i="68"/>
  <c r="A131" i="68"/>
  <c r="A67" i="68"/>
  <c r="A1281" i="68"/>
  <c r="A406" i="68"/>
  <c r="A1821" i="68"/>
  <c r="A803" i="68"/>
  <c r="A52" i="68"/>
  <c r="A2815" i="68"/>
  <c r="A13" i="68"/>
  <c r="B13" i="68" s="1"/>
  <c r="A1513" i="68"/>
  <c r="A1432" i="68"/>
  <c r="A1229" i="68"/>
  <c r="B2892" i="68"/>
  <c r="A2577" i="68"/>
  <c r="A1074" i="68"/>
  <c r="A2148" i="68"/>
  <c r="A2893" i="68"/>
  <c r="A300" i="68"/>
  <c r="B2672" i="68"/>
  <c r="A2177" i="68"/>
  <c r="A1645" i="68"/>
  <c r="A1484" i="68"/>
  <c r="A2969" i="68"/>
  <c r="A296" i="68"/>
  <c r="A1744" i="68"/>
  <c r="A673" i="68"/>
  <c r="A939" i="68"/>
  <c r="B939" i="68" s="1"/>
  <c r="B2311" i="68"/>
  <c r="A2202" i="68"/>
  <c r="A645" i="68"/>
  <c r="A2215" i="68"/>
  <c r="A1000" i="68"/>
  <c r="A2203" i="68"/>
  <c r="A2026" i="68"/>
  <c r="A2333" i="68"/>
  <c r="B2333" i="68" s="1"/>
  <c r="A1284" i="68"/>
  <c r="A2634" i="68"/>
  <c r="A738" i="68"/>
  <c r="A2787" i="68"/>
  <c r="A884" i="68"/>
  <c r="A76" i="68"/>
  <c r="A1033" i="68"/>
  <c r="A1943" i="68"/>
  <c r="A1987" i="68"/>
  <c r="A231" i="68"/>
  <c r="A381" i="68"/>
  <c r="A1720" i="68"/>
  <c r="A342" i="68"/>
  <c r="A1995" i="68"/>
  <c r="B1472" i="68"/>
  <c r="A915" i="68"/>
  <c r="B1258" i="68"/>
  <c r="A1069" i="68"/>
  <c r="A826" i="68"/>
  <c r="A1157" i="68"/>
  <c r="A2423" i="68"/>
  <c r="A261" i="68"/>
  <c r="B1385" i="68"/>
  <c r="B2145" i="68"/>
  <c r="B1979" i="68"/>
  <c r="B157" i="68"/>
  <c r="B1943" i="68"/>
  <c r="B2591" i="68"/>
  <c r="B3001" i="68"/>
  <c r="A1190" i="68"/>
  <c r="A1116" i="68"/>
  <c r="A2607" i="68"/>
  <c r="A616" i="68"/>
  <c r="A2863" i="68"/>
  <c r="A1522" i="68"/>
  <c r="A2175" i="68"/>
  <c r="A385" i="68"/>
  <c r="B385" i="68" s="1"/>
  <c r="A2680" i="68"/>
  <c r="A2711" i="68"/>
  <c r="A2610" i="68"/>
  <c r="A62" i="68"/>
  <c r="A953" i="68"/>
  <c r="A1059" i="68"/>
  <c r="A931" i="68"/>
  <c r="A2087" i="68"/>
  <c r="A2586" i="68"/>
  <c r="B2586" i="68" s="1"/>
  <c r="A926" i="68"/>
  <c r="B2424" i="68"/>
  <c r="B1697" i="68"/>
  <c r="B1487" i="68"/>
  <c r="B1465" i="68"/>
  <c r="B1544" i="68"/>
  <c r="B2610" i="68"/>
  <c r="A604" i="68"/>
  <c r="A1763" i="68"/>
  <c r="A1989" i="68"/>
  <c r="A1773" i="68"/>
  <c r="A2611" i="68"/>
  <c r="A2059" i="68"/>
  <c r="A1823" i="68"/>
  <c r="A304" i="68"/>
  <c r="A2106" i="68"/>
  <c r="A1365" i="68"/>
  <c r="A2261" i="68"/>
  <c r="A2358" i="68"/>
  <c r="A1739" i="68"/>
  <c r="A786" i="68"/>
  <c r="A2334" i="68"/>
  <c r="B2994" i="68"/>
  <c r="A2270" i="68"/>
  <c r="B2860" i="68"/>
  <c r="B2810" i="68"/>
  <c r="B326" i="68"/>
  <c r="B313" i="68"/>
  <c r="B1937" i="68"/>
  <c r="B66" i="68"/>
  <c r="B2878" i="68"/>
  <c r="B2857" i="68"/>
  <c r="B138" i="68"/>
  <c r="A2686" i="68"/>
  <c r="A1182" i="68"/>
  <c r="A1308" i="68"/>
  <c r="A2903" i="68"/>
  <c r="A2835" i="68"/>
  <c r="A2911" i="68"/>
  <c r="A1312" i="68"/>
  <c r="A1314" i="68"/>
  <c r="A372" i="68"/>
  <c r="A190" i="68"/>
  <c r="A1585" i="68"/>
  <c r="A238" i="68"/>
  <c r="A223" i="68"/>
  <c r="A1909" i="68"/>
  <c r="B1909" i="68" s="1"/>
  <c r="A1695" i="68"/>
  <c r="A2384" i="68"/>
  <c r="A1516" i="68"/>
  <c r="A335" i="68"/>
  <c r="B335" i="68" s="1"/>
  <c r="A1012" i="68"/>
  <c r="B1855" i="68"/>
  <c r="B2031" i="68"/>
  <c r="B2748" i="68"/>
  <c r="B1731" i="68"/>
  <c r="B1962" i="68"/>
  <c r="B2923" i="68"/>
  <c r="B1627" i="68"/>
  <c r="B2438" i="68"/>
  <c r="B2339" i="68"/>
  <c r="A1437" i="68"/>
  <c r="A2936" i="68"/>
  <c r="A1462" i="68"/>
  <c r="A2248" i="68"/>
  <c r="A2933" i="68"/>
  <c r="A2327" i="68"/>
  <c r="A442" i="68"/>
  <c r="A2385" i="68"/>
  <c r="A59" i="68"/>
  <c r="A2988" i="68"/>
  <c r="A1010" i="68"/>
  <c r="A1666" i="68"/>
  <c r="A1552" i="68"/>
  <c r="A77" i="68"/>
  <c r="A1362" i="68"/>
  <c r="A1419" i="68"/>
  <c r="A1153" i="68"/>
  <c r="A2984" i="68"/>
  <c r="A1651" i="68"/>
  <c r="B909" i="68"/>
  <c r="B340" i="68"/>
  <c r="B588" i="68"/>
  <c r="B1466" i="68"/>
  <c r="B932" i="68"/>
  <c r="B754" i="68"/>
  <c r="B2739" i="68"/>
  <c r="B1900" i="68"/>
  <c r="A2469" i="68"/>
  <c r="A214" i="68"/>
  <c r="A192" i="68"/>
  <c r="A1906" i="68"/>
  <c r="B1906" i="68" s="1"/>
  <c r="A2347" i="68"/>
  <c r="A1730" i="68"/>
  <c r="A2935" i="68"/>
  <c r="A2079" i="68"/>
  <c r="A2152" i="68"/>
  <c r="A877" i="68"/>
  <c r="B877" i="68" s="1"/>
  <c r="A2134" i="68"/>
  <c r="A100" i="68"/>
  <c r="B100" i="68" s="1"/>
  <c r="A728" i="68"/>
  <c r="B728" i="68" s="1"/>
  <c r="A1094" i="68"/>
  <c r="B1094" i="68" s="1"/>
  <c r="A1588" i="68"/>
  <c r="B1424" i="68"/>
  <c r="A2250" i="68"/>
  <c r="A1464" i="68"/>
  <c r="A2718" i="68"/>
  <c r="B2718" i="68" s="1"/>
  <c r="A1923" i="68"/>
  <c r="A41" i="68"/>
  <c r="A1650" i="68"/>
  <c r="A523" i="68"/>
  <c r="A497" i="68"/>
  <c r="A70" i="68"/>
  <c r="A2265" i="68"/>
  <c r="A1815" i="68"/>
  <c r="A2126" i="68"/>
  <c r="A2752" i="68"/>
  <c r="A2212" i="68"/>
  <c r="A727" i="68"/>
  <c r="A1064" i="68"/>
  <c r="A149" i="68"/>
  <c r="A1207" i="68"/>
  <c r="A2934" i="68"/>
  <c r="A922" i="68"/>
  <c r="A345" i="68"/>
  <c r="A1457" i="68"/>
  <c r="A831" i="68"/>
  <c r="A1491" i="68"/>
  <c r="A1785" i="68"/>
  <c r="A203" i="68"/>
  <c r="A1741" i="68"/>
  <c r="B1741" i="68" s="1"/>
  <c r="A2722" i="68"/>
  <c r="A1471" i="68"/>
  <c r="B1471" i="68" s="1"/>
  <c r="A315" i="68"/>
  <c r="B315" i="68" s="1"/>
  <c r="A1767" i="68"/>
  <c r="A2436" i="68"/>
  <c r="A1271" i="68"/>
  <c r="B1271" i="68" s="1"/>
  <c r="A178" i="68"/>
  <c r="A1246" i="68"/>
  <c r="A2687" i="68"/>
  <c r="A970" i="68"/>
  <c r="A2644" i="68"/>
  <c r="A1138" i="68"/>
  <c r="A593" i="68"/>
  <c r="A764" i="68"/>
  <c r="B764" i="68" s="1"/>
  <c r="A1640" i="68"/>
  <c r="A2581" i="68"/>
  <c r="A1313" i="68"/>
  <c r="A1878" i="68"/>
  <c r="A1543" i="68"/>
  <c r="A2578" i="68"/>
  <c r="A1234" i="68"/>
  <c r="A972" i="68"/>
  <c r="A2218" i="68"/>
  <c r="A658" i="68"/>
  <c r="A2378" i="68"/>
  <c r="A2599" i="68"/>
  <c r="A2495" i="68"/>
  <c r="A2516" i="68"/>
  <c r="A1015" i="68"/>
  <c r="A1978" i="68"/>
  <c r="A552" i="68"/>
  <c r="B552" i="68" s="1"/>
  <c r="A710" i="68"/>
  <c r="A1895" i="68"/>
  <c r="A1537" i="68"/>
  <c r="A1066" i="68"/>
  <c r="A1082" i="68"/>
  <c r="A2840" i="68"/>
  <c r="A824" i="68"/>
  <c r="A2852" i="68"/>
  <c r="A2734" i="68"/>
  <c r="A213" i="68"/>
  <c r="A188" i="68"/>
  <c r="B188" i="68" s="1"/>
  <c r="A379" i="68"/>
  <c r="A1804" i="68"/>
  <c r="A1825" i="68"/>
  <c r="B1345" i="68"/>
  <c r="A2793" i="68"/>
  <c r="A731" i="68"/>
  <c r="A1013" i="68"/>
  <c r="A2733" i="68"/>
  <c r="B2733" i="68" s="1"/>
  <c r="A2256" i="68"/>
  <c r="A1120" i="68"/>
  <c r="A226" i="68"/>
  <c r="A976" i="68"/>
  <c r="A1467" i="68"/>
  <c r="A2600" i="68"/>
  <c r="A427" i="68"/>
  <c r="A1677" i="68"/>
  <c r="A529" i="68"/>
  <c r="A1904" i="68"/>
  <c r="A1927" i="68"/>
  <c r="A642" i="68"/>
  <c r="A982" i="68"/>
  <c r="A1148" i="68"/>
  <c r="B1148" i="68" s="1"/>
  <c r="A2826" i="68"/>
  <c r="A60" i="68"/>
  <c r="A1532" i="68"/>
  <c r="A907" i="68"/>
  <c r="A2858" i="68"/>
  <c r="A322" i="68"/>
  <c r="A165" i="68"/>
  <c r="A154" i="68"/>
  <c r="A395" i="68"/>
  <c r="A2808" i="68"/>
  <c r="B2808" i="68" s="1"/>
  <c r="A2585" i="68"/>
  <c r="A2523" i="68"/>
  <c r="A1421" i="68"/>
  <c r="A1845" i="68"/>
  <c r="A298" i="68"/>
  <c r="A2257" i="68"/>
  <c r="A1976" i="68"/>
  <c r="A885" i="68"/>
  <c r="B885" i="68" s="1"/>
  <c r="A654" i="68"/>
  <c r="A1128" i="68"/>
  <c r="B36" i="68"/>
  <c r="B469" i="68"/>
  <c r="B2386" i="68"/>
  <c r="B2234" i="68"/>
  <c r="B1644" i="68"/>
  <c r="B942" i="68"/>
  <c r="B2297" i="68"/>
  <c r="A929" i="68"/>
  <c r="A1997" i="68"/>
  <c r="A93" i="68"/>
  <c r="A1188" i="68"/>
  <c r="A1037" i="68"/>
  <c r="A159" i="68"/>
  <c r="A935" i="68"/>
  <c r="A2945" i="68"/>
  <c r="B2945" i="68" s="1"/>
  <c r="A1884" i="68"/>
  <c r="B1884" i="68" s="1"/>
  <c r="A2121" i="68"/>
  <c r="A789" i="68"/>
  <c r="A961" i="68"/>
  <c r="A269" i="68"/>
  <c r="A2084" i="68"/>
  <c r="A1440" i="68"/>
  <c r="A1674" i="68"/>
  <c r="A2583" i="68"/>
  <c r="A2570" i="68"/>
  <c r="B2341" i="68"/>
  <c r="B48" i="68"/>
  <c r="B2471" i="68"/>
  <c r="B1333" i="68"/>
  <c r="B669" i="68"/>
  <c r="B1132" i="68"/>
  <c r="B1965" i="68"/>
  <c r="A2379" i="68"/>
  <c r="A1993" i="68"/>
  <c r="B87" i="68"/>
  <c r="A1562" i="68"/>
  <c r="B1562" i="68" s="1"/>
  <c r="A2511" i="68"/>
  <c r="A683" i="68"/>
  <c r="A2336" i="68"/>
  <c r="A737" i="68"/>
  <c r="A2225" i="68"/>
  <c r="A636" i="68"/>
  <c r="A2931" i="68"/>
  <c r="A471" i="68"/>
  <c r="A2899" i="68"/>
  <c r="A2889" i="68"/>
  <c r="A1590" i="68"/>
  <c r="B1189" i="68"/>
  <c r="A160" i="68"/>
  <c r="A2841" i="68"/>
  <c r="A2656" i="68"/>
  <c r="B2178" i="68"/>
  <c r="B2907" i="68"/>
  <c r="B2215" i="68"/>
  <c r="B931" i="68"/>
  <c r="B1996" i="68"/>
  <c r="B2434" i="68"/>
  <c r="A1073" i="68"/>
  <c r="A2097" i="68"/>
  <c r="A432" i="68"/>
  <c r="A2266" i="68"/>
  <c r="A2046" i="68"/>
  <c r="A670" i="68"/>
  <c r="B670" i="68" s="1"/>
  <c r="A1270" i="68"/>
  <c r="A2468" i="68"/>
  <c r="A289" i="68"/>
  <c r="A2598" i="68"/>
  <c r="B2222" i="68"/>
  <c r="A663" i="68"/>
  <c r="A2664" i="68"/>
  <c r="A2180" i="68"/>
  <c r="A2143" i="68"/>
  <c r="A1186" i="68"/>
  <c r="A689" i="68"/>
  <c r="A2798" i="68"/>
  <c r="A2295" i="68"/>
  <c r="B2934" i="68"/>
  <c r="B2769" i="68"/>
  <c r="B831" i="68"/>
  <c r="B2815" i="68"/>
  <c r="B2764" i="68"/>
  <c r="B1133" i="68"/>
  <c r="B1194" i="68"/>
  <c r="B658" i="68"/>
  <c r="B471" i="68"/>
  <c r="B1126" i="68"/>
  <c r="B375" i="68"/>
  <c r="B113" i="68"/>
  <c r="B788" i="68"/>
  <c r="A2698" i="68"/>
  <c r="A2571" i="68"/>
  <c r="A1813" i="68"/>
  <c r="A264" i="68"/>
  <c r="A2795" i="68"/>
  <c r="A1081" i="68"/>
  <c r="A2483" i="68"/>
  <c r="A771" i="68"/>
  <c r="A2318" i="68"/>
  <c r="A3000" i="68"/>
  <c r="A1340" i="68"/>
  <c r="A853" i="68"/>
  <c r="A703" i="68"/>
  <c r="A1515" i="68"/>
  <c r="B1297" i="68"/>
  <c r="A2416" i="68"/>
  <c r="A1572" i="68"/>
  <c r="A2684" i="68"/>
  <c r="A85" i="68"/>
  <c r="B1866" i="68"/>
  <c r="B192" i="68"/>
  <c r="B693" i="68"/>
  <c r="B778" i="68"/>
  <c r="B850" i="68"/>
  <c r="B2306" i="68"/>
  <c r="A2214" i="68"/>
  <c r="A1486" i="68"/>
  <c r="A417" i="68"/>
  <c r="A2183" i="68"/>
  <c r="A2896" i="68"/>
  <c r="A161" i="68"/>
  <c r="A2891" i="68"/>
  <c r="A700" i="68"/>
  <c r="B700" i="68" s="1"/>
  <c r="A2392" i="68"/>
  <c r="A1880" i="68"/>
  <c r="A496" i="68"/>
  <c r="A236" i="68"/>
  <c r="A1299" i="68"/>
  <c r="A1682" i="68"/>
  <c r="A1872" i="68"/>
  <c r="A2372" i="68"/>
  <c r="A1816" i="68"/>
  <c r="A1945" i="68"/>
  <c r="A1409" i="68"/>
  <c r="A1056" i="68"/>
  <c r="A2199" i="68"/>
  <c r="A1856" i="68"/>
  <c r="A2800" i="68"/>
  <c r="A2696" i="68"/>
  <c r="A2009" i="68"/>
  <c r="A1401" i="68"/>
  <c r="A1043" i="68"/>
  <c r="B2042" i="68"/>
  <c r="A1208" i="68"/>
  <c r="A1826" i="68"/>
  <c r="A409" i="68"/>
  <c r="B409" i="68" s="1"/>
  <c r="A2882" i="68"/>
  <c r="B2882" i="68" s="1"/>
  <c r="A1920" i="68"/>
  <c r="A2053" i="68"/>
  <c r="B2673" i="68"/>
  <c r="A208" i="68"/>
  <c r="B208" i="68" s="1"/>
  <c r="B945" i="68"/>
  <c r="A2814" i="68"/>
  <c r="A2962" i="68"/>
  <c r="B2962" i="68" s="1"/>
  <c r="A540" i="68"/>
  <c r="A1631" i="68"/>
  <c r="A648" i="68"/>
  <c r="A1620" i="68"/>
  <c r="B1620" i="68" s="1"/>
  <c r="A1474" i="68"/>
  <c r="A258" i="68"/>
  <c r="A2353" i="68"/>
  <c r="A207" i="68"/>
  <c r="A306" i="68"/>
  <c r="A1629" i="68"/>
  <c r="A2367" i="68"/>
  <c r="A211" i="68"/>
  <c r="B211" i="68" s="1"/>
  <c r="A1703" i="68"/>
  <c r="A1847" i="68"/>
  <c r="D17" i="44"/>
  <c r="A1226" i="68"/>
  <c r="A2602" i="68"/>
  <c r="A2410" i="68"/>
  <c r="A1802" i="68"/>
  <c r="A58" i="68"/>
  <c r="A410" i="68"/>
  <c r="B1735" i="68"/>
  <c r="A1239" i="68"/>
  <c r="A1288" i="68"/>
  <c r="A331" i="68"/>
  <c r="A1017" i="68"/>
  <c r="A1582" i="68"/>
  <c r="B1582" i="68" s="1"/>
  <c r="A814" i="68"/>
  <c r="A1262" i="68"/>
  <c r="B1262" i="68" s="1"/>
  <c r="A2990" i="68"/>
  <c r="A2351" i="68"/>
  <c r="A1102" i="68"/>
  <c r="A1394" i="68"/>
  <c r="A333" i="68"/>
  <c r="A2894" i="68"/>
  <c r="A2487" i="68"/>
  <c r="A2342" i="68"/>
  <c r="A1608" i="68"/>
  <c r="A2659" i="68"/>
  <c r="B2659" i="68" s="1"/>
  <c r="A1285" i="68"/>
  <c r="B1285" i="68" s="1"/>
  <c r="A1490" i="68"/>
  <c r="B1490" i="68" s="1"/>
  <c r="A1642" i="68"/>
  <c r="A1903" i="68"/>
  <c r="A80" i="68"/>
  <c r="A901" i="68"/>
  <c r="A2070" i="68"/>
  <c r="A653" i="68"/>
  <c r="A2760" i="68"/>
  <c r="A2747" i="68"/>
  <c r="B2747" i="68" s="1"/>
  <c r="A573" i="68"/>
  <c r="B573" i="68" s="1"/>
  <c r="A2842" i="68"/>
  <c r="A691" i="68"/>
  <c r="A2827" i="68"/>
  <c r="A1944" i="68"/>
  <c r="A697" i="68"/>
  <c r="A423" i="68"/>
  <c r="A776" i="68"/>
  <c r="A506" i="68"/>
  <c r="A107" i="68"/>
  <c r="A2697" i="68"/>
  <c r="A1915" i="68"/>
  <c r="B1915" i="68" s="1"/>
  <c r="A1738" i="68"/>
  <c r="A2105" i="68"/>
  <c r="A227" i="68"/>
  <c r="A2595" i="68"/>
  <c r="A2851" i="68"/>
  <c r="B2851" i="68" s="1"/>
  <c r="A425" i="68"/>
  <c r="A1716" i="68"/>
  <c r="A521" i="68"/>
  <c r="A2127" i="68"/>
  <c r="A1197" i="68"/>
  <c r="A2049" i="68"/>
  <c r="A384" i="68"/>
  <c r="A681" i="68"/>
  <c r="A1579" i="68"/>
  <c r="A2254" i="68"/>
  <c r="A2703" i="68"/>
  <c r="B2703" i="68" s="1"/>
  <c r="A2890" i="68"/>
  <c r="A2540" i="68"/>
  <c r="A2887" i="68"/>
  <c r="A806" i="68"/>
  <c r="A38" i="68"/>
  <c r="A1553" i="68"/>
  <c r="B1553" i="68" s="1"/>
  <c r="A2467" i="68"/>
  <c r="A2694" i="68"/>
  <c r="A435" i="68"/>
  <c r="A1694" i="68"/>
  <c r="B1694" i="68" s="1"/>
  <c r="A1709" i="68"/>
  <c r="B1709" i="68" s="1"/>
  <c r="A2832" i="68"/>
  <c r="A1144" i="68"/>
  <c r="A2995" i="68"/>
  <c r="B227" i="68"/>
  <c r="B531" i="68"/>
  <c r="B1078" i="68"/>
  <c r="B1604" i="68"/>
  <c r="B1748" i="68"/>
  <c r="B1098" i="68"/>
  <c r="B1829" i="68"/>
  <c r="A1019" i="68"/>
  <c r="A1879" i="68"/>
  <c r="B1879" i="68" s="1"/>
  <c r="A2185" i="68"/>
  <c r="A1747" i="68"/>
  <c r="B1747" i="68" s="1"/>
  <c r="A2961" i="68"/>
  <c r="A612" i="68"/>
  <c r="A555" i="68"/>
  <c r="A1690" i="68"/>
  <c r="A2287" i="68"/>
  <c r="A2708" i="68"/>
  <c r="A2633" i="68"/>
  <c r="A2216" i="68"/>
  <c r="A2035" i="68"/>
  <c r="A2108" i="68"/>
  <c r="A2605" i="68"/>
  <c r="B2605" i="68" s="1"/>
  <c r="A219" i="68"/>
  <c r="A596" i="68"/>
  <c r="A952" i="68"/>
  <c r="B952" i="68" s="1"/>
  <c r="A2058" i="68"/>
  <c r="B2516" i="68"/>
  <c r="B1842" i="68"/>
  <c r="B417" i="68"/>
  <c r="B1639" i="68"/>
  <c r="B2006" i="68"/>
  <c r="B915" i="68"/>
  <c r="B2269" i="68"/>
  <c r="B2347" i="68"/>
  <c r="A1521" i="68"/>
  <c r="A360" i="68"/>
  <c r="A327" i="68"/>
  <c r="A120" i="68"/>
  <c r="A282" i="68"/>
  <c r="A2292" i="68"/>
  <c r="A676" i="68"/>
  <c r="A880" i="68"/>
  <c r="B880" i="68" s="1"/>
  <c r="A2509" i="68"/>
  <c r="A2784" i="68"/>
  <c r="A946" i="68"/>
  <c r="A1077" i="68"/>
  <c r="A1438" i="68"/>
  <c r="B1438" i="68" s="1"/>
  <c r="A397" i="68"/>
  <c r="B2007" i="68"/>
  <c r="A287" i="68"/>
  <c r="A2866" i="68"/>
  <c r="A865" i="68"/>
  <c r="B865" i="68" s="1"/>
  <c r="B1914" i="68"/>
  <c r="B2033" i="68"/>
  <c r="B84" i="68"/>
  <c r="B1329" i="68"/>
  <c r="B2697" i="68"/>
  <c r="B1451" i="68"/>
  <c r="B2898" i="68"/>
  <c r="B755" i="68"/>
  <c r="B1256" i="68"/>
  <c r="A647" i="68"/>
  <c r="A603" i="68"/>
  <c r="A2171" i="68"/>
  <c r="A1560" i="68"/>
  <c r="A1711" i="68"/>
  <c r="A1603" i="68"/>
  <c r="B1603" i="68" s="1"/>
  <c r="A1584" i="68"/>
  <c r="A504" i="68"/>
  <c r="B504" i="68" s="1"/>
  <c r="A1672" i="68"/>
  <c r="A2657" i="68"/>
  <c r="B2800" i="68"/>
  <c r="A21" i="68"/>
  <c r="A820" i="68"/>
  <c r="A1005" i="68"/>
  <c r="A2730" i="68"/>
  <c r="B2730" i="68" s="1"/>
  <c r="A1955" i="68"/>
  <c r="A671" i="68"/>
  <c r="B671" i="68" s="1"/>
  <c r="A2099" i="68"/>
  <c r="A2545" i="68"/>
  <c r="A2262" i="68"/>
  <c r="B794" i="68"/>
  <c r="B940" i="68"/>
  <c r="B1606" i="68"/>
  <c r="B1628" i="68"/>
  <c r="B2076" i="68"/>
  <c r="B1785" i="68"/>
  <c r="B496" i="68"/>
  <c r="B1454" i="68"/>
  <c r="B2384" i="68"/>
  <c r="B1264" i="68"/>
  <c r="B318" i="68"/>
  <c r="B349" i="68"/>
  <c r="B2830" i="68"/>
  <c r="B891" i="68"/>
  <c r="A2429" i="68"/>
  <c r="A1014" i="68"/>
  <c r="A179" i="68"/>
  <c r="A667" i="68"/>
  <c r="A267" i="68"/>
  <c r="A1049" i="68"/>
  <c r="A2425" i="68"/>
  <c r="A2771" i="68"/>
  <c r="A1964" i="68"/>
  <c r="A2361" i="68"/>
  <c r="A1583" i="68"/>
  <c r="A328" i="68"/>
  <c r="A1786" i="68"/>
  <c r="A1113" i="68"/>
  <c r="A1864" i="68"/>
  <c r="A1341" i="68"/>
  <c r="A2001" i="68"/>
  <c r="B232" i="68"/>
  <c r="A629" i="68"/>
  <c r="B1629" i="68"/>
  <c r="B1294" i="68"/>
  <c r="B2409" i="68"/>
  <c r="A1089" i="68"/>
  <c r="A2350" i="68"/>
  <c r="A1463" i="68"/>
  <c r="A1896" i="68"/>
  <c r="B1896" i="68" s="1"/>
  <c r="A35" i="68"/>
  <c r="A343" i="68"/>
  <c r="A2088" i="68"/>
  <c r="A2636" i="68"/>
  <c r="B2636" i="68" s="1"/>
  <c r="A1235" i="68"/>
  <c r="A2346" i="68"/>
  <c r="A2873" i="68"/>
  <c r="A662" i="68"/>
  <c r="B662" i="68" s="1"/>
  <c r="A390" i="68"/>
  <c r="A2763" i="68"/>
  <c r="A413" i="68"/>
  <c r="A2530" i="68"/>
  <c r="B407" i="68"/>
  <c r="A105" i="68"/>
  <c r="A724" i="68"/>
  <c r="B724" i="68" s="1"/>
  <c r="A1350" i="68"/>
  <c r="B2004" i="68"/>
  <c r="A1332" i="68"/>
  <c r="A2159" i="68"/>
  <c r="B1210" i="68"/>
  <c r="A393" i="68"/>
  <c r="B393" i="68" s="1"/>
  <c r="A632" i="68"/>
  <c r="A1410" i="68"/>
  <c r="B258" i="68"/>
  <c r="A2415" i="68"/>
  <c r="A218" i="68"/>
  <c r="A1373" i="68"/>
  <c r="B1559" i="68"/>
  <c r="B2717" i="68"/>
  <c r="A237" i="68"/>
  <c r="A2823" i="68"/>
  <c r="A1722" i="68"/>
  <c r="A634" i="68"/>
  <c r="A2670" i="68"/>
  <c r="B1695" i="68"/>
  <c r="B2571" i="68"/>
  <c r="B2152" i="68"/>
  <c r="B1118" i="68"/>
  <c r="B2623" i="68"/>
  <c r="B1714" i="68"/>
  <c r="B2523" i="68"/>
  <c r="B653" i="68"/>
  <c r="B2142" i="68"/>
  <c r="B1091" i="68"/>
  <c r="B136" i="68"/>
  <c r="B2974" i="68"/>
  <c r="B913" i="68"/>
  <c r="A2418" i="68"/>
  <c r="A2543" i="68"/>
  <c r="A822" i="68"/>
  <c r="A2118" i="68"/>
  <c r="A301" i="68"/>
  <c r="A337" i="68"/>
  <c r="A625" i="68"/>
  <c r="B2726" i="68"/>
  <c r="B620" i="68"/>
  <c r="B2682" i="68"/>
  <c r="B2924" i="68"/>
  <c r="B2104" i="68"/>
  <c r="B427" i="68"/>
  <c r="B80" i="68"/>
  <c r="B95" i="68"/>
  <c r="B1665" i="68"/>
  <c r="B1479" i="68"/>
  <c r="B1340" i="68"/>
  <c r="B895" i="68"/>
  <c r="A859" i="68"/>
  <c r="A2658" i="68"/>
  <c r="A1746" i="68"/>
  <c r="A2061" i="68"/>
  <c r="B1928" i="68"/>
  <c r="A2034" i="68"/>
  <c r="A2486" i="68"/>
  <c r="B2675" i="68"/>
  <c r="B1191" i="68"/>
  <c r="B191" i="68"/>
  <c r="B1247" i="68"/>
  <c r="B1797" i="68"/>
  <c r="B2393" i="68"/>
  <c r="B1912" i="68"/>
  <c r="B1918" i="68"/>
  <c r="B2368" i="68"/>
  <c r="A2220" i="68"/>
  <c r="A1230" i="68"/>
  <c r="A2833" i="68"/>
  <c r="A980" i="68"/>
  <c r="A1430" i="68"/>
  <c r="A2198" i="68"/>
  <c r="A947" i="68"/>
  <c r="B2638" i="68"/>
  <c r="B1204" i="68"/>
  <c r="B2208" i="68"/>
  <c r="B773" i="68"/>
  <c r="B264" i="68"/>
  <c r="B1080" i="68"/>
  <c r="B360" i="68"/>
  <c r="B2123" i="68"/>
  <c r="B1706" i="68"/>
  <c r="B2439" i="68"/>
  <c r="B1745" i="68"/>
  <c r="B806" i="68"/>
  <c r="B1104" i="68"/>
  <c r="B2840" i="68"/>
  <c r="A1732" i="68"/>
  <c r="A1331" i="68"/>
  <c r="A2002" i="68"/>
  <c r="A1366" i="68"/>
  <c r="A2450" i="68"/>
  <c r="A1168" i="68"/>
  <c r="A2111" i="68"/>
  <c r="B34" i="68"/>
  <c r="B2620" i="68"/>
  <c r="B1967" i="68"/>
  <c r="B584" i="68"/>
  <c r="B2223" i="68"/>
  <c r="B2818" i="68"/>
  <c r="B1202" i="68"/>
  <c r="B1144" i="68"/>
  <c r="B1073" i="68"/>
  <c r="B2507" i="68"/>
  <c r="B685" i="68"/>
  <c r="B2421" i="68"/>
  <c r="B386" i="68"/>
  <c r="B2564" i="68"/>
  <c r="B1246" i="68"/>
  <c r="B2979" i="68"/>
  <c r="B1473" i="68"/>
  <c r="B2171" i="68"/>
  <c r="B905" i="68"/>
  <c r="B1805" i="68"/>
  <c r="B2332" i="68"/>
  <c r="A1223" i="68"/>
  <c r="A2801" i="68"/>
  <c r="A1320" i="68"/>
  <c r="B2224" i="68"/>
  <c r="B2089" i="68"/>
  <c r="B680" i="68"/>
  <c r="B291" i="68"/>
  <c r="B2629" i="68"/>
  <c r="B797" i="68"/>
  <c r="B1813" i="68"/>
  <c r="B801" i="68"/>
  <c r="B982" i="68"/>
  <c r="B1378" i="68"/>
  <c r="B2010" i="68"/>
  <c r="B518" i="68"/>
  <c r="B2296" i="68"/>
  <c r="B1574" i="68"/>
  <c r="B162" i="68"/>
  <c r="B2111" i="68"/>
  <c r="B936" i="68"/>
  <c r="B1215" i="68"/>
  <c r="B2022" i="68"/>
  <c r="B2652" i="68"/>
  <c r="A624" i="68"/>
  <c r="B2896" i="68"/>
  <c r="B328" i="68"/>
  <c r="B729" i="68"/>
  <c r="B1771" i="68"/>
  <c r="A622" i="68"/>
  <c r="A2785" i="68"/>
  <c r="A2158" i="68"/>
  <c r="A999" i="68"/>
  <c r="B455" i="68"/>
  <c r="B2641" i="68"/>
  <c r="B2712" i="68"/>
  <c r="B695" i="68"/>
  <c r="A2355" i="68"/>
  <c r="A2555" i="68"/>
  <c r="A1691" i="68"/>
  <c r="B1691" i="68" s="1"/>
  <c r="A310" i="68"/>
  <c r="B310" i="68" s="1"/>
  <c r="A1050" i="68"/>
  <c r="B1050" i="68" s="1"/>
  <c r="A186" i="68"/>
  <c r="B186" i="68" s="1"/>
  <c r="A1137" i="68"/>
  <c r="A2643" i="68"/>
  <c r="A1700" i="68"/>
  <c r="A2496" i="68"/>
  <c r="A1290" i="68"/>
  <c r="B1428" i="68"/>
  <c r="A652" i="68"/>
  <c r="A242" i="68"/>
  <c r="B242" i="68" s="1"/>
  <c r="A365" i="68"/>
  <c r="B365" i="68" s="1"/>
  <c r="A116" i="68"/>
  <c r="B436" i="68"/>
  <c r="A1752" i="68"/>
  <c r="A369" i="68"/>
  <c r="A243" i="68"/>
  <c r="B1318" i="68"/>
  <c r="A2345" i="68"/>
  <c r="A402" i="68"/>
  <c r="B402" i="68" s="1"/>
  <c r="B1443" i="68"/>
  <c r="A15" i="68"/>
  <c r="A240" i="68"/>
  <c r="B240" i="68" s="1"/>
  <c r="B1787" i="68"/>
  <c r="B813" i="68"/>
  <c r="A551" i="68"/>
  <c r="A2136" i="68"/>
  <c r="A1092" i="68"/>
  <c r="B2619" i="68"/>
  <c r="B833" i="68"/>
  <c r="A481" i="68"/>
  <c r="A1422" i="68"/>
  <c r="B1422" i="68" s="1"/>
  <c r="A2193" i="68"/>
  <c r="A1791" i="68"/>
  <c r="A2481" i="68"/>
  <c r="A1647" i="68"/>
  <c r="A1360" i="68"/>
  <c r="B554" i="68"/>
  <c r="B1066" i="68"/>
  <c r="B1556" i="68"/>
  <c r="B2725" i="68"/>
  <c r="B425" i="68"/>
  <c r="B2328" i="68"/>
  <c r="B2704" i="68"/>
  <c r="B2383" i="68"/>
  <c r="B861" i="68"/>
  <c r="B140" i="68"/>
  <c r="B1661" i="68"/>
  <c r="A1303" i="68"/>
  <c r="A1034" i="68"/>
  <c r="A2040" i="68"/>
  <c r="A1713" i="68"/>
  <c r="A1151" i="68"/>
  <c r="B2902" i="68"/>
  <c r="A1006" i="68"/>
  <c r="B848" i="68"/>
  <c r="B1383" i="68"/>
  <c r="B2859" i="68"/>
  <c r="B534" i="68"/>
  <c r="B10" i="68"/>
  <c r="B2506" i="68"/>
  <c r="B2749" i="68"/>
  <c r="B1130" i="68"/>
  <c r="B2977" i="68"/>
  <c r="B218" i="68"/>
  <c r="A2166" i="68"/>
  <c r="A964" i="68"/>
  <c r="B173" i="68"/>
  <c r="A1839" i="68"/>
  <c r="A2746" i="68"/>
  <c r="A2320" i="68"/>
  <c r="A1721" i="68"/>
  <c r="B1102" i="68"/>
  <c r="B2784" i="68"/>
  <c r="B470" i="68"/>
  <c r="B1370" i="68"/>
  <c r="B2732" i="68"/>
  <c r="B2509" i="68"/>
  <c r="B2444" i="68"/>
  <c r="B2989" i="68"/>
  <c r="B2890" i="68"/>
  <c r="B800" i="68"/>
  <c r="B941" i="68"/>
  <c r="B515" i="68"/>
  <c r="A2522" i="68"/>
  <c r="A1377" i="68"/>
  <c r="A1305" i="68"/>
  <c r="A2913" i="68"/>
  <c r="A1289" i="68"/>
  <c r="A1096" i="68"/>
  <c r="A1526" i="68"/>
  <c r="B1459" i="68"/>
  <c r="B1421" i="68"/>
  <c r="B2190" i="68"/>
  <c r="B1729" i="68"/>
  <c r="B166" i="68"/>
  <c r="B2837" i="68"/>
  <c r="B2631" i="68"/>
  <c r="B1997" i="68"/>
  <c r="B962" i="68"/>
  <c r="B2260" i="68"/>
  <c r="A1558" i="68"/>
  <c r="A1656" i="68"/>
  <c r="A2791" i="68"/>
  <c r="A2959" i="68"/>
  <c r="A872" i="68"/>
  <c r="B2970" i="68"/>
  <c r="A1917" i="68"/>
  <c r="B2249" i="68"/>
  <c r="B350" i="68"/>
  <c r="B1602" i="68"/>
  <c r="B2958" i="68"/>
  <c r="B2133" i="68"/>
  <c r="B943" i="68"/>
  <c r="B116" i="68"/>
  <c r="B2377" i="68"/>
  <c r="B2128" i="68"/>
  <c r="B2245" i="68"/>
  <c r="B1693" i="68"/>
  <c r="B1587" i="68"/>
  <c r="B57" i="68"/>
  <c r="B433" i="68"/>
  <c r="B2705" i="68"/>
  <c r="B2683" i="68"/>
  <c r="B2728" i="68"/>
  <c r="B341" i="68"/>
  <c r="B1712" i="68"/>
  <c r="B2580" i="68"/>
  <c r="A1298" i="68"/>
  <c r="A1618" i="68"/>
  <c r="B1618" i="68" s="1"/>
  <c r="B88" i="68"/>
  <c r="B2795" i="68"/>
  <c r="B1096" i="68"/>
  <c r="B384" i="68"/>
  <c r="B2251" i="68"/>
  <c r="B424" i="68"/>
  <c r="B1350" i="68"/>
  <c r="B1777" i="68"/>
  <c r="B2604" i="68"/>
  <c r="B748" i="68"/>
  <c r="B1379" i="68"/>
  <c r="B682" i="68"/>
  <c r="B1251" i="68"/>
  <c r="B858" i="68"/>
  <c r="B958" i="68"/>
  <c r="B2645" i="68"/>
  <c r="B21" i="68"/>
  <c r="B853" i="68"/>
  <c r="B766" i="68"/>
  <c r="B1338" i="68"/>
  <c r="B2030" i="68"/>
  <c r="B1715" i="68"/>
  <c r="B323" i="68"/>
  <c r="A1551" i="68"/>
  <c r="B2413" i="68"/>
  <c r="A2114" i="68"/>
  <c r="A2279" i="68"/>
  <c r="A2502" i="68"/>
  <c r="B1439" i="68"/>
  <c r="B696" i="68"/>
  <c r="B2257" i="68"/>
  <c r="B1708" i="68"/>
  <c r="B1089" i="68"/>
  <c r="B598" i="68"/>
  <c r="B648" i="68"/>
  <c r="B2694" i="68"/>
  <c r="B500" i="68"/>
  <c r="B2226" i="68"/>
  <c r="B2567" i="68"/>
  <c r="B1555" i="68"/>
  <c r="B2295" i="68"/>
  <c r="B1991" i="68"/>
  <c r="B2087" i="68"/>
  <c r="B2555" i="68"/>
  <c r="B2035" i="68"/>
  <c r="B735" i="68"/>
  <c r="B1521" i="68"/>
  <c r="B53" i="68"/>
  <c r="B236" i="68"/>
  <c r="B2634" i="68"/>
  <c r="B2988" i="68"/>
  <c r="B995" i="68"/>
  <c r="B2063" i="68"/>
  <c r="A2922" i="68"/>
  <c r="B772" i="68"/>
  <c r="A303" i="68"/>
  <c r="A137" i="68"/>
  <c r="B1882" i="68"/>
  <c r="B2402" i="68"/>
  <c r="B2996" i="68"/>
  <c r="B2755" i="68"/>
  <c r="B1401" i="68"/>
  <c r="B937" i="68"/>
  <c r="B803" i="68"/>
  <c r="B746" i="68"/>
  <c r="B765" i="68"/>
  <c r="B977" i="68"/>
  <c r="B1040" i="68"/>
  <c r="B2628" i="68"/>
  <c r="B2301" i="68"/>
  <c r="B2971" i="68"/>
  <c r="B2227" i="68"/>
  <c r="B2503" i="68"/>
  <c r="B2561" i="68"/>
  <c r="B1137" i="68"/>
  <c r="B1252" i="68"/>
  <c r="A566" i="68"/>
  <c r="B566" i="68" s="1"/>
  <c r="A279" i="68"/>
  <c r="A1261" i="68"/>
  <c r="A1994" i="68"/>
  <c r="A121" i="68"/>
  <c r="A2541" i="68"/>
  <c r="B2541" i="68" s="1"/>
  <c r="A122" i="68"/>
  <c r="A1150" i="68"/>
  <c r="A2688" i="68"/>
  <c r="A2709" i="68"/>
  <c r="A461" i="68"/>
  <c r="A2975" i="68"/>
  <c r="A1260" i="68"/>
  <c r="B1260" i="68" s="1"/>
  <c r="B2205" i="68"/>
  <c r="A2737" i="68"/>
  <c r="A353" i="68"/>
  <c r="A1272" i="68"/>
  <c r="A2181" i="68"/>
  <c r="A2596" i="68"/>
  <c r="A896" i="68"/>
  <c r="A541" i="68"/>
  <c r="A2669" i="68"/>
  <c r="B2536" i="68"/>
  <c r="A2865" i="68"/>
  <c r="B2584" i="68"/>
  <c r="B426" i="68"/>
  <c r="A1178" i="68"/>
  <c r="A1219" i="68"/>
  <c r="A2294" i="68"/>
  <c r="B2294" i="68" s="1"/>
  <c r="B1636" i="68"/>
  <c r="B840" i="68"/>
  <c r="A2597" i="68"/>
  <c r="B2420" i="68"/>
  <c r="A1083" i="68"/>
  <c r="A1317" i="68"/>
  <c r="A2028" i="68"/>
  <c r="A1755" i="68"/>
  <c r="A64" i="68"/>
  <c r="B64" i="68" s="1"/>
  <c r="B2954" i="68"/>
  <c r="B1434" i="68"/>
  <c r="B2679" i="68"/>
  <c r="B647" i="68"/>
  <c r="B171" i="68"/>
  <c r="B1723" i="68"/>
  <c r="B153" i="68"/>
  <c r="B663" i="68"/>
  <c r="B537" i="68"/>
  <c r="B1971" i="68"/>
  <c r="B1314" i="68"/>
  <c r="A2437" i="68"/>
  <c r="A1135" i="68"/>
  <c r="B1135" i="68" s="1"/>
  <c r="A294" i="68"/>
  <c r="B294" i="68" s="1"/>
  <c r="A2200" i="68"/>
  <c r="A42" i="68"/>
  <c r="A1838" i="68"/>
  <c r="A887" i="68"/>
  <c r="A2207" i="68"/>
  <c r="B1961" i="68"/>
  <c r="B1641" i="68"/>
  <c r="B1986" i="68"/>
  <c r="B97" i="68"/>
  <c r="B894" i="68"/>
  <c r="B1899" i="68"/>
  <c r="B1575" i="68"/>
  <c r="B2414" i="68"/>
  <c r="B213" i="68"/>
  <c r="B1826" i="68"/>
  <c r="B2545" i="68"/>
  <c r="B739" i="68"/>
  <c r="B2568" i="68"/>
  <c r="A2651" i="68"/>
  <c r="A37" i="68"/>
  <c r="B2411" i="68"/>
  <c r="A687" i="68"/>
  <c r="A1538" i="68"/>
  <c r="A2685" i="68"/>
  <c r="A759" i="68"/>
  <c r="B220" i="68"/>
  <c r="B1441" i="68"/>
  <c r="B1649" i="68"/>
  <c r="B2711" i="68"/>
  <c r="B298" i="68"/>
  <c r="B1037" i="68"/>
  <c r="B1348" i="68"/>
  <c r="B2743" i="68"/>
  <c r="B1436" i="68"/>
  <c r="B1738" i="68"/>
  <c r="B627" i="68"/>
  <c r="A2639" i="68"/>
  <c r="A1273" i="68"/>
  <c r="A1343" i="68"/>
  <c r="A1621" i="68"/>
  <c r="B1101" i="68"/>
  <c r="A2557" i="68"/>
  <c r="A1612" i="68"/>
  <c r="B1515" i="68"/>
  <c r="B2719" i="68"/>
  <c r="B1817" i="68"/>
  <c r="B2167" i="68"/>
  <c r="B30" i="68"/>
  <c r="B956" i="68"/>
  <c r="B269" i="68"/>
  <c r="B808" i="68"/>
  <c r="B1540" i="68"/>
  <c r="B2062" i="68"/>
  <c r="B2013" i="68"/>
  <c r="B432" i="68"/>
  <c r="A1502" i="68"/>
  <c r="A2662" i="68"/>
  <c r="A2992" i="68"/>
  <c r="A601" i="68"/>
  <c r="A2883" i="68"/>
  <c r="A2344" i="68"/>
  <c r="A2027" i="68"/>
  <c r="B1633" i="68"/>
  <c r="B1083" i="68"/>
  <c r="B1579" i="68"/>
  <c r="B1827" i="68"/>
  <c r="B1969" i="68"/>
  <c r="B2162" i="68"/>
  <c r="B1719" i="68"/>
  <c r="B333" i="68"/>
  <c r="B1484" i="68"/>
  <c r="B486" i="68"/>
  <c r="B1508" i="68"/>
  <c r="B1310" i="68"/>
  <c r="B2284" i="68"/>
  <c r="B1307" i="68"/>
  <c r="B1903" i="68"/>
  <c r="B753" i="68"/>
  <c r="B1374" i="68"/>
  <c r="B2838" i="68"/>
  <c r="B2563" i="68"/>
  <c r="B2054" i="68"/>
  <c r="A2593" i="68"/>
  <c r="A799" i="68"/>
  <c r="B799" i="68" s="1"/>
  <c r="A1854" i="68"/>
  <c r="B2139" i="68"/>
  <c r="B1682" i="68"/>
  <c r="B1308" i="68"/>
  <c r="B108" i="68"/>
  <c r="B253" i="68"/>
  <c r="B282" i="68"/>
  <c r="B1583" i="68"/>
  <c r="B1024" i="68"/>
  <c r="B1346" i="68"/>
  <c r="B706" i="68"/>
  <c r="B2542" i="68"/>
  <c r="B2894" i="68"/>
  <c r="B1655" i="68"/>
  <c r="B1206" i="68"/>
  <c r="B2099" i="68"/>
  <c r="B1998" i="68"/>
  <c r="B203" i="68"/>
  <c r="B2189" i="68"/>
  <c r="B856" i="68"/>
  <c r="B1585" i="68"/>
  <c r="B2394" i="68"/>
  <c r="A1503" i="68"/>
  <c r="B77" i="68"/>
  <c r="B613" i="68"/>
  <c r="B2412" i="68"/>
  <c r="B195" i="68"/>
  <c r="B599" i="68"/>
  <c r="A2397" i="68"/>
  <c r="A2291" i="68"/>
  <c r="A2122" i="68"/>
  <c r="A1756" i="68"/>
  <c r="B61" i="68"/>
  <c r="B1783" i="68"/>
  <c r="B1027" i="68"/>
  <c r="B115" i="68"/>
  <c r="B557" i="68"/>
  <c r="B1518" i="68"/>
  <c r="B106" i="68"/>
  <c r="B237" i="68"/>
  <c r="B2459" i="68"/>
  <c r="B1923" i="68"/>
  <c r="B1750" i="68"/>
  <c r="B925" i="68"/>
  <c r="B526" i="68"/>
  <c r="B2489" i="68"/>
  <c r="B2081" i="68"/>
  <c r="B2751" i="68"/>
  <c r="B2183" i="68"/>
  <c r="B560" i="68"/>
  <c r="B444" i="68"/>
  <c r="B1818" i="68"/>
  <c r="B502" i="68"/>
  <c r="B410" i="68"/>
  <c r="B423" i="68"/>
  <c r="B2573" i="68"/>
  <c r="B1793" i="68"/>
  <c r="A1781" i="68"/>
  <c r="A973" i="68"/>
  <c r="B973" i="68" s="1"/>
  <c r="A2681" i="68"/>
  <c r="B476" i="68"/>
  <c r="B2916" i="68"/>
  <c r="B2877" i="68"/>
  <c r="B2465" i="68"/>
  <c r="B2635" i="68"/>
  <c r="B2265" i="68"/>
  <c r="B120" i="68"/>
  <c r="B1115" i="68"/>
  <c r="B1077" i="68"/>
  <c r="B2258" i="68"/>
  <c r="B2094" i="68"/>
  <c r="B780" i="68"/>
  <c r="B1660" i="68"/>
  <c r="B2037" i="68"/>
  <c r="B1773" i="68"/>
  <c r="B2956" i="68"/>
  <c r="B381" i="68"/>
  <c r="B1889" i="68"/>
  <c r="B2905" i="68"/>
  <c r="B1616" i="68"/>
  <c r="B2163" i="68"/>
  <c r="B1868" i="68"/>
  <c r="B1916" i="68"/>
  <c r="B1727" i="68"/>
  <c r="B676" i="68"/>
  <c r="B2852" i="68"/>
  <c r="B2736" i="68"/>
  <c r="B2644" i="68"/>
  <c r="B538" i="68"/>
  <c r="B2677" i="68"/>
  <c r="A2525" i="68"/>
  <c r="B1523" i="68"/>
  <c r="A1860" i="68"/>
  <c r="A812" i="68"/>
  <c r="B2445" i="68"/>
  <c r="B646" i="68"/>
  <c r="B859" i="68"/>
  <c r="B2080" i="68"/>
  <c r="B2280" i="68"/>
  <c r="B791" i="68"/>
  <c r="B510" i="68"/>
  <c r="B2447" i="68"/>
  <c r="B96" i="68"/>
  <c r="B1250" i="68"/>
  <c r="B234" i="68"/>
  <c r="B2891" i="68"/>
  <c r="B1058" i="68"/>
  <c r="A2051" i="68"/>
  <c r="A978" i="68"/>
  <c r="B978" i="68" s="1"/>
  <c r="A2648" i="68"/>
  <c r="A6" i="68"/>
  <c r="B6" i="68" s="1"/>
  <c r="A967" i="68"/>
  <c r="B967" i="68" s="1"/>
  <c r="A224" i="68"/>
  <c r="B224" i="68" s="1"/>
  <c r="A834" i="68"/>
  <c r="A810" i="68"/>
  <c r="A1356" i="68"/>
  <c r="B1356" i="68" s="1"/>
  <c r="A1546" i="68"/>
  <c r="A2843" i="68"/>
  <c r="A1196" i="68"/>
  <c r="B1196" i="68" s="1"/>
  <c r="A2792" i="68"/>
  <c r="A2646" i="68"/>
  <c r="A1759" i="68"/>
  <c r="B1759" i="68" s="1"/>
  <c r="A2064" i="68"/>
  <c r="B2351" i="68"/>
  <c r="A33" i="68"/>
  <c r="A1595" i="68"/>
  <c r="B2060" i="68"/>
  <c r="A210" i="68"/>
  <c r="A447" i="68"/>
  <c r="B447" i="68" s="1"/>
  <c r="A2498" i="68"/>
  <c r="B307" i="68"/>
  <c r="A233" i="68"/>
  <c r="B233" i="68" s="1"/>
  <c r="A2289" i="68"/>
  <c r="B553" i="68"/>
  <c r="B1761" i="68"/>
  <c r="A1351" i="68"/>
  <c r="A1029" i="68"/>
  <c r="B2452" i="68"/>
  <c r="B1475" i="68"/>
  <c r="B968" i="68"/>
  <c r="A1131" i="68"/>
  <c r="A708" i="68"/>
  <c r="A1334" i="68"/>
  <c r="A1240" i="68"/>
  <c r="B1240" i="68" s="1"/>
  <c r="B1524" i="68"/>
  <c r="B783" i="68"/>
  <c r="A2091" i="68"/>
  <c r="B717" i="68"/>
  <c r="B456" i="68"/>
  <c r="B1403" i="68"/>
  <c r="B579" i="68"/>
  <c r="B2462" i="68"/>
  <c r="B73" i="68"/>
  <c r="B223" i="68"/>
  <c r="B243" i="68"/>
  <c r="B2941" i="68"/>
  <c r="B2127" i="68"/>
  <c r="B2873" i="68"/>
  <c r="A2231" i="68"/>
  <c r="A897" i="68"/>
  <c r="A2485" i="68"/>
  <c r="A1388" i="68"/>
  <c r="A1119" i="68"/>
  <c r="A1790" i="68"/>
  <c r="B367" i="68"/>
  <c r="A1846" i="68"/>
  <c r="B2233" i="68"/>
  <c r="B785" i="68"/>
  <c r="B1414" i="68"/>
  <c r="B830" i="68"/>
  <c r="B1522" i="68"/>
  <c r="B1043" i="68"/>
  <c r="B1349" i="68"/>
  <c r="B2400" i="68"/>
  <c r="B212" i="68"/>
  <c r="B2926" i="68"/>
  <c r="B1671" i="68"/>
  <c r="A807" i="68"/>
  <c r="A1286" i="68"/>
  <c r="A507" i="68"/>
  <c r="A2165" i="68"/>
  <c r="B2165" i="68" s="1"/>
  <c r="A1662" i="68"/>
  <c r="A1300" i="68"/>
  <c r="A1480" i="68"/>
  <c r="A2757" i="68"/>
  <c r="B1235" i="68"/>
  <c r="B1957" i="68"/>
  <c r="B1856" i="68"/>
  <c r="B1018" i="68"/>
  <c r="B312" i="68"/>
  <c r="B2349" i="68"/>
  <c r="B719" i="68"/>
  <c r="B1845" i="68"/>
  <c r="B781" i="68"/>
  <c r="B2468" i="68"/>
  <c r="B2392" i="68"/>
  <c r="A1062" i="68"/>
  <c r="A819" i="68"/>
  <c r="B457" i="68"/>
  <c r="A2562" i="68"/>
  <c r="A1224" i="68"/>
  <c r="A2056" i="68"/>
  <c r="A1539" i="68"/>
  <c r="B1740" i="68"/>
  <c r="B2292" i="68"/>
  <c r="B1700" i="68"/>
  <c r="B2219" i="68"/>
  <c r="B539" i="68"/>
  <c r="B2255" i="68"/>
  <c r="B2722" i="68"/>
  <c r="B2401" i="68"/>
  <c r="B1646" i="68"/>
  <c r="B1004" i="68"/>
  <c r="B1154" i="68"/>
  <c r="B842" i="68"/>
  <c r="A2338" i="68"/>
  <c r="A2809" i="68"/>
  <c r="A585" i="68"/>
  <c r="A209" i="68"/>
  <c r="A1330" i="68"/>
  <c r="A899" i="68"/>
  <c r="A2431" i="68"/>
  <c r="B1975" i="68"/>
  <c r="B2562" i="68"/>
  <c r="B1927" i="68"/>
  <c r="B2050" i="68"/>
  <c r="B960" i="68"/>
  <c r="B2658" i="68"/>
  <c r="B582" i="68"/>
  <c r="B2496" i="68"/>
  <c r="B2320" i="68"/>
  <c r="B1782" i="68"/>
  <c r="B1664" i="68"/>
  <c r="B78" i="68"/>
  <c r="B1388" i="68"/>
  <c r="B1798" i="68"/>
  <c r="B1533" i="68"/>
  <c r="B1547" i="68"/>
  <c r="B1477" i="68"/>
  <c r="B398" i="68"/>
  <c r="B2244" i="68"/>
  <c r="A2217" i="68"/>
  <c r="A2753" i="68"/>
  <c r="A2526" i="68"/>
  <c r="B352" i="68"/>
  <c r="B1447" i="68"/>
  <c r="B285" i="68"/>
  <c r="B2513" i="68"/>
  <c r="B1009" i="68"/>
  <c r="B127" i="68"/>
  <c r="B517" i="68"/>
  <c r="B890" i="68"/>
  <c r="B1956" i="68"/>
  <c r="B574" i="68"/>
  <c r="B2632" i="68"/>
  <c r="B1838" i="68"/>
  <c r="B2583" i="68"/>
  <c r="B2003" i="68"/>
  <c r="B1992" i="68"/>
  <c r="B1669" i="68"/>
  <c r="B167" i="68"/>
  <c r="B449" i="68"/>
  <c r="B228" i="68"/>
  <c r="B892" i="68"/>
  <c r="B2707" i="68"/>
  <c r="B1265" i="68"/>
  <c r="B2615" i="68"/>
  <c r="B1872" i="68"/>
  <c r="A2325" i="68"/>
  <c r="B1886" i="68"/>
  <c r="B2566" i="68"/>
  <c r="B707" i="68"/>
  <c r="B255" i="68"/>
  <c r="B689" i="68"/>
  <c r="A2044" i="68"/>
  <c r="A1147" i="68"/>
  <c r="B1667" i="68"/>
  <c r="A2759" i="68"/>
  <c r="B2053" i="68"/>
  <c r="B2819" i="68"/>
  <c r="B2067" i="68"/>
  <c r="B431" i="68"/>
  <c r="B756" i="68"/>
  <c r="B1751" i="68"/>
  <c r="B1213" i="68"/>
  <c r="B279" i="68"/>
  <c r="B1111" i="68"/>
  <c r="B775" i="68"/>
  <c r="B1327" i="68"/>
  <c r="B1456" i="68"/>
  <c r="B1608" i="68"/>
  <c r="B2997" i="68"/>
  <c r="B110" i="68"/>
  <c r="B459" i="68"/>
  <c r="B810" i="68"/>
  <c r="B882" i="68"/>
  <c r="B1187" i="68"/>
  <c r="B934" i="68"/>
  <c r="B1659" i="68"/>
  <c r="B358" i="68"/>
  <c r="A688" i="68"/>
  <c r="B1163" i="68"/>
  <c r="A2246" i="68"/>
  <c r="A2446" i="68"/>
  <c r="A900" i="68"/>
  <c r="A1426" i="68"/>
  <c r="B2596" i="68"/>
  <c r="B1752" i="68"/>
  <c r="B779" i="68"/>
  <c r="B2669" i="68"/>
  <c r="B1167" i="68"/>
  <c r="B1276" i="68"/>
  <c r="B74" i="68"/>
  <c r="B1325" i="68"/>
  <c r="B1429" i="68"/>
  <c r="B28" i="68"/>
  <c r="B2488" i="68"/>
  <c r="B511" i="68"/>
  <c r="B2880" i="68"/>
  <c r="B81" i="68"/>
  <c r="B1267" i="68"/>
  <c r="B2458" i="68"/>
  <c r="B2231" i="68"/>
  <c r="B2768" i="68"/>
  <c r="B1619" i="68"/>
  <c r="B972" i="68"/>
  <c r="B376" i="68"/>
  <c r="B1502" i="68"/>
  <c r="B1369" i="68"/>
  <c r="B2766" i="68"/>
  <c r="B1139" i="68"/>
  <c r="B586" i="68"/>
  <c r="A1901" i="68"/>
  <c r="B493" i="68"/>
  <c r="B970" i="68"/>
  <c r="B1141" i="68"/>
  <c r="B548" i="68"/>
  <c r="B2495" i="68"/>
  <c r="B2612" i="68"/>
  <c r="A297" i="68"/>
  <c r="A2514" i="68"/>
  <c r="A2528" i="68"/>
  <c r="B2515" i="68"/>
  <c r="B2275" i="68"/>
  <c r="B591" i="68"/>
  <c r="B1506" i="68"/>
  <c r="B121" i="68"/>
  <c r="B954" i="68"/>
  <c r="B1732" i="68"/>
  <c r="B1000" i="68"/>
  <c r="B508" i="68"/>
  <c r="B946" i="68"/>
  <c r="B1819" i="68"/>
  <c r="B357" i="68"/>
  <c r="B2812" i="68"/>
  <c r="A614" i="68"/>
  <c r="B614" i="68" s="1"/>
  <c r="A2867" i="68"/>
  <c r="A1849" i="68"/>
  <c r="B1849" i="68" s="1"/>
  <c r="A2268" i="68"/>
  <c r="B2268" i="68" s="1"/>
  <c r="A452" i="68"/>
  <c r="A2986" i="68"/>
  <c r="B2986" i="68" s="1"/>
  <c r="A609" i="68"/>
  <c r="A2847" i="68"/>
  <c r="A2326" i="68"/>
  <c r="A1742" i="68"/>
  <c r="B2406" i="68"/>
  <c r="A1836" i="68"/>
  <c r="B1836" i="68" s="1"/>
  <c r="A2942" i="68"/>
  <c r="A1725" i="68"/>
  <c r="B1725" i="68" s="1"/>
  <c r="A2312" i="68"/>
  <c r="B2312" i="68" s="1"/>
  <c r="A2221" i="68"/>
  <c r="B536" i="68"/>
  <c r="B1718" i="68"/>
  <c r="A2588" i="68"/>
  <c r="B461" i="68"/>
  <c r="A1236" i="68"/>
  <c r="A205" i="68"/>
  <c r="B205" i="68" s="1"/>
  <c r="A997" i="68"/>
  <c r="B93" i="68"/>
  <c r="A2731" i="68"/>
  <c r="B2964" i="68"/>
  <c r="B2267" i="68"/>
  <c r="B473" i="68"/>
  <c r="A125" i="68"/>
  <c r="A1046" i="68"/>
  <c r="B1046" i="68" s="1"/>
  <c r="B2093" i="68"/>
  <c r="B1830" i="68"/>
  <c r="B2290" i="68"/>
  <c r="A1924" i="68"/>
  <c r="A185" i="68"/>
  <c r="A2781" i="68"/>
  <c r="A1398" i="68"/>
  <c r="A1550" i="68"/>
  <c r="A445" i="68"/>
  <c r="A815" i="68"/>
  <c r="B815" i="68" s="1"/>
  <c r="B711" i="68"/>
  <c r="B1386" i="68"/>
  <c r="B930" i="68"/>
  <c r="B413" i="68"/>
  <c r="B814" i="68"/>
  <c r="B391" i="68"/>
  <c r="B2999" i="68"/>
  <c r="B1530" i="68"/>
  <c r="B293" i="68"/>
  <c r="B2569" i="68"/>
  <c r="A1615" i="68"/>
  <c r="A2951" i="68"/>
  <c r="A2674" i="68"/>
  <c r="A56" i="68"/>
  <c r="B56" i="68" s="1"/>
  <c r="A396" i="68"/>
  <c r="A1908" i="68"/>
  <c r="B1908" i="68" s="1"/>
  <c r="B782" i="68"/>
  <c r="A1142" i="68"/>
  <c r="B2781" i="68"/>
  <c r="B1973" i="68"/>
  <c r="B1652" i="68"/>
  <c r="B2025" i="68"/>
  <c r="B128" i="68"/>
  <c r="B821" i="68"/>
  <c r="B2262" i="68"/>
  <c r="B2059" i="68"/>
  <c r="B334" i="68"/>
  <c r="B1894" i="68"/>
  <c r="B1412" i="68"/>
  <c r="B886" i="68"/>
  <c r="A1500" i="68"/>
  <c r="A878" i="68"/>
  <c r="B878" i="68" s="1"/>
  <c r="A725" i="68"/>
  <c r="A2773" i="68"/>
  <c r="A2443" i="68"/>
  <c r="A271" i="68"/>
  <c r="A874" i="68"/>
  <c r="B874" i="68" s="1"/>
  <c r="A2946" i="68"/>
  <c r="B615" i="68"/>
  <c r="B871" i="68"/>
  <c r="B2449" i="68"/>
  <c r="B1261" i="68"/>
  <c r="B2425" i="68"/>
  <c r="B344" i="68"/>
  <c r="B2179" i="68"/>
  <c r="B636" i="68"/>
  <c r="B1324" i="68"/>
  <c r="B1746" i="68"/>
  <c r="B1941" i="68"/>
  <c r="B1076" i="68"/>
  <c r="A1411" i="68"/>
  <c r="A1563" i="68"/>
  <c r="A377" i="68"/>
  <c r="A1038" i="68"/>
  <c r="A607" i="68"/>
  <c r="B607" i="68" s="1"/>
  <c r="A2356" i="68"/>
  <c r="A2321" i="68"/>
  <c r="B1468" i="68"/>
  <c r="B210" i="68"/>
  <c r="B2475" i="68"/>
  <c r="B727" i="68"/>
  <c r="B355" i="68"/>
  <c r="B1035" i="68"/>
  <c r="B2186" i="68"/>
  <c r="B816" i="68"/>
  <c r="B2361" i="68"/>
  <c r="B2687" i="68"/>
  <c r="B634" i="68"/>
  <c r="B399" i="68"/>
  <c r="A2309" i="68"/>
  <c r="A2154" i="68"/>
  <c r="A39" i="68"/>
  <c r="A44" i="68"/>
  <c r="A2741" i="68"/>
  <c r="B2731" i="68"/>
  <c r="A1121" i="68"/>
  <c r="A1344" i="68"/>
  <c r="B1306" i="68"/>
  <c r="B818" i="68"/>
  <c r="B276" i="68"/>
  <c r="B835" i="68"/>
  <c r="B377" i="68"/>
  <c r="B990" i="68"/>
  <c r="B454" i="68"/>
  <c r="B955" i="68"/>
  <c r="B2337" i="68"/>
  <c r="B1209" i="68"/>
  <c r="B44" i="68"/>
  <c r="B1145" i="68"/>
  <c r="B288" i="68"/>
  <c r="B2500" i="68"/>
  <c r="B507" i="68"/>
  <c r="B161" i="68"/>
  <c r="B2032" i="68"/>
  <c r="B950" i="68"/>
  <c r="B656" i="68"/>
  <c r="B1753" i="68"/>
  <c r="B556" i="68"/>
  <c r="A2987" i="68"/>
  <c r="A250" i="68"/>
  <c r="A1390" i="68"/>
  <c r="B176" i="68"/>
  <c r="B1917" i="68"/>
  <c r="B1820" i="68"/>
  <c r="B1989" i="68"/>
  <c r="B1596" i="68"/>
  <c r="B523" i="68"/>
  <c r="B1320" i="68"/>
  <c r="B2845" i="68"/>
  <c r="B2833" i="68"/>
  <c r="B1939" i="68"/>
  <c r="B789" i="68"/>
  <c r="B1988" i="68"/>
  <c r="B1564" i="68"/>
  <c r="B691" i="68"/>
  <c r="B2049" i="68"/>
  <c r="B1864" i="68"/>
  <c r="B1019" i="68"/>
  <c r="B2640" i="68"/>
  <c r="B1621" i="68"/>
  <c r="B2656" i="68"/>
  <c r="B268" i="68"/>
  <c r="B2915" i="68"/>
  <c r="A1395" i="68"/>
  <c r="B2261" i="68"/>
  <c r="B163" i="68"/>
  <c r="B45" i="68"/>
  <c r="A29" i="68"/>
  <c r="B652" i="68"/>
  <c r="B2537" i="68"/>
  <c r="B737" i="68"/>
  <c r="B1766" i="68"/>
  <c r="B2015" i="68"/>
  <c r="B309" i="68"/>
  <c r="B52" i="68"/>
  <c r="B963" i="68"/>
  <c r="B661" i="68"/>
  <c r="B1970" i="68"/>
  <c r="B2043" i="68"/>
  <c r="B475" i="68"/>
  <c r="B1172" i="68"/>
  <c r="B1131" i="68"/>
  <c r="B1744" i="68"/>
  <c r="B1299" i="68"/>
  <c r="B2695" i="68"/>
  <c r="B2622" i="68"/>
  <c r="B331" i="68"/>
  <c r="B314" i="68"/>
  <c r="B759" i="68"/>
  <c r="B2011" i="68"/>
  <c r="B2466" i="68"/>
  <c r="B1298" i="68"/>
  <c r="B1546" i="68"/>
  <c r="B1457" i="68"/>
  <c r="B209" i="68"/>
  <c r="B1557" i="68"/>
  <c r="B1239" i="68"/>
  <c r="A1021" i="68"/>
  <c r="A2090" i="68"/>
  <c r="B33" i="68"/>
  <c r="A522" i="68"/>
  <c r="B1416" i="68"/>
  <c r="B2310" i="68"/>
  <c r="B105" i="68"/>
  <c r="B411" i="68"/>
  <c r="B364" i="68"/>
  <c r="B2913" i="68"/>
  <c r="B1985" i="68"/>
  <c r="B1573" i="68"/>
  <c r="B2621" i="68"/>
  <c r="B2653" i="68"/>
  <c r="B2038" i="68"/>
  <c r="B1960" i="68"/>
  <c r="B2738" i="68"/>
  <c r="B1183" i="68"/>
  <c r="B2187" i="68"/>
  <c r="B2271" i="68"/>
  <c r="B1945" i="68"/>
  <c r="B2092" i="68"/>
  <c r="B29" i="68"/>
  <c r="A1342" i="68"/>
  <c r="B1342" i="68" s="1"/>
  <c r="A655" i="68"/>
  <c r="A114" i="68"/>
  <c r="A2720" i="68"/>
  <c r="B2720" i="68" s="1"/>
  <c r="A1129" i="68"/>
  <c r="A581" i="68"/>
  <c r="A2480" i="68"/>
  <c r="A1837" i="68"/>
  <c r="B1837" i="68" s="1"/>
  <c r="A2854" i="68"/>
  <c r="B2854" i="68" s="1"/>
  <c r="A1097" i="68"/>
  <c r="B1097" i="68" s="1"/>
  <c r="B758" i="68"/>
  <c r="A91" i="68"/>
  <c r="B561" i="68"/>
  <c r="A2864" i="68"/>
  <c r="A1580" i="68"/>
  <c r="B2410" i="68"/>
  <c r="B351" i="68"/>
  <c r="A2574" i="68"/>
  <c r="A2520" i="68"/>
  <c r="B2520" i="68" s="1"/>
  <c r="B99" i="68"/>
  <c r="A133" i="68"/>
  <c r="A1527" i="68"/>
  <c r="B1527" i="68" s="1"/>
  <c r="A2861" i="68"/>
  <c r="B2477" i="68"/>
  <c r="A2455" i="68"/>
  <c r="B2455" i="68" s="1"/>
  <c r="B541" i="68"/>
  <c r="B292" i="68"/>
  <c r="B429" i="68"/>
  <c r="A2912" i="68"/>
  <c r="B2912" i="68" s="1"/>
  <c r="A2806" i="68"/>
  <c r="B501" i="68"/>
  <c r="B245" i="68"/>
  <c r="B944" i="68"/>
  <c r="A1375" i="68"/>
  <c r="A1657" i="68"/>
  <c r="A1146" i="68"/>
  <c r="B540" i="68"/>
  <c r="A1726" i="68"/>
  <c r="B1726" i="68" s="1"/>
  <c r="A1165" i="68"/>
  <c r="B1165" i="68" s="1"/>
  <c r="B1601" i="68"/>
  <c r="B1635" i="68"/>
  <c r="B2661" i="68"/>
  <c r="B1919" i="68"/>
  <c r="B275" i="68"/>
  <c r="B1730" i="68"/>
  <c r="B619" i="68"/>
  <c r="B1507" i="68"/>
  <c r="B1064" i="68"/>
  <c r="B492" i="68"/>
  <c r="B907" i="68"/>
  <c r="B1205" i="68"/>
  <c r="A2140" i="68"/>
  <c r="B2140" i="68" s="1"/>
  <c r="A1806" i="68"/>
  <c r="A204" i="68"/>
  <c r="A917" i="68"/>
  <c r="A2138" i="68"/>
  <c r="A117" i="68"/>
  <c r="A2616" i="68"/>
  <c r="A992" i="68"/>
  <c r="B1177" i="68"/>
  <c r="B2893" i="68"/>
  <c r="B1397" i="68"/>
  <c r="B1055" i="68"/>
  <c r="B2863" i="68"/>
  <c r="B1595" i="68"/>
  <c r="B2692" i="68"/>
  <c r="B343" i="68"/>
  <c r="B690" i="68"/>
  <c r="B1584" i="68"/>
  <c r="B300" i="68"/>
  <c r="B875" i="68"/>
  <c r="A1930" i="68"/>
  <c r="A283" i="68"/>
  <c r="A2710" i="68"/>
  <c r="A2454" i="68"/>
  <c r="A640" i="68"/>
  <c r="A89" i="68"/>
  <c r="A346" i="68"/>
  <c r="B346" i="68" s="1"/>
  <c r="A1245" i="68"/>
  <c r="B2304" i="68"/>
  <c r="B2834" i="68"/>
  <c r="B710" i="68"/>
  <c r="B1572" i="68"/>
  <c r="B2740" i="68"/>
  <c r="B1898" i="68"/>
  <c r="B2174" i="68"/>
  <c r="B568" i="68"/>
  <c r="B1550" i="68"/>
  <c r="B2148" i="68"/>
  <c r="A2184" i="68"/>
  <c r="A1869" i="68"/>
  <c r="B1869" i="68" s="1"/>
  <c r="A2373" i="68"/>
  <c r="B2373" i="68" s="1"/>
  <c r="A2592" i="68"/>
  <c r="A2848" i="68"/>
  <c r="A2048" i="68"/>
  <c r="B2048" i="68" s="1"/>
  <c r="A1929" i="68"/>
  <c r="B1929" i="68" s="1"/>
  <c r="A430" i="68"/>
  <c r="B2589" i="68"/>
  <c r="B1026" i="68"/>
  <c r="B2270" i="68"/>
  <c r="B1685" i="68"/>
  <c r="B731" i="68"/>
  <c r="B916" i="68"/>
  <c r="B119" i="68"/>
  <c r="B563" i="68"/>
  <c r="B464" i="68"/>
  <c r="B602" i="68"/>
  <c r="B2856" i="68"/>
  <c r="B2900" i="68"/>
  <c r="B1220" i="68"/>
  <c r="A1368" i="68"/>
  <c r="A2927" i="68"/>
  <c r="A1591" i="68"/>
  <c r="B1591" i="68" s="1"/>
  <c r="A2315" i="68"/>
  <c r="B2315" i="68" s="1"/>
  <c r="A2534" i="68"/>
  <c r="A832" i="68"/>
  <c r="B832" i="68" s="1"/>
  <c r="A558" i="68"/>
  <c r="B1373" i="68"/>
  <c r="B277" i="68"/>
  <c r="B400" i="68"/>
  <c r="B2744" i="68"/>
  <c r="B2931" i="68"/>
  <c r="B327" i="68"/>
  <c r="B2965" i="68"/>
  <c r="B512" i="68"/>
  <c r="B1337" i="68"/>
  <c r="B665" i="68"/>
  <c r="B2095" i="68"/>
  <c r="B2367" i="68"/>
  <c r="B1038" i="68"/>
  <c r="B580" i="68"/>
  <c r="B1082" i="68"/>
  <c r="B2023" i="68"/>
  <c r="B1878" i="68"/>
  <c r="B1186" i="68"/>
  <c r="B1978" i="68"/>
  <c r="B348" i="68"/>
  <c r="B2667" i="68"/>
  <c r="B2787" i="68"/>
  <c r="B1281" i="68"/>
  <c r="A1536" i="68"/>
  <c r="A1114" i="68"/>
  <c r="A796" i="68"/>
  <c r="B796" i="68" s="1"/>
  <c r="B1389" i="68"/>
  <c r="B2633" i="68"/>
  <c r="B39" i="68"/>
  <c r="B2027" i="68"/>
  <c r="B2159" i="68"/>
  <c r="B370" i="68"/>
  <c r="B338" i="68"/>
  <c r="B2975" i="68"/>
  <c r="B769" i="68"/>
  <c r="B898" i="68"/>
  <c r="B1142" i="68"/>
  <c r="B1020" i="68"/>
  <c r="B866" i="68"/>
  <c r="B118" i="68"/>
  <c r="B1877" i="68"/>
  <c r="B1442" i="68"/>
  <c r="B1774" i="68"/>
  <c r="B1380" i="68"/>
  <c r="B2492" i="68"/>
  <c r="B1560" i="68"/>
  <c r="B1875" i="68"/>
  <c r="B2533" i="68"/>
  <c r="A2603" i="68"/>
  <c r="B2952" i="68"/>
  <c r="B2229" i="68"/>
  <c r="B872" i="68"/>
  <c r="B2868" i="68"/>
  <c r="B238" i="68"/>
  <c r="B1489" i="68"/>
  <c r="A1483" i="68"/>
  <c r="B1483" i="68" s="1"/>
  <c r="A1696" i="68"/>
  <c r="A1381" i="68"/>
  <c r="B1931" i="68"/>
  <c r="B414" i="68"/>
  <c r="B337" i="68"/>
  <c r="B1289" i="68"/>
  <c r="B1615" i="68"/>
  <c r="B2359" i="68"/>
  <c r="B1754" i="68"/>
  <c r="B926" i="68"/>
  <c r="B40" i="68"/>
  <c r="B1230" i="68"/>
  <c r="B845" i="68"/>
  <c r="B2166" i="68"/>
  <c r="B1768" i="68"/>
  <c r="B1650" i="68"/>
  <c r="B1480" i="68"/>
  <c r="B301" i="68"/>
  <c r="B558" i="68"/>
  <c r="B762" i="68"/>
  <c r="B1617" i="68"/>
  <c r="B2498" i="68"/>
  <c r="B1905" i="68"/>
  <c r="B1067" i="68"/>
  <c r="B111" i="68"/>
  <c r="B1822" i="68"/>
  <c r="B631" i="68"/>
  <c r="B406" i="68"/>
  <c r="B151" i="68"/>
  <c r="B132" i="68"/>
  <c r="B2828" i="68"/>
  <c r="A1592" i="68"/>
  <c r="A2039" i="68"/>
  <c r="A200" i="68"/>
  <c r="B605" i="68"/>
  <c r="B2776" i="68"/>
  <c r="B1005" i="68"/>
  <c r="B2554" i="68"/>
  <c r="B543" i="68"/>
  <c r="B600" i="68"/>
  <c r="B2680" i="68"/>
  <c r="B117" i="68"/>
  <c r="B1513" i="68"/>
  <c r="B1150" i="68"/>
  <c r="B1041" i="68"/>
  <c r="B2688" i="68"/>
  <c r="B2143" i="68"/>
  <c r="B2018" i="68"/>
  <c r="B660" i="68"/>
  <c r="B718" i="68"/>
  <c r="B1086" i="68"/>
  <c r="B966" i="68"/>
  <c r="B1361" i="68"/>
  <c r="B1803" i="68"/>
  <c r="B984" i="68"/>
  <c r="B2760" i="68"/>
  <c r="B2115" i="68"/>
  <c r="B2416" i="68"/>
  <c r="B2199" i="68"/>
  <c r="B2508" i="68"/>
  <c r="B836" i="68"/>
  <c r="B145" i="68"/>
  <c r="B1396" i="68"/>
  <c r="B1022" i="68"/>
  <c r="B544" i="68"/>
  <c r="A889" i="68"/>
  <c r="A2072" i="68"/>
  <c r="A2807" i="68"/>
  <c r="B1316" i="68"/>
  <c r="B2246" i="68"/>
  <c r="A1554" i="68"/>
  <c r="B1554" i="68" s="1"/>
  <c r="A2428" i="68"/>
  <c r="A879" i="68"/>
  <c r="B879" i="68" s="1"/>
  <c r="A1578" i="68"/>
  <c r="B1578" i="68" s="1"/>
  <c r="A1673" i="68"/>
  <c r="A1364" i="68"/>
  <c r="B1364" i="68" s="1"/>
  <c r="A2107" i="68"/>
  <c r="A2075" i="68"/>
  <c r="A1093" i="68"/>
  <c r="A2947" i="68"/>
  <c r="B2947" i="68" s="1"/>
  <c r="A2016" i="68"/>
  <c r="A2041" i="68"/>
  <c r="B2041" i="68" s="1"/>
  <c r="A1779" i="68"/>
  <c r="A2448" i="68"/>
  <c r="A1724" i="68"/>
  <c r="B1724" i="68" s="1"/>
  <c r="A1122" i="68"/>
  <c r="B1122" i="68" s="1"/>
  <c r="B698" i="68"/>
  <c r="A2886" i="68"/>
  <c r="B2886" i="68" s="1"/>
  <c r="A1625" i="68"/>
  <c r="B1304" i="68"/>
  <c r="A2112" i="68"/>
  <c r="A2601" i="68"/>
  <c r="B114" i="68"/>
  <c r="A906" i="68"/>
  <c r="B906" i="68" s="1"/>
  <c r="A1075" i="68"/>
  <c r="B1075" i="68" s="1"/>
  <c r="A16" i="68"/>
  <c r="B16" i="68" s="1"/>
  <c r="B2430" i="68"/>
  <c r="B1600" i="68"/>
  <c r="A2928" i="68"/>
  <c r="B2203" i="68"/>
  <c r="B2064" i="68"/>
  <c r="B1228" i="68"/>
  <c r="A744" i="68"/>
  <c r="A1002" i="68"/>
  <c r="B1002" i="68" s="1"/>
  <c r="A1609" i="68"/>
  <c r="A1512" i="68"/>
  <c r="B1512" i="68" s="1"/>
  <c r="A1867" i="68"/>
  <c r="A1613" i="68"/>
  <c r="B1613" i="68" s="1"/>
  <c r="A1668" i="68"/>
  <c r="B126" i="68"/>
  <c r="B770" i="68"/>
  <c r="B738" i="68"/>
  <c r="B747" i="68"/>
  <c r="B1481" i="68"/>
  <c r="B1047" i="68"/>
  <c r="B1977" i="68"/>
  <c r="B684" i="68"/>
  <c r="B422" i="68"/>
  <c r="B2861" i="68"/>
  <c r="B2463" i="68"/>
  <c r="B1974" i="68"/>
  <c r="A2625" i="68"/>
  <c r="B2625" i="68" s="1"/>
  <c r="A1948" i="68"/>
  <c r="A1152" i="68"/>
  <c r="A1637" i="68"/>
  <c r="A675" i="68"/>
  <c r="A692" i="68"/>
  <c r="A1933" i="68"/>
  <c r="B1933" i="68" s="1"/>
  <c r="B180" i="68"/>
  <c r="B2504" i="68"/>
  <c r="B497" i="68"/>
  <c r="B2370" i="68"/>
  <c r="B2655" i="68"/>
  <c r="B1610" i="68"/>
  <c r="B1968" i="68"/>
  <c r="B2213" i="68"/>
  <c r="B657" i="68"/>
  <c r="B2390" i="68"/>
  <c r="B708" i="68"/>
  <c r="B2378" i="68"/>
  <c r="B802" i="68"/>
  <c r="A2308" i="68"/>
  <c r="A1535" i="68"/>
  <c r="B1535" i="68" s="1"/>
  <c r="A1794" i="68"/>
  <c r="B2821" i="68"/>
  <c r="A484" i="68"/>
  <c r="B2358" i="68"/>
  <c r="A439" i="68"/>
  <c r="B439" i="68" s="1"/>
  <c r="B37" i="68"/>
  <c r="B2008" i="68"/>
  <c r="B2075" i="68"/>
  <c r="B32" i="68"/>
  <c r="B640" i="68"/>
  <c r="B2323" i="68"/>
  <c r="B390" i="68"/>
  <c r="B576" i="68"/>
  <c r="B1509" i="68"/>
  <c r="B2763" i="68"/>
  <c r="B1565" i="68"/>
  <c r="B1182" i="68"/>
  <c r="A1293" i="68"/>
  <c r="B1293" i="68" s="1"/>
  <c r="A2363" i="68"/>
  <c r="B2363" i="68" s="1"/>
  <c r="A1315" i="68"/>
  <c r="B2762" i="68"/>
  <c r="A2124" i="68"/>
  <c r="B2124" i="68" s="1"/>
  <c r="A2778" i="68"/>
  <c r="A2939" i="68"/>
  <c r="B1794" i="68"/>
  <c r="B2263" i="68"/>
  <c r="B2036" i="68"/>
  <c r="B2423" i="68"/>
  <c r="B971" i="68"/>
  <c r="B1332" i="68"/>
  <c r="B839" i="68"/>
  <c r="B1164" i="68"/>
  <c r="B529" i="68"/>
  <c r="B1015" i="68"/>
  <c r="B2805" i="68"/>
  <c r="B988" i="68"/>
  <c r="B2112" i="68"/>
  <c r="B1792" i="68"/>
  <c r="A2169" i="68"/>
  <c r="A1257" i="68"/>
  <c r="A2230" i="68"/>
  <c r="B2230" i="68" s="1"/>
  <c r="A715" i="68"/>
  <c r="A1109" i="68"/>
  <c r="B1109" i="68" s="1"/>
  <c r="A2976" i="68"/>
  <c r="A262" i="68"/>
  <c r="B2510" i="68"/>
  <c r="B1760" i="68"/>
  <c r="B174" i="68"/>
  <c r="B2288" i="68"/>
  <c r="B1742" i="68"/>
  <c r="B1081" i="68"/>
  <c r="B1648" i="68"/>
  <c r="B1275" i="68"/>
  <c r="B2478" i="68"/>
  <c r="B265" i="68"/>
  <c r="B2157" i="68"/>
  <c r="B2474" i="68"/>
  <c r="B481" i="68"/>
  <c r="B2835" i="68"/>
  <c r="B2505" i="68"/>
  <c r="B2600" i="68"/>
  <c r="B1467" i="68"/>
  <c r="B2427" i="68"/>
  <c r="B2185" i="68"/>
  <c r="B1445" i="68"/>
  <c r="B274" i="68"/>
  <c r="B1953" i="68"/>
  <c r="B2553" i="68"/>
  <c r="B2151" i="68"/>
  <c r="A2550" i="68"/>
  <c r="B2550" i="68" s="1"/>
  <c r="A491" i="68"/>
  <c r="A933" i="68"/>
  <c r="B1458" i="68"/>
  <c r="B2473" i="68"/>
  <c r="B1203" i="68"/>
  <c r="B1259" i="68"/>
  <c r="B2696" i="68"/>
  <c r="B702" i="68"/>
  <c r="B742" i="68"/>
  <c r="B734" i="68"/>
  <c r="B2319" i="68"/>
  <c r="B1990" i="68"/>
  <c r="B1631" i="68"/>
  <c r="B542" i="68"/>
  <c r="B1179" i="68"/>
  <c r="B1589" i="68"/>
  <c r="B1935" i="68"/>
  <c r="B2779" i="68"/>
  <c r="B319" i="68"/>
  <c r="B917" i="68"/>
  <c r="B912" i="68"/>
  <c r="B2767" i="68"/>
  <c r="B1680" i="68"/>
  <c r="B876" i="68"/>
  <c r="B1208" i="68"/>
  <c r="B668" i="68"/>
  <c r="A168" i="68"/>
  <c r="B908" i="68"/>
  <c r="B1464" i="68"/>
  <c r="B2556" i="68"/>
  <c r="B546" i="68"/>
  <c r="B2881" i="68"/>
  <c r="B1100" i="68"/>
  <c r="A389" i="68"/>
  <c r="A2497" i="68"/>
  <c r="B359" i="68"/>
  <c r="B927" i="68"/>
  <c r="B1166" i="68"/>
  <c r="B1689" i="68"/>
  <c r="B2906" i="68"/>
  <c r="B1368" i="68"/>
  <c r="B825" i="68"/>
  <c r="B2464" i="68"/>
  <c r="B989" i="68"/>
  <c r="B2663" i="68"/>
  <c r="B2237" i="68"/>
  <c r="B72" i="68"/>
  <c r="B820" i="68"/>
  <c r="B1448" i="68"/>
  <c r="B2791" i="68"/>
  <c r="B2285" i="68"/>
  <c r="B1749" i="68"/>
  <c r="B953" i="68"/>
  <c r="B2069" i="68"/>
  <c r="B1675" i="68"/>
  <c r="B837" i="68"/>
  <c r="B1243" i="68"/>
  <c r="B231" i="68"/>
  <c r="B1292" i="68"/>
  <c r="B94" i="68"/>
  <c r="B1831" i="68"/>
  <c r="B2428" i="68"/>
  <c r="B2786" i="68"/>
  <c r="B1832" i="68"/>
  <c r="A1684" i="68"/>
  <c r="A1796" i="68"/>
  <c r="A2576" i="68"/>
  <c r="B2674" i="68"/>
  <c r="B196" i="68"/>
  <c r="B2670" i="68"/>
  <c r="B2649" i="68"/>
  <c r="B1277" i="68"/>
  <c r="B170" i="68"/>
  <c r="B437" i="68"/>
  <c r="B868" i="68"/>
  <c r="B2058" i="68"/>
  <c r="B525" i="68"/>
  <c r="B918" i="68"/>
  <c r="B230" i="68"/>
  <c r="B1778" i="68"/>
  <c r="B2637" i="68"/>
  <c r="B1273" i="68"/>
  <c r="B1195" i="68"/>
  <c r="B202" i="68"/>
  <c r="B2105" i="68"/>
  <c r="B103" i="68"/>
  <c r="B1599" i="68"/>
  <c r="B415" i="68"/>
  <c r="B667" i="68"/>
  <c r="B2461" i="68"/>
  <c r="B2804" i="68"/>
  <c r="B2959" i="68"/>
  <c r="B1775" i="68"/>
  <c r="B1404" i="68"/>
  <c r="B645" i="68"/>
  <c r="B2519" i="68"/>
  <c r="B948" i="68"/>
  <c r="B2643" i="68"/>
  <c r="B177" i="68"/>
  <c r="B1010" i="68"/>
  <c r="B2376" i="68"/>
  <c r="A1841" i="68"/>
  <c r="B1758" i="68"/>
  <c r="A562" i="68"/>
  <c r="B935" i="68"/>
  <c r="B1387" i="68"/>
  <c r="B1057" i="68"/>
  <c r="B2978" i="68"/>
  <c r="B2101" i="68"/>
  <c r="B1567" i="68"/>
  <c r="B1405" i="68"/>
  <c r="A720" i="68"/>
  <c r="B720" i="68" s="1"/>
  <c r="A2811" i="68"/>
  <c r="B2811" i="68" s="1"/>
  <c r="B244" i="68"/>
  <c r="A1789" i="68"/>
  <c r="A2862" i="68"/>
  <c r="B2862" i="68" s="1"/>
  <c r="B594" i="68"/>
  <c r="B2761" i="68"/>
  <c r="A2293" i="68"/>
  <c r="B347" i="68"/>
  <c r="A43" i="68"/>
  <c r="B43" i="68" s="1"/>
  <c r="B2485" i="68"/>
  <c r="B1474" i="68"/>
  <c r="A2453" i="68"/>
  <c r="B1233" i="68"/>
  <c r="A1801" i="68"/>
  <c r="B2119" i="68"/>
  <c r="B1888" i="68"/>
  <c r="B2729" i="68"/>
  <c r="B1552" i="68"/>
  <c r="B632" i="68"/>
  <c r="B798" i="68"/>
  <c r="B740" i="68"/>
  <c r="A1269" i="68"/>
  <c r="B1269" i="68" s="1"/>
  <c r="B2992" i="68"/>
  <c r="B1883" i="68"/>
  <c r="B2823" i="68"/>
  <c r="B368" i="68"/>
  <c r="B1528" i="68"/>
  <c r="B311" i="68"/>
  <c r="A1561" i="68"/>
  <c r="B1516" i="68"/>
  <c r="B1801" i="68"/>
  <c r="B2522" i="68"/>
  <c r="B1391" i="68"/>
  <c r="B2450" i="68"/>
  <c r="B2803" i="68"/>
  <c r="B1658" i="68"/>
  <c r="B303" i="68"/>
  <c r="A1382" i="68"/>
  <c r="B1052" i="68"/>
  <c r="B2276" i="68"/>
  <c r="B2197" i="68"/>
  <c r="A1336" i="68"/>
  <c r="B686" i="68"/>
  <c r="B187" i="68"/>
  <c r="B20" i="68"/>
  <c r="B160" i="68"/>
  <c r="B1940" i="68"/>
  <c r="B1847" i="68"/>
  <c r="B1070" i="68"/>
  <c r="B2831" i="68"/>
  <c r="B1016" i="68"/>
  <c r="B1469" i="68"/>
  <c r="B642" i="68"/>
  <c r="B2138" i="68"/>
  <c r="B2066" i="68"/>
  <c r="B1028" i="68"/>
  <c r="B2820" i="68"/>
  <c r="B487" i="68"/>
  <c r="B1954" i="68"/>
  <c r="B976" i="68"/>
  <c r="A641" i="68"/>
  <c r="B1427" i="68"/>
  <c r="B1885" i="68"/>
  <c r="B383" i="68"/>
  <c r="B559" i="68"/>
  <c r="A2650" i="68"/>
  <c r="B1495" i="68"/>
  <c r="B2969" i="68"/>
  <c r="A1450" i="68"/>
  <c r="B1173" i="68"/>
  <c r="B1431" i="68"/>
  <c r="B1806" i="68"/>
  <c r="B489" i="68"/>
  <c r="B1876" i="68"/>
  <c r="B89" i="68"/>
  <c r="B2277" i="68"/>
  <c r="B2746" i="68"/>
  <c r="B608" i="68"/>
  <c r="B847" i="68"/>
  <c r="B2126" i="68"/>
  <c r="B453" i="68"/>
  <c r="B2918" i="68"/>
  <c r="B1569" i="68"/>
  <c r="B869" i="68"/>
  <c r="B1770" i="68"/>
  <c r="B2252" i="68"/>
  <c r="B597" i="68"/>
  <c r="B2182" i="68"/>
  <c r="B1217" i="68"/>
  <c r="B843" i="68"/>
  <c r="B1071" i="68"/>
  <c r="B547" i="68"/>
  <c r="B604" i="68"/>
  <c r="B1690" i="68"/>
  <c r="B855" i="68"/>
  <c r="B1335" i="68"/>
  <c r="B259" i="68"/>
  <c r="B864" i="68"/>
  <c r="B1128" i="68"/>
  <c r="B1371" i="68"/>
  <c r="B143" i="68"/>
  <c r="B1824" i="68"/>
  <c r="B2701" i="68"/>
  <c r="B1042" i="68"/>
  <c r="B1162" i="68"/>
  <c r="B2405" i="68"/>
  <c r="B1319" i="68"/>
  <c r="B521" i="68"/>
  <c r="B2217" i="68"/>
  <c r="B239" i="68"/>
  <c r="B1840" i="68"/>
  <c r="B1570" i="68"/>
  <c r="B1848" i="68"/>
  <c r="B1789" i="68"/>
  <c r="B673" i="68"/>
  <c r="B2995" i="68"/>
  <c r="B2103" i="68"/>
  <c r="B62" i="68"/>
  <c r="B1222" i="68"/>
  <c r="B1106" i="68"/>
  <c r="B254" i="68"/>
  <c r="B1357" i="68"/>
  <c r="B1733" i="68"/>
  <c r="B2668" i="68"/>
  <c r="B374" i="68"/>
  <c r="B618" i="68"/>
  <c r="B490" i="68"/>
  <c r="B216" i="68"/>
  <c r="B1168" i="68"/>
  <c r="B1614" i="68"/>
  <c r="B1486" i="68"/>
  <c r="B445" i="68"/>
  <c r="A1492" i="68"/>
  <c r="B829" i="68"/>
  <c r="B1622" i="68"/>
  <c r="B1278" i="68"/>
  <c r="B2540" i="68"/>
  <c r="B904" i="68"/>
  <c r="B787" i="68"/>
  <c r="B488" i="68"/>
  <c r="B509" i="68"/>
  <c r="B2770" i="68"/>
  <c r="B2045" i="68"/>
  <c r="B767" i="68"/>
  <c r="B441" i="68"/>
  <c r="B2642" i="68"/>
  <c r="B290" i="68"/>
  <c r="B1854" i="68"/>
  <c r="B2156" i="68"/>
  <c r="B1226" i="68"/>
  <c r="A266" i="68"/>
  <c r="B609" i="68"/>
  <c r="B1776" i="68"/>
  <c r="B443" i="68"/>
  <c r="B2756" i="68"/>
  <c r="B284" i="68"/>
  <c r="B2783" i="68"/>
  <c r="B771" i="68"/>
  <c r="B2925" i="68"/>
  <c r="A2647" i="68"/>
  <c r="B2647" i="68" s="1"/>
  <c r="B1155" i="68"/>
  <c r="A1498" i="68"/>
  <c r="A1216" i="68"/>
  <c r="B1216" i="68" s="1"/>
  <c r="A2209" i="68"/>
  <c r="B2209" i="68" s="1"/>
  <c r="B2897" i="68"/>
  <c r="B1548" i="68"/>
  <c r="A1859" i="68"/>
  <c r="B2000" i="68"/>
  <c r="A1323" i="68"/>
  <c r="B723" i="68"/>
  <c r="B1676" i="68"/>
  <c r="B1904" i="68"/>
  <c r="B1119" i="68"/>
  <c r="A2702" i="68"/>
  <c r="B1197" i="68"/>
  <c r="B752" i="68"/>
  <c r="B2595" i="68"/>
  <c r="B2457" i="68"/>
  <c r="B2951" i="68"/>
  <c r="B1704" i="68"/>
  <c r="A571" i="68"/>
  <c r="A2930" i="68"/>
  <c r="B2930" i="68" s="1"/>
  <c r="B2617" i="68"/>
  <c r="B1765" i="68"/>
  <c r="B1171" i="68"/>
  <c r="B2578" i="68"/>
  <c r="B2381" i="68"/>
  <c r="B2524" i="68"/>
  <c r="A1653" i="68"/>
  <c r="B2544" i="68"/>
  <c r="B884" i="68"/>
  <c r="B1852" i="68"/>
  <c r="B1051" i="68"/>
  <c r="B361" i="68"/>
  <c r="B2350" i="68"/>
  <c r="B1942" i="68"/>
  <c r="B2437" i="68"/>
  <c r="B1913" i="68"/>
  <c r="B158" i="68"/>
  <c r="B2901" i="68"/>
  <c r="B2313" i="68"/>
  <c r="A1517" i="68"/>
  <c r="B2274" i="68"/>
  <c r="B1834" i="68"/>
  <c r="B2842" i="68"/>
  <c r="B1031" i="68"/>
  <c r="B2514" i="68"/>
  <c r="B356" i="68"/>
  <c r="B550" i="68"/>
  <c r="B1545" i="68"/>
  <c r="B2774" i="68"/>
  <c r="B2141" i="68"/>
  <c r="B2164" i="68"/>
  <c r="B2084" i="68"/>
  <c r="B1504" i="68"/>
  <c r="B442" i="68"/>
  <c r="B1296" i="68"/>
  <c r="B1684" i="68"/>
  <c r="B625" i="68"/>
  <c r="B1728" i="68"/>
  <c r="A949" i="68"/>
  <c r="B1790" i="68"/>
  <c r="B1242" i="68"/>
  <c r="B2097" i="68"/>
  <c r="B1365" i="68"/>
  <c r="A694" i="68"/>
  <c r="A2161" i="68"/>
  <c r="A2147" i="68"/>
  <c r="A1784" i="68"/>
  <c r="B2565" i="68"/>
  <c r="B241" i="68"/>
  <c r="B623" i="68"/>
  <c r="B1926" i="68"/>
  <c r="B12" i="68"/>
  <c r="B1069" i="68"/>
  <c r="B922" i="68"/>
  <c r="B451" i="68"/>
  <c r="B1358" i="68"/>
  <c r="B2026" i="68"/>
  <c r="B2909" i="68"/>
  <c r="B1125" i="68"/>
  <c r="B633" i="68"/>
  <c r="B1611" i="68"/>
  <c r="B25" i="68"/>
  <c r="B959" i="68"/>
  <c r="B957" i="68"/>
  <c r="B896" i="68"/>
  <c r="B1152" i="68"/>
  <c r="B1543" i="68"/>
  <c r="B1496" i="68"/>
  <c r="B354" i="68"/>
  <c r="A1638" i="68"/>
  <c r="B1897" i="68"/>
  <c r="B928" i="68"/>
  <c r="B499" i="68"/>
  <c r="B2990" i="68"/>
  <c r="B2953" i="68"/>
  <c r="A305" i="68"/>
  <c r="B503" i="68"/>
  <c r="B51" i="68"/>
  <c r="B2773" i="68"/>
  <c r="B1341" i="68"/>
  <c r="B2429" i="68"/>
  <c r="B199" i="68"/>
  <c r="A1090" i="68"/>
  <c r="B2149" i="68"/>
  <c r="B1505" i="68"/>
  <c r="B1430" i="68"/>
  <c r="B90" i="68"/>
  <c r="B1012" i="68"/>
  <c r="B1274" i="68"/>
  <c r="B514" i="68"/>
  <c r="B2051" i="68"/>
  <c r="B2539" i="68"/>
  <c r="B2470" i="68"/>
  <c r="B730" i="68"/>
  <c r="B666" i="68"/>
  <c r="B1446" i="68"/>
  <c r="B1844" i="68"/>
  <c r="B1048" i="68"/>
  <c r="B2752" i="68"/>
  <c r="B198" i="68"/>
  <c r="A1036" i="68"/>
  <c r="B2221" i="68"/>
  <c r="B994" i="68"/>
  <c r="B2016" i="68"/>
  <c r="B156" i="68"/>
  <c r="B2204" i="68"/>
  <c r="B1993" i="68"/>
  <c r="B1812" i="68"/>
  <c r="B1808" i="68"/>
  <c r="B2110" i="68"/>
  <c r="B1236" i="68"/>
  <c r="B1426" i="68"/>
  <c r="A2727" i="68"/>
  <c r="B2709" i="68"/>
  <c r="B674" i="68"/>
  <c r="B363" i="68"/>
  <c r="B1865" i="68"/>
  <c r="B672" i="68"/>
  <c r="A1417" i="68"/>
  <c r="B505" i="68"/>
  <c r="B1300" i="68"/>
  <c r="B2302" i="68"/>
  <c r="B214" i="68"/>
  <c r="B2699" i="68"/>
  <c r="B513" i="68"/>
  <c r="B2534" i="68"/>
  <c r="B1767" i="68"/>
  <c r="B1958" i="68"/>
  <c r="B2366" i="68"/>
  <c r="B250" i="68"/>
  <c r="B2602" i="68"/>
  <c r="B643" i="68"/>
  <c r="B1938" i="68"/>
  <c r="B2121" i="68"/>
  <c r="B270" i="68"/>
  <c r="B1810" i="68"/>
  <c r="B1440" i="68"/>
  <c r="A1068" i="68"/>
  <c r="B1418" i="68"/>
  <c r="B2841" i="68"/>
  <c r="B2326" i="68"/>
  <c r="B251" i="68"/>
  <c r="B1263" i="68"/>
  <c r="B2451" i="68"/>
  <c r="B31" i="68"/>
  <c r="B834" i="68"/>
  <c r="B1924" i="68"/>
  <c r="B1054" i="68"/>
  <c r="B1174" i="68"/>
  <c r="B2798" i="68"/>
  <c r="B757" i="68"/>
  <c r="B2872" i="68"/>
  <c r="B405" i="68"/>
  <c r="B1784" i="68"/>
  <c r="B2702" i="68"/>
  <c r="A1678" i="68"/>
  <c r="A1455" i="68"/>
  <c r="B1455" i="68" s="1"/>
  <c r="B626" i="68"/>
  <c r="B76" i="68"/>
  <c r="A2824" i="68"/>
  <c r="B448" i="68"/>
  <c r="B1039" i="68"/>
  <c r="B2342" i="68"/>
  <c r="B2281" i="68"/>
  <c r="B1065" i="68"/>
  <c r="A148" i="68"/>
  <c r="B2469" i="68"/>
  <c r="B920" i="68"/>
  <c r="B1653" i="68"/>
  <c r="B2883" i="68"/>
  <c r="B1003" i="68"/>
  <c r="B1551" i="68"/>
  <c r="B2385" i="68"/>
  <c r="B2088" i="68"/>
  <c r="A2172" i="68"/>
  <c r="B655" i="68"/>
  <c r="A478" i="68"/>
  <c r="B478" i="68" s="1"/>
  <c r="B1654" i="68"/>
  <c r="A65" i="68"/>
  <c r="B2691" i="68"/>
  <c r="B1485" i="68"/>
  <c r="B1586" i="68"/>
  <c r="B1722" i="68"/>
  <c r="A565" i="68"/>
  <c r="B46" i="68"/>
  <c r="A1811" i="68"/>
  <c r="B549" i="68"/>
  <c r="B2966" i="68"/>
  <c r="A1688" i="68"/>
  <c r="B1688" i="68" s="1"/>
  <c r="B1461" i="68"/>
  <c r="B152" i="68"/>
  <c r="B964" i="68"/>
  <c r="B2585" i="68"/>
  <c r="B91" i="68"/>
  <c r="B1531" i="68"/>
  <c r="B1352" i="68"/>
  <c r="B2344" i="68"/>
  <c r="B2737" i="68"/>
  <c r="B826" i="68"/>
  <c r="B1814" i="68"/>
  <c r="B22" i="68"/>
  <c r="B1214" i="68"/>
  <c r="B235" i="68"/>
  <c r="A1980" i="68"/>
  <c r="B1411" i="68"/>
  <c r="B134" i="68"/>
  <c r="B382" i="68"/>
  <c r="B2254" i="68"/>
  <c r="B929" i="68"/>
  <c r="B1999" i="68"/>
  <c r="B1809" i="68"/>
  <c r="B1984" i="68"/>
  <c r="B1870" i="68"/>
  <c r="B1234" i="68"/>
  <c r="B1129" i="68"/>
  <c r="B428" i="68"/>
  <c r="A2307" i="68"/>
  <c r="B1642" i="68"/>
  <c r="B975" i="68"/>
  <c r="B644" i="68"/>
  <c r="B2908" i="68"/>
  <c r="B388" i="68"/>
  <c r="B822" i="68"/>
  <c r="B2467" i="68"/>
  <c r="B322" i="68"/>
  <c r="B394" i="68"/>
  <c r="B172" i="68"/>
  <c r="B969" i="68"/>
  <c r="B1716" i="68"/>
  <c r="B1437" i="68"/>
  <c r="B1001" i="68"/>
  <c r="B2968" i="68"/>
  <c r="B981" i="68"/>
  <c r="B2476" i="68"/>
  <c r="B1301" i="68"/>
  <c r="B1677" i="68"/>
  <c r="B2173" i="68"/>
  <c r="B2802" i="68"/>
  <c r="B2170" i="68"/>
  <c r="B2938" i="68"/>
  <c r="A1249" i="68"/>
  <c r="A677" i="68"/>
  <c r="A2206" i="68"/>
  <c r="A2920" i="68"/>
  <c r="B2352" i="68"/>
  <c r="B692" i="68"/>
  <c r="B1950" i="68"/>
  <c r="B1851" i="68"/>
  <c r="B159" i="68"/>
  <c r="B1245" i="68"/>
  <c r="B60" i="68"/>
  <c r="B933" i="68"/>
  <c r="B2976" i="68"/>
  <c r="B2973" i="68"/>
  <c r="B1947" i="68"/>
  <c r="B776" i="68"/>
  <c r="B992" i="68"/>
  <c r="B722" i="68"/>
  <c r="B3" i="68"/>
  <c r="B811" i="68"/>
  <c r="B207" i="68"/>
  <c r="B1406" i="68"/>
  <c r="B477" i="68"/>
  <c r="B2298" i="68"/>
  <c r="B1059" i="68"/>
  <c r="B2335" i="68"/>
  <c r="A2303" i="68"/>
  <c r="B1407" i="68"/>
  <c r="B732" i="68"/>
  <c r="B248" i="68"/>
  <c r="B590" i="68"/>
  <c r="B252" i="68"/>
  <c r="B1188" i="68"/>
  <c r="B1423" i="68"/>
  <c r="B2278" i="68"/>
  <c r="B2398" i="68"/>
  <c r="B466" i="68"/>
  <c r="B628" i="68"/>
  <c r="B325" i="68"/>
  <c r="A142" i="68"/>
  <c r="B1542" i="68"/>
  <c r="B1353" i="68"/>
  <c r="B5" i="68"/>
  <c r="B1833" i="68"/>
  <c r="B1893" i="68"/>
  <c r="B1678" i="68"/>
  <c r="B2511" i="68"/>
  <c r="B1085" i="68"/>
  <c r="B713" i="68"/>
  <c r="B578" i="68"/>
  <c r="B2849" i="68"/>
  <c r="B1683" i="68"/>
  <c r="B2131" i="68"/>
  <c r="B572" i="68"/>
  <c r="B2944" i="68"/>
  <c r="B2792" i="68"/>
  <c r="B467" i="68"/>
  <c r="A2354" i="68"/>
  <c r="B2614" i="68"/>
  <c r="B1313" i="68"/>
  <c r="B2889" i="68"/>
  <c r="B2549" i="68"/>
  <c r="B1108" i="68"/>
  <c r="A278" i="68"/>
  <c r="B112" i="68"/>
  <c r="B1605" i="68"/>
  <c r="B1934" i="68"/>
  <c r="B165" i="68"/>
  <c r="B281" i="68"/>
  <c r="A883" i="68"/>
  <c r="B379" i="68"/>
  <c r="B2678" i="68"/>
  <c r="B1062" i="68"/>
  <c r="B2987" i="68"/>
  <c r="B694" i="68"/>
  <c r="B2690" i="68"/>
  <c r="B1802" i="68"/>
  <c r="B1283" i="68"/>
  <c r="B1966" i="68"/>
  <c r="B2193" i="68"/>
  <c r="B1398" i="68"/>
  <c r="B1491" i="68"/>
  <c r="B2750" i="68"/>
  <c r="B2293" i="68"/>
  <c r="B1800" i="68"/>
  <c r="B1107" i="68"/>
  <c r="B420" i="68"/>
  <c r="B2448" i="68"/>
  <c r="B2494" i="68"/>
  <c r="B2588" i="68"/>
  <c r="B551" i="68"/>
  <c r="B2547" i="68"/>
  <c r="B2442" i="68"/>
  <c r="B2019" i="68"/>
  <c r="B135" i="68"/>
  <c r="B2070" i="68"/>
  <c r="B1786" i="68"/>
  <c r="B506" i="68"/>
  <c r="B606" i="68"/>
  <c r="B1136" i="68"/>
  <c r="B2686" i="68"/>
  <c r="B1638" i="68"/>
  <c r="B2282" i="68"/>
  <c r="B1779" i="68"/>
  <c r="B2939" i="68"/>
  <c r="B1339" i="68"/>
  <c r="B793" i="68"/>
  <c r="B2967" i="68"/>
  <c r="B2137" i="68"/>
  <c r="B2681" i="68"/>
  <c r="B1087" i="68"/>
  <c r="A79" i="68"/>
  <c r="B774" i="68"/>
  <c r="B324" i="68"/>
  <c r="B1463" i="68"/>
  <c r="B528" i="68"/>
  <c r="B675" i="68"/>
  <c r="B709" i="68"/>
  <c r="B705" i="68"/>
  <c r="B1679" i="68"/>
  <c r="B1143" i="68"/>
  <c r="B2336" i="68"/>
  <c r="B650" i="68"/>
  <c r="B1946" i="68"/>
  <c r="B1140" i="68"/>
  <c r="A1692" i="68"/>
  <c r="B1692" i="68" s="1"/>
  <c r="A760" i="68"/>
  <c r="B760" i="68" s="1"/>
  <c r="B2648" i="68"/>
  <c r="B2135" i="68"/>
  <c r="A1160" i="68"/>
  <c r="B2153" i="68"/>
  <c r="A2399" i="68"/>
  <c r="B1594" i="68"/>
  <c r="B2107" i="68"/>
  <c r="A206" i="68"/>
  <c r="B206" i="68" s="1"/>
  <c r="B1103" i="68"/>
  <c r="A1099" i="68"/>
  <c r="B784" i="68"/>
  <c r="B401" i="68"/>
  <c r="A827" i="68"/>
  <c r="B524" i="68"/>
  <c r="B2950" i="68"/>
  <c r="B2843" i="68"/>
  <c r="B2408" i="68"/>
  <c r="B1647" i="68"/>
  <c r="B1494" i="68"/>
  <c r="B1511" i="68"/>
  <c r="B2844" i="68"/>
  <c r="B130" i="68"/>
  <c r="B2558" i="68"/>
  <c r="B870" i="68"/>
  <c r="B1372" i="68"/>
  <c r="B683" i="68"/>
  <c r="B2130" i="68"/>
  <c r="A1663" i="68"/>
  <c r="B2240" i="68"/>
  <c r="B1925" i="68"/>
  <c r="B2220" i="68"/>
  <c r="B1920" i="68"/>
  <c r="B1662" i="68"/>
  <c r="B19" i="68"/>
  <c r="B2809" i="68"/>
  <c r="B102" i="68"/>
  <c r="B1612" i="68"/>
  <c r="B2529" i="68"/>
  <c r="B593" i="68"/>
  <c r="B1056" i="68"/>
  <c r="A854" i="68"/>
  <c r="B1221" i="68"/>
  <c r="B2895" i="68"/>
  <c r="B2353" i="68"/>
  <c r="B1241" i="68"/>
  <c r="B260" i="68"/>
  <c r="B485" i="68"/>
  <c r="B2983" i="68"/>
  <c r="B4" i="68"/>
  <c r="B15" i="68"/>
  <c r="B2593" i="68"/>
  <c r="B2597" i="68"/>
  <c r="B2794" i="68"/>
  <c r="B1772" i="68"/>
  <c r="B2846" i="68"/>
  <c r="B289" i="68"/>
  <c r="B2382" i="68"/>
  <c r="B345" i="68"/>
  <c r="B2864" i="68"/>
  <c r="B2797" i="68"/>
  <c r="B2415" i="68"/>
  <c r="B1284" i="68"/>
  <c r="B1408" i="68"/>
  <c r="B296" i="68"/>
  <c r="A1415" i="68"/>
  <c r="B1415" i="68" s="1"/>
  <c r="B1500" i="68"/>
  <c r="A2417" i="68"/>
  <c r="A809" i="68"/>
  <c r="B1453" i="68"/>
  <c r="B1568" i="68"/>
  <c r="B841" i="68"/>
  <c r="B1588" i="68"/>
  <c r="B2582" i="68"/>
  <c r="B1290" i="68"/>
  <c r="B2609" i="68"/>
  <c r="B2371" i="68"/>
  <c r="B179" i="68"/>
  <c r="B474" i="68"/>
  <c r="B1253" i="68"/>
  <c r="B101" i="68"/>
  <c r="B589" i="68"/>
  <c r="B1288" i="68"/>
  <c r="B2946" i="68"/>
  <c r="B961" i="68"/>
  <c r="B1178" i="68"/>
  <c r="B1737" i="68"/>
  <c r="B320" i="68"/>
  <c r="B1592" i="68"/>
  <c r="B577" i="68"/>
  <c r="B299" i="68"/>
  <c r="A23" i="68"/>
  <c r="B23" i="68" s="1"/>
  <c r="B2125" i="68"/>
  <c r="B1413" i="68"/>
  <c r="B701" i="68"/>
  <c r="B2855" i="68"/>
  <c r="B1561" i="68"/>
  <c r="B2716" i="68"/>
  <c r="B1821" i="68"/>
  <c r="B2850" i="68"/>
  <c r="B2340" i="68"/>
  <c r="B1033" i="68"/>
  <c r="B749" i="68"/>
  <c r="B452" i="68"/>
  <c r="A911" i="68"/>
  <c r="B1963" i="68"/>
  <c r="B2324" i="68"/>
  <c r="B1890" i="68"/>
  <c r="B923" i="68"/>
  <c r="B1625" i="68"/>
  <c r="A2949" i="68"/>
  <c r="B1355" i="68"/>
  <c r="B2572" i="68"/>
  <c r="B2243" i="68"/>
  <c r="B1402" i="68"/>
  <c r="B575" i="68"/>
  <c r="B2309" i="68"/>
  <c r="B2181" i="68"/>
  <c r="B2576" i="68"/>
  <c r="B263" i="68"/>
  <c r="B2362" i="68"/>
  <c r="B197" i="68"/>
  <c r="A2754" i="68"/>
  <c r="B1607" i="68"/>
  <c r="B1895" i="68"/>
  <c r="B863" i="68"/>
  <c r="B1112" i="68"/>
  <c r="A1891" i="68"/>
  <c r="B404" i="68"/>
  <c r="B2440" i="68"/>
  <c r="B2318" i="68"/>
  <c r="B761" i="68"/>
  <c r="B2875" i="68"/>
  <c r="B353" i="68"/>
  <c r="B2300" i="68"/>
  <c r="B616" i="68"/>
  <c r="B435" i="68"/>
  <c r="B2253" i="68"/>
  <c r="B2984" i="68"/>
  <c r="B2433" i="68"/>
  <c r="B2346" i="68"/>
  <c r="B2706" i="68"/>
  <c r="B2441" i="68"/>
  <c r="B178" i="68"/>
  <c r="B629" i="68"/>
  <c r="B1093" i="68"/>
  <c r="B1158" i="68"/>
  <c r="B54" i="68"/>
  <c r="B1536" i="68"/>
  <c r="B418" i="68"/>
  <c r="B2917" i="68"/>
  <c r="B2684" i="68"/>
  <c r="B897" i="68"/>
  <c r="B1021" i="68"/>
  <c r="B581" i="68"/>
  <c r="A2264" i="68"/>
  <c r="B2517" i="68"/>
  <c r="B1529" i="68"/>
  <c r="B286" i="68"/>
  <c r="B2592" i="68"/>
  <c r="B369" i="68"/>
  <c r="B2005" i="68"/>
  <c r="B332" i="68"/>
  <c r="B1232" i="68"/>
  <c r="B75" i="68"/>
  <c r="B1123" i="68"/>
  <c r="A98" i="68"/>
  <c r="B991" i="68"/>
  <c r="B1286" i="68"/>
  <c r="B1225" i="68"/>
  <c r="B70" i="68"/>
  <c r="B181" i="68"/>
  <c r="B2708" i="68"/>
  <c r="B67" i="68"/>
  <c r="B1224" i="68"/>
  <c r="B1525" i="68"/>
  <c r="B302" i="68"/>
  <c r="B1873" i="68"/>
  <c r="B2098" i="68"/>
  <c r="B2601" i="68"/>
  <c r="B373" i="68"/>
  <c r="B873" i="68"/>
  <c r="B129" i="68"/>
  <c r="A2493" i="68"/>
  <c r="B2493" i="68" s="1"/>
  <c r="A704" i="68"/>
  <c r="B704" i="68" s="1"/>
  <c r="A1769" i="68"/>
  <c r="B1769" i="68" s="1"/>
  <c r="A637" i="68"/>
  <c r="B637" i="68" s="1"/>
  <c r="A222" i="68"/>
  <c r="B1113" i="68"/>
  <c r="A2948" i="68"/>
  <c r="B2948" i="68" s="1"/>
  <c r="B280" i="68"/>
  <c r="B1672" i="68"/>
  <c r="A1149" i="68"/>
  <c r="B1149" i="68" s="1"/>
  <c r="B304" i="68"/>
  <c r="A1363" i="68"/>
  <c r="B1363" i="68" s="1"/>
  <c r="B2456" i="68"/>
  <c r="B2052" i="68"/>
  <c r="A2314" i="68"/>
  <c r="B2314" i="68" s="1"/>
  <c r="B2871" i="68"/>
  <c r="B1175" i="68"/>
  <c r="B1362" i="68"/>
  <c r="B1982" i="68"/>
  <c r="B1433" i="68"/>
  <c r="B2196" i="68"/>
  <c r="B2481" i="68"/>
  <c r="B2502" i="68"/>
  <c r="B611" i="68"/>
  <c r="B687" i="68"/>
  <c r="B2491" i="68"/>
  <c r="B2155" i="68"/>
  <c r="B2788" i="68"/>
  <c r="B1670" i="68"/>
  <c r="B2869" i="68"/>
  <c r="B2618" i="68"/>
  <c r="B1576" i="68"/>
  <c r="B1702" i="68"/>
  <c r="B155" i="68"/>
  <c r="B1930" i="68"/>
  <c r="B1185" i="68"/>
  <c r="B2532" i="68"/>
  <c r="B807" i="68"/>
  <c r="B2671" i="68"/>
  <c r="B639" i="68"/>
  <c r="B1025" i="68"/>
  <c r="A2100" i="68"/>
  <c r="A651" i="68"/>
  <c r="B699" i="68"/>
  <c r="B380" i="68"/>
  <c r="B372" i="68"/>
  <c r="B336" i="68"/>
  <c r="B2056" i="68"/>
  <c r="B1311" i="68"/>
  <c r="B2180" i="68"/>
  <c r="B446" i="68"/>
  <c r="B1279" i="68"/>
  <c r="B1634" i="68"/>
  <c r="B226" i="68"/>
  <c r="B2685" i="68"/>
  <c r="B985" i="68"/>
  <c r="B2256" i="68"/>
  <c r="B273" i="68"/>
  <c r="B1124" i="68"/>
  <c r="B2991" i="68"/>
  <c r="B17" i="68"/>
  <c r="B2778" i="68"/>
  <c r="B308" i="68"/>
  <c r="B849" i="68"/>
  <c r="B1207" i="68"/>
  <c r="B564" i="68"/>
  <c r="B1023" i="68"/>
  <c r="A1788" i="68"/>
  <c r="A2724" i="68"/>
  <c r="A2192" i="68"/>
  <c r="B131" i="68"/>
  <c r="B1238" i="68"/>
  <c r="B1734" i="68"/>
  <c r="B397" i="68"/>
  <c r="B921" i="68"/>
  <c r="B1850" i="68"/>
  <c r="B2068" i="68"/>
  <c r="B1409" i="68"/>
  <c r="B2202" i="68"/>
  <c r="B2357" i="68"/>
  <c r="B2587" i="68"/>
  <c r="B14" i="68"/>
  <c r="B2175" i="68"/>
  <c r="B2765" i="68"/>
  <c r="B2228" i="68"/>
  <c r="B144" i="68"/>
  <c r="B2118" i="68"/>
  <c r="B261" i="68"/>
  <c r="B215" i="68"/>
  <c r="B2436" i="68"/>
  <c r="B2904" i="68"/>
  <c r="B1711" i="68"/>
  <c r="A902" i="68"/>
  <c r="B71" i="68"/>
  <c r="B520" i="68"/>
  <c r="B1157" i="68"/>
  <c r="B2961" i="68"/>
  <c r="B1558" i="68"/>
  <c r="B463" i="68"/>
  <c r="B824" i="68"/>
  <c r="B2057" i="68"/>
  <c r="B1637" i="68"/>
  <c r="B2177" i="68"/>
  <c r="B805" i="68"/>
  <c r="B1156" i="68"/>
  <c r="B1843" i="68"/>
  <c r="B786" i="68"/>
  <c r="B2826" i="68"/>
  <c r="B1537" i="68"/>
  <c r="B2001" i="68"/>
  <c r="B2607" i="68"/>
  <c r="B462" i="68"/>
  <c r="B592" i="68"/>
  <c r="B2396" i="68"/>
  <c r="B1994" i="68"/>
  <c r="B567" i="68"/>
  <c r="B1176" i="68"/>
  <c r="B2646" i="68"/>
  <c r="A569" i="68"/>
  <c r="B569" i="68" s="1"/>
  <c r="B1972" i="68"/>
  <c r="B2848" i="68"/>
  <c r="B1120" i="68"/>
  <c r="B1392" i="68"/>
  <c r="B2676" i="68"/>
  <c r="B201" i="68"/>
  <c r="B1231" i="68"/>
  <c r="B2866" i="68"/>
  <c r="B92" i="68"/>
  <c r="B726" i="68"/>
  <c r="B2198" i="68"/>
  <c r="A1863" i="68"/>
  <c r="B1645" i="68"/>
  <c r="B1717" i="68"/>
  <c r="B450" i="68"/>
  <c r="B2184" i="68"/>
  <c r="B1825" i="68"/>
  <c r="B1563" i="68"/>
  <c r="B1673" i="68"/>
  <c r="B1425" i="68"/>
  <c r="B610" i="68"/>
  <c r="B2940" i="68"/>
  <c r="B1092" i="68"/>
  <c r="B2487" i="68"/>
  <c r="B2168" i="68"/>
  <c r="B1880" i="68"/>
  <c r="B1200" i="68"/>
  <c r="B1488" i="68"/>
  <c r="B2530" i="68"/>
  <c r="B2570" i="68"/>
  <c r="B1312" i="68"/>
  <c r="B1983" i="68"/>
  <c r="B2480" i="68"/>
  <c r="B649" i="68"/>
  <c r="B2225" i="68"/>
  <c r="B2085" i="68"/>
  <c r="B1452" i="68"/>
  <c r="B817" i="68"/>
  <c r="A194" i="68"/>
  <c r="B194" i="68" s="1"/>
  <c r="B321" i="68"/>
  <c r="B638" i="68"/>
  <c r="B697" i="68"/>
  <c r="B2813" i="68"/>
  <c r="B893" i="68"/>
  <c r="B2482" i="68"/>
  <c r="B1499" i="68"/>
  <c r="B2248" i="68"/>
  <c r="B2785" i="68"/>
  <c r="B2527" i="68"/>
  <c r="B1657" i="68"/>
  <c r="B1577" i="68"/>
  <c r="B2264" i="68"/>
  <c r="B1302" i="68"/>
  <c r="B2355" i="68"/>
  <c r="B1707" i="68"/>
  <c r="B2160" i="68"/>
  <c r="B654" i="68"/>
  <c r="B2814" i="68"/>
  <c r="B182" i="68"/>
  <c r="B1146" i="68"/>
  <c r="B124" i="68"/>
  <c r="A55" i="68"/>
  <c r="B1720" i="68"/>
  <c r="B887" i="68"/>
  <c r="B2512" i="68"/>
  <c r="B2742" i="68"/>
  <c r="B272" i="68"/>
  <c r="B2521" i="68"/>
  <c r="B256" i="68"/>
  <c r="B1816" i="68"/>
  <c r="B2960" i="68"/>
  <c r="B149" i="68"/>
  <c r="B1626" i="68"/>
  <c r="B530" i="68"/>
  <c r="B1229" i="68"/>
  <c r="A2419" i="68"/>
  <c r="B2419" i="68" s="1"/>
  <c r="A1799" i="68"/>
  <c r="B1799" i="68" s="1"/>
  <c r="A1061" i="68"/>
  <c r="A2796" i="68"/>
  <c r="B2796" i="68" s="1"/>
  <c r="B1936" i="68"/>
  <c r="B58" i="68"/>
  <c r="A2799" i="68"/>
  <c r="B744" i="68"/>
  <c r="B146" i="68"/>
  <c r="A965" i="68"/>
  <c r="B83" i="68"/>
  <c r="A2921" i="68"/>
  <c r="B1510" i="68"/>
  <c r="B2611" i="68"/>
  <c r="A2816" i="68"/>
  <c r="B2816" i="68" s="1"/>
  <c r="B1532" i="68"/>
  <c r="B2236" i="68"/>
  <c r="B852" i="68"/>
  <c r="B1074" i="68"/>
  <c r="B1815" i="68"/>
  <c r="B2146" i="68"/>
  <c r="B2250" i="68"/>
  <c r="B342" i="68"/>
  <c r="B2847" i="68"/>
  <c r="B951" i="68"/>
  <c r="B1482" i="68"/>
  <c r="B681" i="68"/>
  <c r="B27" i="68"/>
  <c r="B2071" i="68"/>
  <c r="B1061" i="68"/>
  <c r="B1501" i="68"/>
  <c r="B2375" i="68"/>
  <c r="B1687" i="68"/>
  <c r="B1948" i="68"/>
  <c r="B483" i="68"/>
  <c r="B2211" i="68"/>
  <c r="B68" i="68"/>
  <c r="A169" i="68"/>
  <c r="B169" i="68" s="1"/>
  <c r="A1084" i="68"/>
  <c r="B2599" i="68"/>
  <c r="B2321" i="68"/>
  <c r="B2086" i="68"/>
  <c r="B2535" i="68"/>
  <c r="B1029" i="68"/>
  <c r="B1911" i="68"/>
  <c r="B1710" i="68"/>
  <c r="B2120" i="68"/>
  <c r="B2832" i="68"/>
  <c r="B2822" i="68"/>
  <c r="A2331" i="68"/>
  <c r="B147" i="68"/>
  <c r="B1044" i="68"/>
  <c r="B1079" i="68"/>
  <c r="B2885" i="68"/>
  <c r="B2724" i="68"/>
  <c r="B2551" i="68"/>
  <c r="A1874" i="68"/>
  <c r="B2212" i="68"/>
  <c r="B55" i="68"/>
  <c r="B247" i="68"/>
  <c r="A2836" i="68"/>
  <c r="B1011" i="68"/>
  <c r="B2372" i="68"/>
  <c r="B2299" i="68"/>
  <c r="B2957" i="68"/>
  <c r="B678" i="68"/>
  <c r="B2472" i="68"/>
  <c r="B1949" i="68"/>
  <c r="B1060" i="68"/>
  <c r="B1449" i="68"/>
  <c r="B1959" i="68"/>
  <c r="B1701" i="68"/>
  <c r="B2771" i="68"/>
  <c r="B903" i="68"/>
  <c r="B38" i="68"/>
  <c r="B465" i="68"/>
  <c r="B570" i="68"/>
  <c r="B979" i="68"/>
  <c r="B1674" i="68"/>
  <c r="A2825" i="68"/>
  <c r="B2825" i="68" s="1"/>
  <c r="A790" i="68"/>
  <c r="B790" i="68" s="1"/>
  <c r="B1013" i="68"/>
  <c r="B743" i="68"/>
  <c r="A1244" i="68"/>
  <c r="B1244" i="68" s="1"/>
  <c r="B736" i="68"/>
  <c r="A823" i="68"/>
  <c r="B823" i="68" s="1"/>
  <c r="B1116" i="68"/>
  <c r="B1593" i="68"/>
  <c r="B154" i="68"/>
  <c r="B2172" i="68"/>
  <c r="A2772" i="68"/>
  <c r="B2772" i="68" s="1"/>
  <c r="B2273" i="68"/>
  <c r="B763" i="68"/>
  <c r="B1846" i="68"/>
  <c r="B2169" i="68"/>
  <c r="B2581" i="68"/>
  <c r="A2985" i="68"/>
  <c r="B2985" i="68" s="1"/>
  <c r="B1351" i="68"/>
  <c r="B1394" i="68"/>
  <c r="B2369" i="68"/>
  <c r="B2102" i="68"/>
  <c r="B2046" i="68"/>
  <c r="B1743" i="68"/>
  <c r="B1159" i="68"/>
  <c r="B59" i="68"/>
  <c r="B2935" i="68"/>
  <c r="B2207" i="68"/>
  <c r="B2723" i="68"/>
  <c r="B2435" i="68"/>
  <c r="B2936" i="68"/>
  <c r="B1270" i="68"/>
  <c r="B2235" i="68"/>
  <c r="B1169" i="68"/>
  <c r="B2374" i="68"/>
  <c r="B1514" i="68"/>
  <c r="B2789" i="68"/>
  <c r="B2214" i="68"/>
  <c r="B1952" i="68"/>
  <c r="B2431" i="68"/>
  <c r="B1328" i="68"/>
  <c r="A924" i="68"/>
  <c r="B2853" i="68"/>
  <c r="B901" i="68"/>
  <c r="B2865" i="68"/>
  <c r="B2660" i="68"/>
  <c r="B2693" i="68"/>
  <c r="B2689" i="68"/>
  <c r="B1932" i="68"/>
  <c r="B1460" i="68"/>
  <c r="B1699" i="68"/>
  <c r="B2867" i="68"/>
  <c r="B630" i="68"/>
  <c r="B2559" i="68"/>
  <c r="B2574" i="68"/>
  <c r="B998" i="68"/>
  <c r="B846" i="68"/>
  <c r="B1861" i="68"/>
  <c r="B1444" i="68"/>
  <c r="B1395" i="68"/>
  <c r="B2020" i="68"/>
  <c r="B795" i="68"/>
  <c r="B2899" i="68"/>
  <c r="B2927" i="68"/>
  <c r="B612" i="68"/>
  <c r="B2543" i="68"/>
  <c r="B1017" i="68"/>
  <c r="A1862" i="68"/>
  <c r="A460" i="68"/>
  <c r="A1881" i="68"/>
  <c r="B1881" i="68" s="1"/>
  <c r="B2775" i="68"/>
  <c r="B2876" i="68"/>
  <c r="B2806" i="68"/>
  <c r="B2216" i="68"/>
  <c r="B104" i="68"/>
  <c r="B482" i="68"/>
  <c r="B2380" i="68"/>
  <c r="B2793" i="68"/>
  <c r="B1110" i="68"/>
  <c r="B2942" i="68"/>
  <c r="B150" i="68"/>
  <c r="B857" i="68"/>
  <c r="B2113" i="68"/>
  <c r="B2972" i="68"/>
  <c r="B1007" i="68"/>
  <c r="B2009" i="68"/>
  <c r="B1099" i="68"/>
  <c r="B1255" i="68"/>
  <c r="B664" i="68"/>
  <c r="B2329" i="68"/>
  <c r="B1976" i="68"/>
  <c r="B851" i="68"/>
  <c r="A472" i="68"/>
  <c r="B1435" i="68"/>
  <c r="B2343" i="68"/>
  <c r="B1541" i="68"/>
  <c r="B1053" i="68"/>
  <c r="A1032" i="68"/>
  <c r="B1032" i="68" s="1"/>
  <c r="A2364" i="68"/>
  <c r="B122" i="68"/>
  <c r="B2024" i="68"/>
  <c r="B1476" i="68"/>
  <c r="B2077" i="68"/>
  <c r="B1008" i="68"/>
  <c r="B2083" i="68"/>
  <c r="B2577" i="68"/>
  <c r="B910" i="68"/>
  <c r="B249" i="68"/>
  <c r="B2700" i="68"/>
  <c r="B1739" i="68"/>
  <c r="B2334" i="68"/>
  <c r="B2594" i="68"/>
  <c r="B2560" i="68"/>
  <c r="B480" i="68"/>
  <c r="B2829" i="68"/>
  <c r="B1581" i="68"/>
  <c r="B204" i="68"/>
  <c r="B1640" i="68"/>
  <c r="B2286" i="68"/>
  <c r="B200" i="68"/>
  <c r="B583" i="68"/>
  <c r="B1309" i="68"/>
  <c r="B50" i="68"/>
  <c r="B587" i="68"/>
  <c r="B1432" i="68"/>
  <c r="B1762" i="68"/>
  <c r="B18" i="68"/>
  <c r="B1049" i="68"/>
  <c r="B1736" i="68"/>
  <c r="B217" i="68"/>
  <c r="B2407" i="68"/>
  <c r="B2194" i="68"/>
  <c r="B2874" i="68"/>
  <c r="B1127" i="68"/>
  <c r="B2109" i="68"/>
  <c r="B1921" i="68"/>
  <c r="B2129" i="68"/>
  <c r="B1317" i="68"/>
  <c r="B2922" i="68"/>
  <c r="B267" i="68"/>
  <c r="B408" i="68"/>
  <c r="B189" i="68"/>
  <c r="B2698" i="68"/>
  <c r="B123" i="68"/>
  <c r="B2919" i="68"/>
  <c r="B366" i="68"/>
  <c r="B2426" i="68"/>
  <c r="B862" i="68"/>
  <c r="B1780" i="68"/>
  <c r="B24" i="68"/>
  <c r="B997" i="68"/>
  <c r="B419" i="68"/>
  <c r="B2028" i="68"/>
  <c r="A1170" i="68"/>
  <c r="B1170" i="68" s="1"/>
  <c r="A2365" i="68"/>
  <c r="B2365" i="68" s="1"/>
  <c r="A69" i="68"/>
  <c r="B69" i="68" s="1"/>
  <c r="B63" i="68"/>
  <c r="B2266" i="68"/>
  <c r="B1951" i="68"/>
  <c r="B888" i="68"/>
  <c r="B2096" i="68"/>
  <c r="A2117" i="68"/>
  <c r="B2117" i="68" s="1"/>
  <c r="B1248" i="68"/>
  <c r="B1321" i="68"/>
  <c r="B2418" i="68"/>
  <c r="B41" i="68"/>
  <c r="A2627" i="68"/>
  <c r="B1632" i="68"/>
  <c r="B1590" i="68"/>
  <c r="B996" i="68"/>
  <c r="A2575" i="68"/>
  <c r="B2575" i="68" s="1"/>
  <c r="B2790" i="68"/>
  <c r="B635" i="68"/>
  <c r="B1910" i="68"/>
  <c r="B2664" i="68"/>
  <c r="B2758" i="68"/>
  <c r="B107" i="68"/>
  <c r="B535" i="68"/>
  <c r="B974" i="68"/>
  <c r="B283" i="68"/>
  <c r="B1944" i="68"/>
  <c r="B1190" i="68"/>
  <c r="B2218" i="68"/>
  <c r="B2317" i="68"/>
  <c r="B1295" i="68"/>
  <c r="B2399" i="68"/>
  <c r="B2079" i="68"/>
  <c r="B1598" i="68"/>
  <c r="B1497" i="68"/>
  <c r="B395" i="68"/>
  <c r="B1858" i="68"/>
  <c r="B2305" i="68"/>
  <c r="B1198" i="68"/>
  <c r="B1828" i="68"/>
  <c r="B2134" i="68"/>
  <c r="B899" i="68"/>
  <c r="A2387" i="68"/>
  <c r="B229" i="68"/>
  <c r="B1566" i="68"/>
  <c r="B1987" i="68"/>
  <c r="B2884" i="68"/>
  <c r="B555" i="68"/>
  <c r="B750" i="68"/>
  <c r="B617" i="68"/>
  <c r="B993" i="68"/>
  <c r="A403" i="68"/>
  <c r="B1721" i="68"/>
  <c r="B1410" i="68"/>
  <c r="B2827" i="68"/>
  <c r="B2108" i="68"/>
  <c r="B1804" i="68"/>
  <c r="B35" i="68"/>
  <c r="B2548" i="68"/>
  <c r="B1526" i="68"/>
  <c r="B621" i="68"/>
  <c r="B1399" i="68"/>
  <c r="B745" i="68"/>
  <c r="B1539" i="68"/>
  <c r="B164" i="68"/>
  <c r="B85" i="68"/>
  <c r="B1390" i="68"/>
  <c r="B1322" i="68"/>
  <c r="B714" i="68"/>
  <c r="B1219" i="68"/>
  <c r="B339" i="68"/>
  <c r="B1237" i="68"/>
  <c r="B1981" i="68"/>
  <c r="B1857" i="68"/>
  <c r="B2757" i="68"/>
  <c r="B2242" i="68"/>
  <c r="B2666" i="68"/>
  <c r="B1330" i="68"/>
  <c r="B1995" i="68"/>
  <c r="B2616" i="68"/>
  <c r="B1138" i="68"/>
  <c r="B193" i="68"/>
  <c r="B965" i="68"/>
  <c r="B2910" i="68"/>
  <c r="B1703" i="68"/>
  <c r="B2665" i="68"/>
  <c r="B2858" i="68"/>
  <c r="B1580" i="68"/>
  <c r="B2518" i="68"/>
  <c r="B1860" i="68"/>
  <c r="B2486" i="68"/>
  <c r="B2528" i="68"/>
  <c r="B11" i="68"/>
  <c r="B2074" i="68"/>
  <c r="B2501" i="68"/>
  <c r="B733" i="68"/>
  <c r="B1072" i="68"/>
  <c r="B221" i="68"/>
  <c r="B1955" i="68"/>
  <c r="B2417" i="68"/>
  <c r="B2557" i="68"/>
  <c r="B1381" i="68"/>
  <c r="B271" i="68"/>
  <c r="B2734" i="68"/>
  <c r="B1212" i="68"/>
  <c r="C155" i="70" l="1"/>
  <c r="C42" i="66"/>
  <c r="C113" i="70"/>
  <c r="A2" i="71"/>
  <c r="A2" i="70"/>
  <c r="A2" i="33"/>
  <c r="A2" i="48"/>
  <c r="A2" i="49"/>
  <c r="A2" i="50"/>
  <c r="A2" i="43"/>
  <c r="A2" i="44"/>
  <c r="A2" i="45"/>
  <c r="A4" i="46"/>
  <c r="A2" i="47"/>
  <c r="A2" i="78" s="1"/>
  <c r="A2" i="42"/>
  <c r="A2" i="41"/>
  <c r="A2" i="40"/>
  <c r="A2" i="39"/>
  <c r="A2" i="38"/>
  <c r="A2" i="37"/>
  <c r="A2" i="36"/>
  <c r="A2" i="35"/>
  <c r="A2" i="34"/>
  <c r="A43" i="5"/>
  <c r="A2" i="5"/>
  <c r="A56" i="2"/>
  <c r="A2" i="2"/>
  <c r="E27" i="9"/>
  <c r="D22" i="9"/>
  <c r="D23" i="9"/>
  <c r="B403" i="68"/>
  <c r="B2836" i="68"/>
  <c r="B2192" i="68"/>
  <c r="B2949" i="68"/>
  <c r="B883" i="68"/>
  <c r="B1249" i="68"/>
  <c r="B1068" i="68"/>
  <c r="B949" i="68"/>
  <c r="B1450" i="68"/>
  <c r="B1796" i="68"/>
  <c r="B1315" i="68"/>
  <c r="B2072" i="68"/>
  <c r="B2710" i="68"/>
  <c r="B2154" i="68"/>
  <c r="B1901" i="68"/>
  <c r="B2526" i="68"/>
  <c r="B812" i="68"/>
  <c r="B601" i="68"/>
  <c r="B1755" i="68"/>
  <c r="B1839" i="68"/>
  <c r="B1791" i="68"/>
  <c r="B1223" i="68"/>
  <c r="B1964" i="68"/>
  <c r="B2887" i="68"/>
  <c r="B1153" i="68"/>
  <c r="B2903" i="68"/>
  <c r="B2272" i="68"/>
  <c r="B838" i="68"/>
  <c r="B2546" i="68"/>
  <c r="B532" i="68"/>
  <c r="B2932" i="68"/>
  <c r="B440" i="68"/>
  <c r="B1668" i="68"/>
  <c r="B725" i="68"/>
  <c r="B2338" i="68"/>
  <c r="B1713" i="68"/>
  <c r="B1331" i="68"/>
  <c r="B2327" i="68"/>
  <c r="B184" i="68"/>
  <c r="B2980" i="68"/>
  <c r="B1305" i="68"/>
  <c r="B2379" i="68"/>
  <c r="B2943" i="68"/>
  <c r="B902" i="68"/>
  <c r="B1492" i="68"/>
  <c r="B2741" i="68"/>
  <c r="B1503" i="68"/>
  <c r="B2801" i="68"/>
  <c r="B2287" i="68"/>
  <c r="B2538" i="68"/>
  <c r="B2432" i="68"/>
  <c r="B2387" i="68"/>
  <c r="B1874" i="68"/>
  <c r="B1788" i="68"/>
  <c r="B911" i="68"/>
  <c r="B278" i="68"/>
  <c r="B2307" i="68"/>
  <c r="B1417" i="68"/>
  <c r="B1517" i="68"/>
  <c r="B2650" i="68"/>
  <c r="B2497" i="68"/>
  <c r="B484" i="68"/>
  <c r="B889" i="68"/>
  <c r="B1375" i="68"/>
  <c r="B2356" i="68"/>
  <c r="B900" i="68"/>
  <c r="B2753" i="68"/>
  <c r="B2525" i="68"/>
  <c r="B2662" i="68"/>
  <c r="B1272" i="68"/>
  <c r="B1006" i="68"/>
  <c r="B2136" i="68"/>
  <c r="B1366" i="68"/>
  <c r="B1014" i="68"/>
  <c r="B306" i="68"/>
  <c r="B1419" i="68"/>
  <c r="B2106" i="68"/>
  <c r="B2963" i="68"/>
  <c r="B1287" i="68"/>
  <c r="B434" i="68"/>
  <c r="B225" i="68"/>
  <c r="B2499" i="68"/>
  <c r="B1696" i="68"/>
  <c r="B522" i="68"/>
  <c r="B688" i="68"/>
  <c r="B2279" i="68"/>
  <c r="B999" i="68"/>
  <c r="B603" i="68"/>
  <c r="B2613" i="68"/>
  <c r="B1698" i="68"/>
  <c r="B2627" i="68"/>
  <c r="B2331" i="68"/>
  <c r="B651" i="68"/>
  <c r="B809" i="68"/>
  <c r="B2354" i="68"/>
  <c r="B1980" i="68"/>
  <c r="B2727" i="68"/>
  <c r="B571" i="68"/>
  <c r="B641" i="68"/>
  <c r="B389" i="68"/>
  <c r="B2308" i="68"/>
  <c r="B2039" i="68"/>
  <c r="B133" i="68"/>
  <c r="B2443" i="68"/>
  <c r="B2446" i="68"/>
  <c r="B585" i="68"/>
  <c r="B1781" i="68"/>
  <c r="B1343" i="68"/>
  <c r="B137" i="68"/>
  <c r="B1151" i="68"/>
  <c r="B2345" i="68"/>
  <c r="B2002" i="68"/>
  <c r="B2657" i="68"/>
  <c r="B703" i="68"/>
  <c r="B1666" i="68"/>
  <c r="B1823" i="68"/>
  <c r="B2606" i="68"/>
  <c r="B2322" i="68"/>
  <c r="B2993" i="68"/>
  <c r="B1757" i="68"/>
  <c r="B2639" i="68"/>
  <c r="B1763" i="68"/>
  <c r="B1922" i="68"/>
  <c r="B2397" i="68"/>
  <c r="B190" i="68"/>
  <c r="B329" i="68"/>
  <c r="B2754" i="68"/>
  <c r="B2807" i="68"/>
  <c r="B2289" i="68"/>
  <c r="B2061" i="68"/>
  <c r="B1907" i="68"/>
  <c r="B2364" i="68"/>
  <c r="B1084" i="68"/>
  <c r="B2100" i="68"/>
  <c r="B854" i="68"/>
  <c r="B142" i="68"/>
  <c r="B1811" i="68"/>
  <c r="B1036" i="68"/>
  <c r="B1323" i="68"/>
  <c r="B1336" i="68"/>
  <c r="B168" i="68"/>
  <c r="B1756" i="68"/>
  <c r="B3000" i="68"/>
  <c r="B2034" i="68"/>
  <c r="B1902" i="68"/>
  <c r="B2824" i="68"/>
  <c r="B1257" i="68"/>
  <c r="B2325" i="68"/>
  <c r="B1360" i="68"/>
  <c r="B2176" i="68"/>
  <c r="B472" i="68"/>
  <c r="B2921" i="68"/>
  <c r="B222" i="68"/>
  <c r="B1663" i="68"/>
  <c r="B2303" i="68"/>
  <c r="B565" i="68"/>
  <c r="B1090" i="68"/>
  <c r="B1859" i="68"/>
  <c r="B1382" i="68"/>
  <c r="B491" i="68"/>
  <c r="B1867" i="68"/>
  <c r="B2603" i="68"/>
  <c r="B2090" i="68"/>
  <c r="B396" i="68"/>
  <c r="B2759" i="68"/>
  <c r="B819" i="68"/>
  <c r="B2122" i="68"/>
  <c r="B1538" i="68"/>
  <c r="B2114" i="68"/>
  <c r="B2040" i="68"/>
  <c r="B2158" i="68"/>
  <c r="B947" i="68"/>
  <c r="B287" i="68"/>
  <c r="B2483" i="68"/>
  <c r="B2933" i="68"/>
  <c r="B317" i="68"/>
  <c r="B1201" i="68"/>
  <c r="B1853" i="68"/>
  <c r="B1597" i="68"/>
  <c r="B1095" i="68"/>
  <c r="B1478" i="68"/>
  <c r="B1303" i="68"/>
  <c r="B295" i="68"/>
  <c r="B677" i="68"/>
  <c r="B2454" i="68"/>
  <c r="B2200" i="68"/>
  <c r="B1651" i="68"/>
  <c r="B495" i="68"/>
  <c r="B460" i="68"/>
  <c r="B2799" i="68"/>
  <c r="B98" i="68"/>
  <c r="B827" i="68"/>
  <c r="B2920" i="68"/>
  <c r="B65" i="68"/>
  <c r="B305" i="68"/>
  <c r="B1498" i="68"/>
  <c r="B2453" i="68"/>
  <c r="B262" i="68"/>
  <c r="B1609" i="68"/>
  <c r="B1114" i="68"/>
  <c r="B1344" i="68"/>
  <c r="B185" i="68"/>
  <c r="B1147" i="68"/>
  <c r="B2091" i="68"/>
  <c r="B2291" i="68"/>
  <c r="B2651" i="68"/>
  <c r="B1656" i="68"/>
  <c r="B1034" i="68"/>
  <c r="B622" i="68"/>
  <c r="B980" i="68"/>
  <c r="B596" i="68"/>
  <c r="B2598" i="68"/>
  <c r="B1462" i="68"/>
  <c r="B1705" i="68"/>
  <c r="B844" i="68"/>
  <c r="B2735" i="68"/>
  <c r="B938" i="68"/>
  <c r="B392" i="68"/>
  <c r="B498" i="68"/>
  <c r="B624" i="68"/>
  <c r="B1807" i="68"/>
  <c r="B79" i="68"/>
  <c r="B1862" i="68"/>
  <c r="B1863" i="68"/>
  <c r="B1891" i="68"/>
  <c r="B1160" i="68"/>
  <c r="B2206" i="68"/>
  <c r="B148" i="68"/>
  <c r="B2147" i="68"/>
  <c r="B266" i="68"/>
  <c r="B562" i="68"/>
  <c r="B715" i="68"/>
  <c r="B2928" i="68"/>
  <c r="B430" i="68"/>
  <c r="B1121" i="68"/>
  <c r="B125" i="68"/>
  <c r="B2044" i="68"/>
  <c r="B1334" i="68"/>
  <c r="B42" i="68"/>
  <c r="B219" i="68"/>
  <c r="B1420" i="68"/>
  <c r="B2161" i="68"/>
  <c r="B1841" i="68"/>
  <c r="B297" i="68"/>
  <c r="B1377" i="68"/>
  <c r="B2911" i="68"/>
  <c r="B1359" i="68"/>
  <c r="B924" i="68"/>
  <c r="A50" i="9" l="1"/>
  <c r="D16" i="9" l="1"/>
  <c r="D13" i="9"/>
  <c r="B4" i="66"/>
  <c r="C50" i="34" l="1"/>
  <c r="C8" i="70"/>
  <c r="C112" i="70"/>
  <c r="F21" i="47"/>
  <c r="F20" i="47"/>
  <c r="F15" i="47"/>
  <c r="F16" i="47"/>
  <c r="F17" i="47"/>
  <c r="F18" i="47"/>
  <c r="F19" i="47"/>
  <c r="F22" i="47"/>
  <c r="F23" i="47"/>
  <c r="F24" i="47"/>
  <c r="F25" i="47"/>
  <c r="F14" i="47"/>
  <c r="C26" i="47"/>
  <c r="D7" i="47" s="1"/>
  <c r="D26" i="47"/>
  <c r="D8" i="47" s="1"/>
  <c r="D8" i="78" s="1"/>
  <c r="B26" i="47"/>
  <c r="D5" i="47" s="1"/>
  <c r="E26" i="47"/>
  <c r="E9" i="70"/>
  <c r="E8" i="70"/>
  <c r="C9" i="70"/>
  <c r="B168" i="66"/>
  <c r="B169" i="66" s="1"/>
  <c r="B153" i="66"/>
  <c r="B138" i="66"/>
  <c r="B128" i="66"/>
  <c r="B129" i="66" s="1"/>
  <c r="B130" i="66" s="1"/>
  <c r="B131" i="66" s="1"/>
  <c r="B132" i="66" s="1"/>
  <c r="B133" i="66" s="1"/>
  <c r="B134" i="66" s="1"/>
  <c r="B135" i="66" s="1"/>
  <c r="B136" i="66" s="1"/>
  <c r="B137" i="66" s="1"/>
  <c r="B116" i="66"/>
  <c r="B105" i="66"/>
  <c r="B97" i="66"/>
  <c r="B98" i="66" s="1"/>
  <c r="B99" i="66" s="1"/>
  <c r="B100" i="66" s="1"/>
  <c r="B101" i="66" s="1"/>
  <c r="B102" i="66" s="1"/>
  <c r="B103" i="66" s="1"/>
  <c r="B104" i="66" s="1"/>
  <c r="B86" i="66"/>
  <c r="B87" i="66" s="1"/>
  <c r="B88" i="66" s="1"/>
  <c r="B89" i="66" s="1"/>
  <c r="B90" i="66" s="1"/>
  <c r="B91" i="66" s="1"/>
  <c r="B92" i="66" s="1"/>
  <c r="B93" i="66" s="1"/>
  <c r="B94" i="66" s="1"/>
  <c r="B95" i="66" s="1"/>
  <c r="B96" i="66" s="1"/>
  <c r="B83" i="66"/>
  <c r="B85" i="66" s="1"/>
  <c r="B80" i="66"/>
  <c r="B81" i="66" s="1"/>
  <c r="B74" i="66"/>
  <c r="B76" i="66" s="1"/>
  <c r="B77" i="66"/>
  <c r="B79" i="66" s="1"/>
  <c r="G27" i="66"/>
  <c r="G11" i="66"/>
  <c r="G12" i="66"/>
  <c r="G13" i="66"/>
  <c r="G14" i="66"/>
  <c r="G15" i="66"/>
  <c r="G16" i="66"/>
  <c r="G17" i="66"/>
  <c r="G18" i="66"/>
  <c r="G19" i="66"/>
  <c r="G20" i="66"/>
  <c r="G21" i="66"/>
  <c r="G22" i="66"/>
  <c r="G23" i="66"/>
  <c r="G24" i="66"/>
  <c r="G25" i="66"/>
  <c r="G26" i="66"/>
  <c r="G28" i="66"/>
  <c r="G29" i="66"/>
  <c r="G10" i="66"/>
  <c r="B71" i="66"/>
  <c r="B70" i="66"/>
  <c r="B68" i="66"/>
  <c r="B69" i="66"/>
  <c r="B67" i="66"/>
  <c r="B65" i="66"/>
  <c r="B64" i="66"/>
  <c r="B63" i="66"/>
  <c r="B62" i="66"/>
  <c r="H27" i="33"/>
  <c r="H16" i="33"/>
  <c r="H13" i="33"/>
  <c r="H8" i="33"/>
  <c r="G27" i="33"/>
  <c r="G16" i="33"/>
  <c r="G13" i="33"/>
  <c r="G8" i="33"/>
  <c r="D27" i="33"/>
  <c r="D16" i="33"/>
  <c r="D13" i="33"/>
  <c r="D8" i="33"/>
  <c r="E45" i="36"/>
  <c r="C5" i="9"/>
  <c r="A54" i="34"/>
  <c r="A53" i="34"/>
  <c r="A52" i="34"/>
  <c r="A51" i="34"/>
  <c r="A44" i="34"/>
  <c r="A43" i="34"/>
  <c r="A42" i="34"/>
  <c r="A41" i="34"/>
  <c r="C51" i="66"/>
  <c r="B51" i="66"/>
  <c r="I14" i="50"/>
  <c r="C14" i="50"/>
  <c r="D14" i="50"/>
  <c r="E14" i="50"/>
  <c r="F14" i="50"/>
  <c r="G14" i="50"/>
  <c r="H14" i="50"/>
  <c r="H17" i="35"/>
  <c r="G17" i="35"/>
  <c r="F17" i="35"/>
  <c r="E17" i="35"/>
  <c r="D17" i="35"/>
  <c r="B11" i="45"/>
  <c r="C110" i="70" s="1"/>
  <c r="D11" i="45"/>
  <c r="C111" i="70" s="1"/>
  <c r="D5" i="35"/>
  <c r="E5" i="35"/>
  <c r="F5" i="35"/>
  <c r="G5" i="35"/>
  <c r="H5" i="35"/>
  <c r="D12" i="35"/>
  <c r="E12" i="35"/>
  <c r="F12" i="35"/>
  <c r="G12" i="35"/>
  <c r="H12" i="35"/>
  <c r="C40" i="34"/>
  <c r="D17" i="39"/>
  <c r="D5" i="39"/>
  <c r="D12" i="39"/>
  <c r="C149" i="70" l="1"/>
  <c r="C148" i="70"/>
  <c r="C42" i="70"/>
  <c r="D42" i="70" s="1"/>
  <c r="B117" i="66"/>
  <c r="B118" i="66" s="1"/>
  <c r="B119" i="66" s="1"/>
  <c r="B120" i="66" s="1"/>
  <c r="B121" i="66" s="1"/>
  <c r="B122" i="66" s="1"/>
  <c r="B123" i="66" s="1"/>
  <c r="B124" i="66" s="1"/>
  <c r="B125" i="66" s="1"/>
  <c r="B126" i="66" s="1"/>
  <c r="B127" i="66" s="1"/>
  <c r="B106" i="66"/>
  <c r="B107" i="66" s="1"/>
  <c r="B108" i="66" s="1"/>
  <c r="B109" i="66" s="1"/>
  <c r="B110" i="66" s="1"/>
  <c r="B111" i="66" s="1"/>
  <c r="B112" i="66" s="1"/>
  <c r="B113" i="66" s="1"/>
  <c r="B114" i="66" s="1"/>
  <c r="B115" i="66" s="1"/>
  <c r="B170" i="66"/>
  <c r="B171" i="66" s="1"/>
  <c r="B172" i="66" s="1"/>
  <c r="B173" i="66" s="1"/>
  <c r="B174" i="66" s="1"/>
  <c r="B175" i="66" s="1"/>
  <c r="B154" i="66"/>
  <c r="B155" i="66" s="1"/>
  <c r="B156" i="66" s="1"/>
  <c r="B157" i="66" s="1"/>
  <c r="B158" i="66" s="1"/>
  <c r="B159" i="66" s="1"/>
  <c r="B160" i="66" s="1"/>
  <c r="B161" i="66" s="1"/>
  <c r="B162" i="66" s="1"/>
  <c r="B163" i="66" s="1"/>
  <c r="B164" i="66" s="1"/>
  <c r="B165" i="66" s="1"/>
  <c r="B166" i="66" s="1"/>
  <c r="B167" i="66" s="1"/>
  <c r="B139" i="66"/>
  <c r="B140" i="66" s="1"/>
  <c r="D23" i="79"/>
  <c r="B84" i="66"/>
  <c r="D25" i="39"/>
  <c r="G25" i="35"/>
  <c r="H25" i="35"/>
  <c r="F8" i="70"/>
  <c r="F25" i="35"/>
  <c r="C92" i="70" s="1"/>
  <c r="D110" i="70"/>
  <c r="E25" i="35"/>
  <c r="D25" i="35"/>
  <c r="D5" i="78"/>
  <c r="F26" i="47"/>
  <c r="D6" i="47"/>
  <c r="D6" i="78" s="1"/>
  <c r="D7" i="78"/>
  <c r="B75" i="66"/>
  <c r="D8" i="70"/>
  <c r="B82" i="66"/>
  <c r="B78" i="66"/>
  <c r="M2" i="77"/>
  <c r="M5" i="77"/>
  <c r="D54" i="37"/>
  <c r="D148" i="70" l="1"/>
  <c r="B176" i="66"/>
  <c r="B177" i="66" s="1"/>
  <c r="B178" i="66" s="1"/>
  <c r="B179" i="66" s="1"/>
  <c r="B180" i="66" s="1"/>
  <c r="B141" i="66"/>
  <c r="B142" i="66" s="1"/>
  <c r="B143" i="66" s="1"/>
  <c r="B144" i="66" s="1"/>
  <c r="B145" i="66" s="1"/>
  <c r="B146" i="66" s="1"/>
  <c r="B147" i="66" s="1"/>
  <c r="B148" i="66" s="1"/>
  <c r="B149" i="66" s="1"/>
  <c r="B150" i="66" s="1"/>
  <c r="B151" i="66" s="1"/>
  <c r="B152" i="66" s="1"/>
  <c r="B57" i="66"/>
  <c r="J17" i="77"/>
  <c r="L17" i="77" s="1"/>
  <c r="A9" i="77"/>
  <c r="B56" i="66"/>
  <c r="D9" i="47"/>
  <c r="D9" i="78" s="1"/>
  <c r="K17" i="77" l="1"/>
  <c r="M17" i="77"/>
  <c r="E17" i="77"/>
  <c r="F17" i="77"/>
  <c r="A17" i="77"/>
  <c r="I17" i="77"/>
  <c r="D17" i="77"/>
  <c r="H17" i="77"/>
  <c r="B17" i="77"/>
  <c r="G17" i="77"/>
  <c r="C17" i="77"/>
  <c r="C7" i="70" l="1"/>
  <c r="D6" i="70" s="1"/>
  <c r="E7" i="70"/>
  <c r="F6" i="70" s="1"/>
  <c r="L4" i="46"/>
  <c r="D2" i="37"/>
  <c r="E2" i="39"/>
  <c r="C2" i="34"/>
  <c r="D2" i="45"/>
  <c r="H2" i="41"/>
  <c r="F2" i="2"/>
  <c r="E2" i="47"/>
  <c r="E56" i="2"/>
  <c r="K2" i="38"/>
  <c r="J2" i="50"/>
  <c r="I2" i="77"/>
  <c r="G43" i="5"/>
  <c r="K2" i="42"/>
  <c r="I2" i="40"/>
  <c r="F2" i="36"/>
  <c r="I42" i="66"/>
  <c r="I2" i="35"/>
  <c r="C2" i="71"/>
  <c r="D2" i="44"/>
  <c r="F2" i="70"/>
  <c r="I2" i="33"/>
  <c r="B47" i="66"/>
  <c r="J2" i="43"/>
  <c r="O2" i="49"/>
  <c r="M2" i="48"/>
  <c r="G2" i="5"/>
  <c r="F22" i="41"/>
  <c r="H26" i="43"/>
  <c r="B66" i="66"/>
  <c r="H24" i="38"/>
  <c r="B9" i="34"/>
  <c r="K17" i="49"/>
  <c r="D26" i="43"/>
  <c r="G20" i="42"/>
  <c r="G24" i="38"/>
  <c r="I26" i="43"/>
  <c r="D42" i="66"/>
  <c r="E9" i="77"/>
  <c r="B17" i="34"/>
  <c r="D24" i="38"/>
  <c r="F24" i="38"/>
  <c r="G22" i="41"/>
  <c r="J24" i="48"/>
  <c r="H24" i="46"/>
  <c r="J20" i="42"/>
  <c r="L17" i="49"/>
  <c r="K20" i="42"/>
  <c r="J24" i="46"/>
  <c r="L24" i="46"/>
  <c r="K24" i="48"/>
  <c r="J24" i="38"/>
  <c r="J17" i="49"/>
  <c r="I20" i="42"/>
  <c r="D22" i="41"/>
  <c r="F20" i="42"/>
  <c r="N17" i="49"/>
  <c r="C22" i="41"/>
  <c r="M17" i="49"/>
  <c r="K24" i="46"/>
  <c r="G24" i="46"/>
  <c r="D20" i="42"/>
  <c r="H22" i="41"/>
  <c r="C26" i="43"/>
  <c r="C25" i="34"/>
  <c r="I24" i="38"/>
  <c r="E26" i="43"/>
  <c r="F17" i="49"/>
  <c r="E22" i="41"/>
  <c r="C31" i="34"/>
  <c r="C115" i="70" l="1"/>
  <c r="G3" i="43"/>
  <c r="C114" i="70" s="1"/>
  <c r="C101" i="70"/>
  <c r="C81" i="70"/>
  <c r="C79" i="70"/>
  <c r="C71" i="70"/>
  <c r="C93" i="70"/>
  <c r="D92" i="70" s="1"/>
  <c r="C94" i="70"/>
  <c r="C95" i="70"/>
  <c r="C97" i="70"/>
  <c r="C99" i="70"/>
  <c r="C100" i="70"/>
  <c r="C103" i="70"/>
  <c r="C107" i="70"/>
  <c r="C117" i="70"/>
  <c r="C119" i="70"/>
  <c r="C24" i="34"/>
  <c r="B8" i="34"/>
  <c r="E2" i="78"/>
  <c r="L18" i="77"/>
  <c r="M18" i="77"/>
  <c r="F4" i="77"/>
  <c r="M3" i="77"/>
  <c r="D100" i="70" l="1"/>
  <c r="D114" i="70"/>
  <c r="D94" i="70"/>
  <c r="J20" i="77"/>
  <c r="J19" i="77"/>
  <c r="M4" i="77"/>
  <c r="E5" i="77" s="1"/>
  <c r="J18" i="77"/>
  <c r="J21" i="77"/>
  <c r="J22" i="77"/>
  <c r="I18" i="77"/>
  <c r="K18" i="77"/>
  <c r="L19" i="77" l="1"/>
  <c r="M19" i="77"/>
  <c r="J23" i="77"/>
  <c r="G18" i="77"/>
  <c r="D18" i="77"/>
  <c r="F19" i="77"/>
  <c r="C18" i="77"/>
  <c r="H18" i="77"/>
  <c r="F18" i="77"/>
  <c r="E18" i="77"/>
  <c r="B18" i="77"/>
  <c r="A18" i="77"/>
  <c r="J24" i="77" l="1"/>
  <c r="B19" i="77"/>
  <c r="E19" i="77"/>
  <c r="A19" i="77"/>
  <c r="G19" i="77"/>
  <c r="H19" i="77"/>
  <c r="I19" i="77"/>
  <c r="C19" i="77"/>
  <c r="D19" i="77"/>
  <c r="K19" i="77"/>
  <c r="M20" i="77" l="1"/>
  <c r="L20" i="77"/>
  <c r="J25" i="77"/>
  <c r="H20" i="77"/>
  <c r="J26" i="77" l="1"/>
  <c r="E20" i="77"/>
  <c r="F20" i="77"/>
  <c r="D20" i="77"/>
  <c r="A20" i="77"/>
  <c r="G20" i="77"/>
  <c r="C20" i="77"/>
  <c r="B20" i="77"/>
  <c r="I20" i="77"/>
  <c r="K20" i="77"/>
  <c r="M21" i="77" l="1"/>
  <c r="L21" i="77"/>
  <c r="J27" i="77"/>
  <c r="A21" i="77"/>
  <c r="K21" i="77"/>
  <c r="M22" i="77" l="1"/>
  <c r="L22" i="77"/>
  <c r="J28" i="77"/>
  <c r="G21" i="77"/>
  <c r="C21" i="77"/>
  <c r="E21" i="77"/>
  <c r="H21" i="77"/>
  <c r="F21" i="77"/>
  <c r="B21" i="77"/>
  <c r="D21" i="77"/>
  <c r="I21" i="77"/>
  <c r="J29" i="77" l="1"/>
  <c r="E22" i="77"/>
  <c r="G22" i="77"/>
  <c r="C22" i="77"/>
  <c r="D22" i="77"/>
  <c r="A22" i="77"/>
  <c r="H22" i="77"/>
  <c r="I22" i="77"/>
  <c r="B22" i="77"/>
  <c r="F22" i="77"/>
  <c r="K22" i="77"/>
  <c r="L23" i="77" l="1"/>
  <c r="M23" i="77"/>
  <c r="J30" i="77"/>
  <c r="J31" i="77" l="1"/>
  <c r="E23" i="77"/>
  <c r="D23" i="77"/>
  <c r="A23" i="77"/>
  <c r="G23" i="77"/>
  <c r="B23" i="77"/>
  <c r="I23" i="77"/>
  <c r="H23" i="77"/>
  <c r="F23" i="77"/>
  <c r="C23" i="77"/>
  <c r="K23" i="77"/>
  <c r="M24" i="77" l="1"/>
  <c r="L24" i="77"/>
  <c r="J32" i="77"/>
  <c r="J33" i="77" l="1"/>
  <c r="D24" i="77"/>
  <c r="I24" i="77"/>
  <c r="E24" i="77"/>
  <c r="F24" i="77"/>
  <c r="G24" i="77"/>
  <c r="B24" i="77"/>
  <c r="C24" i="77"/>
  <c r="A24" i="77"/>
  <c r="H24" i="77"/>
  <c r="K24" i="77"/>
  <c r="M25" i="77" l="1"/>
  <c r="L25" i="77"/>
  <c r="J34" i="77"/>
  <c r="J35" i="77" l="1"/>
  <c r="B25" i="77"/>
  <c r="A25" i="77"/>
  <c r="H25" i="77"/>
  <c r="D25" i="77"/>
  <c r="G25" i="77"/>
  <c r="C25" i="77"/>
  <c r="E25" i="77"/>
  <c r="F25" i="77"/>
  <c r="I25" i="77"/>
  <c r="K25" i="77"/>
  <c r="L26" i="77" l="1"/>
  <c r="M26" i="77"/>
  <c r="J36" i="77"/>
  <c r="B36" i="77" l="1"/>
  <c r="G36" i="77"/>
  <c r="I36" i="77"/>
  <c r="A36" i="77"/>
  <c r="C36" i="77"/>
  <c r="D36" i="77"/>
  <c r="F36" i="77"/>
  <c r="H36" i="77"/>
  <c r="E36" i="77"/>
  <c r="G26" i="77"/>
  <c r="B26" i="77"/>
  <c r="H26" i="77"/>
  <c r="A26" i="77"/>
  <c r="F26" i="77"/>
  <c r="I26" i="77"/>
  <c r="D26" i="77"/>
  <c r="C26" i="77"/>
  <c r="E26" i="77"/>
  <c r="K26" i="77"/>
  <c r="L27" i="77" l="1"/>
  <c r="M27" i="77"/>
  <c r="I27" i="77"/>
  <c r="K27" i="77"/>
  <c r="L28" i="77" l="1"/>
  <c r="M28" i="77"/>
  <c r="D30" i="44"/>
  <c r="C27" i="77"/>
  <c r="D27" i="77"/>
  <c r="F27" i="77"/>
  <c r="H27" i="77"/>
  <c r="G27" i="77"/>
  <c r="E27" i="77"/>
  <c r="A27" i="77"/>
  <c r="B27" i="77"/>
  <c r="G28" i="77"/>
  <c r="K28" i="77"/>
  <c r="M29" i="77" l="1"/>
  <c r="L29" i="77"/>
  <c r="A28" i="77"/>
  <c r="D28" i="77"/>
  <c r="H28" i="77"/>
  <c r="E28" i="77"/>
  <c r="F28" i="77"/>
  <c r="B28" i="77"/>
  <c r="C28" i="77"/>
  <c r="I28" i="77"/>
  <c r="A29" i="77"/>
  <c r="I29" i="77"/>
  <c r="K29" i="77"/>
  <c r="M30" i="77" l="1"/>
  <c r="L30" i="77"/>
  <c r="F29" i="77"/>
  <c r="E30" i="77"/>
  <c r="D30" i="77"/>
  <c r="C30" i="77"/>
  <c r="H29" i="77"/>
  <c r="I30" i="77"/>
  <c r="H30" i="77"/>
  <c r="D29" i="77"/>
  <c r="B29" i="77"/>
  <c r="C29" i="77"/>
  <c r="G29" i="77"/>
  <c r="A30" i="77"/>
  <c r="B30" i="77"/>
  <c r="F30" i="77"/>
  <c r="G30" i="77"/>
  <c r="E29" i="77"/>
  <c r="K30" i="77"/>
  <c r="M31" i="77" l="1"/>
  <c r="L31" i="77"/>
  <c r="K31" i="77"/>
  <c r="M32" i="77" l="1"/>
  <c r="L32" i="77"/>
  <c r="H32" i="77"/>
  <c r="D32" i="77"/>
  <c r="A32" i="77"/>
  <c r="F31" i="77"/>
  <c r="I31" i="77"/>
  <c r="B32" i="77"/>
  <c r="A31" i="77"/>
  <c r="F32" i="77"/>
  <c r="I32" i="77"/>
  <c r="G31" i="77"/>
  <c r="H31" i="77"/>
  <c r="C31" i="77"/>
  <c r="C32" i="77"/>
  <c r="E31" i="77"/>
  <c r="D31" i="77"/>
  <c r="B31" i="77"/>
  <c r="E32" i="77"/>
  <c r="G32" i="77"/>
  <c r="K32" i="77"/>
  <c r="L33" i="77" l="1"/>
  <c r="M33" i="77"/>
  <c r="E51" i="5"/>
  <c r="E20" i="5"/>
  <c r="E14" i="39"/>
  <c r="D39" i="2"/>
  <c r="E33" i="5"/>
  <c r="C38" i="2"/>
  <c r="E6" i="36"/>
  <c r="I12" i="40"/>
  <c r="C64" i="37"/>
  <c r="C10" i="2"/>
  <c r="D32" i="37"/>
  <c r="E9" i="33"/>
  <c r="I8" i="35"/>
  <c r="C14" i="37"/>
  <c r="F23" i="5"/>
  <c r="C11" i="33"/>
  <c r="F46" i="2"/>
  <c r="B33" i="77"/>
  <c r="E28" i="36"/>
  <c r="G30" i="5"/>
  <c r="B18" i="35"/>
  <c r="F28" i="2"/>
  <c r="C15" i="2"/>
  <c r="C24" i="37"/>
  <c r="D12" i="37"/>
  <c r="E11" i="33"/>
  <c r="D70" i="2"/>
  <c r="F41" i="2"/>
  <c r="B23" i="35"/>
  <c r="E39" i="36"/>
  <c r="C65" i="37"/>
  <c r="E85" i="2"/>
  <c r="E7" i="39"/>
  <c r="F28" i="5"/>
  <c r="C61" i="37"/>
  <c r="D44" i="2"/>
  <c r="D89" i="37"/>
  <c r="D91" i="2"/>
  <c r="F22" i="36"/>
  <c r="D39" i="37"/>
  <c r="D78" i="2"/>
  <c r="E19" i="5"/>
  <c r="F21" i="2"/>
  <c r="I7" i="40"/>
  <c r="D92" i="2"/>
  <c r="B5" i="47"/>
  <c r="D60" i="2"/>
  <c r="B16" i="35"/>
  <c r="B7" i="47"/>
  <c r="D7" i="2"/>
  <c r="E11" i="36"/>
  <c r="C57" i="37"/>
  <c r="B21" i="39"/>
  <c r="G33" i="77"/>
  <c r="D50" i="2"/>
  <c r="F26" i="79"/>
  <c r="C25" i="2"/>
  <c r="D24" i="37"/>
  <c r="D26" i="37"/>
  <c r="D17" i="2"/>
  <c r="F33" i="2"/>
  <c r="E30" i="5"/>
  <c r="D86" i="2"/>
  <c r="E14" i="5"/>
  <c r="F40" i="36"/>
  <c r="I23" i="35"/>
  <c r="E13" i="39"/>
  <c r="E21" i="5"/>
  <c r="F36" i="36"/>
  <c r="E89" i="2"/>
  <c r="E7" i="36"/>
  <c r="C42" i="2"/>
  <c r="D93" i="2"/>
  <c r="G18" i="5"/>
  <c r="I21" i="35"/>
  <c r="D27" i="37"/>
  <c r="C66" i="37"/>
  <c r="G21" i="5"/>
  <c r="E24" i="36"/>
  <c r="E10" i="5"/>
  <c r="D25" i="2"/>
  <c r="F30" i="5"/>
  <c r="D70" i="37"/>
  <c r="I9" i="40"/>
  <c r="F17" i="5"/>
  <c r="E8" i="47"/>
  <c r="E59" i="5"/>
  <c r="E28" i="5"/>
  <c r="F42" i="2"/>
  <c r="F11" i="33"/>
  <c r="D57" i="37"/>
  <c r="F13" i="2"/>
  <c r="C44" i="37"/>
  <c r="F15" i="33"/>
  <c r="E12" i="33"/>
  <c r="E75" i="2"/>
  <c r="B22" i="35"/>
  <c r="D75" i="37"/>
  <c r="C39" i="37"/>
  <c r="C26" i="2"/>
  <c r="E97" i="2"/>
  <c r="I18" i="35"/>
  <c r="E53" i="5"/>
  <c r="E78" i="2"/>
  <c r="D20" i="37"/>
  <c r="E6" i="40"/>
  <c r="E7" i="40"/>
  <c r="E93" i="2"/>
  <c r="D15" i="37"/>
  <c r="D6" i="2"/>
  <c r="C26" i="37"/>
  <c r="E23" i="39"/>
  <c r="C69" i="37"/>
  <c r="C13" i="37"/>
  <c r="F10" i="36"/>
  <c r="C41" i="37"/>
  <c r="D46" i="37"/>
  <c r="C19" i="2"/>
  <c r="D36" i="2"/>
  <c r="E16" i="39"/>
  <c r="F9" i="40"/>
  <c r="C12" i="37"/>
  <c r="B13" i="40"/>
  <c r="E13" i="5"/>
  <c r="G19" i="5"/>
  <c r="D34" i="37"/>
  <c r="C11" i="40"/>
  <c r="E15" i="36"/>
  <c r="F17" i="36"/>
  <c r="D47" i="37"/>
  <c r="G23" i="5"/>
  <c r="E19" i="36"/>
  <c r="F28" i="36"/>
  <c r="C50" i="2"/>
  <c r="F51" i="5"/>
  <c r="E32" i="33"/>
  <c r="B11" i="40"/>
  <c r="G8" i="5"/>
  <c r="E81" i="2"/>
  <c r="F6" i="2"/>
  <c r="F20" i="33"/>
  <c r="F59" i="5"/>
  <c r="D35" i="37"/>
  <c r="C7" i="2"/>
  <c r="F8" i="5"/>
  <c r="B19" i="35"/>
  <c r="I14" i="40"/>
  <c r="H6" i="40"/>
  <c r="F5" i="40"/>
  <c r="C18" i="70"/>
  <c r="C19" i="37"/>
  <c r="E92" i="2"/>
  <c r="D26" i="2"/>
  <c r="G34" i="5"/>
  <c r="D49" i="2"/>
  <c r="I22" i="35"/>
  <c r="D98" i="2"/>
  <c r="E7" i="5"/>
  <c r="E6" i="39"/>
  <c r="E10" i="40"/>
  <c r="C12" i="33"/>
  <c r="H5" i="40"/>
  <c r="F40" i="2"/>
  <c r="B8" i="39"/>
  <c r="C12" i="2"/>
  <c r="D11" i="37"/>
  <c r="C81" i="37"/>
  <c r="C75" i="37"/>
  <c r="F57" i="5"/>
  <c r="B21" i="35"/>
  <c r="E30" i="33"/>
  <c r="F35" i="5"/>
  <c r="C18" i="37"/>
  <c r="D21" i="2"/>
  <c r="D25" i="37"/>
  <c r="D79" i="2"/>
  <c r="C39" i="2"/>
  <c r="G13" i="40"/>
  <c r="D38" i="2"/>
  <c r="F10" i="40"/>
  <c r="I5" i="40"/>
  <c r="F11" i="2"/>
  <c r="D20" i="2"/>
  <c r="D9" i="40"/>
  <c r="C34" i="2"/>
  <c r="F33" i="77"/>
  <c r="E99" i="2"/>
  <c r="A33" i="77"/>
  <c r="D97" i="2"/>
  <c r="D82" i="2"/>
  <c r="C21" i="37"/>
  <c r="D41" i="2"/>
  <c r="D59" i="37"/>
  <c r="F7" i="2"/>
  <c r="B7" i="39"/>
  <c r="F27" i="79"/>
  <c r="E13" i="40"/>
  <c r="G9" i="40"/>
  <c r="D65" i="37"/>
  <c r="I10" i="40"/>
  <c r="E35" i="5"/>
  <c r="C22" i="33"/>
  <c r="C25" i="37"/>
  <c r="B12" i="33"/>
  <c r="E12" i="5"/>
  <c r="C34" i="37"/>
  <c r="E7" i="47"/>
  <c r="E41" i="36"/>
  <c r="E40" i="36"/>
  <c r="E23" i="36"/>
  <c r="C15" i="33"/>
  <c r="G52" i="5"/>
  <c r="D18" i="37"/>
  <c r="D79" i="37"/>
  <c r="B14" i="40"/>
  <c r="D16" i="2"/>
  <c r="E36" i="5"/>
  <c r="D37" i="37"/>
  <c r="F18" i="5"/>
  <c r="F52" i="5"/>
  <c r="D31" i="37"/>
  <c r="D85" i="2"/>
  <c r="E66" i="2"/>
  <c r="D8" i="2"/>
  <c r="C89" i="37"/>
  <c r="B16" i="39"/>
  <c r="E65" i="2"/>
  <c r="C15" i="37"/>
  <c r="C67" i="37"/>
  <c r="D5" i="40"/>
  <c r="E61" i="2"/>
  <c r="C20" i="2"/>
  <c r="C5" i="37"/>
  <c r="G13" i="5"/>
  <c r="C71" i="37"/>
  <c r="D64" i="2"/>
  <c r="G28" i="5"/>
  <c r="C17" i="33"/>
  <c r="B19" i="39"/>
  <c r="F26" i="33"/>
  <c r="G53" i="5"/>
  <c r="B31" i="33"/>
  <c r="C20" i="37"/>
  <c r="C50" i="37"/>
  <c r="D42" i="37"/>
  <c r="D87" i="37"/>
  <c r="B21" i="33"/>
  <c r="E5" i="40"/>
  <c r="D81" i="37"/>
  <c r="F26" i="2"/>
  <c r="D10" i="37"/>
  <c r="D14" i="40"/>
  <c r="G59" i="5"/>
  <c r="C18" i="2"/>
  <c r="E29" i="5"/>
  <c r="C45" i="2"/>
  <c r="G12" i="5"/>
  <c r="B23" i="39"/>
  <c r="D43" i="2"/>
  <c r="F39" i="36"/>
  <c r="C72" i="37"/>
  <c r="E71" i="2"/>
  <c r="B9" i="33"/>
  <c r="F13" i="5"/>
  <c r="F30" i="33"/>
  <c r="C70" i="37"/>
  <c r="B15" i="33"/>
  <c r="C6" i="2"/>
  <c r="E8" i="5"/>
  <c r="F19" i="5"/>
  <c r="C46" i="2"/>
  <c r="E43" i="36"/>
  <c r="C17" i="2"/>
  <c r="E22" i="39"/>
  <c r="B13" i="39"/>
  <c r="F27" i="5"/>
  <c r="B7" i="40"/>
  <c r="C86" i="37"/>
  <c r="C10" i="40"/>
  <c r="D7" i="40"/>
  <c r="C32" i="33"/>
  <c r="F12" i="36"/>
  <c r="F15" i="2"/>
  <c r="B20" i="33"/>
  <c r="I11" i="40"/>
  <c r="F17" i="33"/>
  <c r="I15" i="35"/>
  <c r="E21" i="39"/>
  <c r="F51" i="2"/>
  <c r="E26" i="36"/>
  <c r="B5" i="40"/>
  <c r="E34" i="5"/>
  <c r="G36" i="5"/>
  <c r="E8" i="39"/>
  <c r="D8" i="37"/>
  <c r="C36" i="37"/>
  <c r="D13" i="2"/>
  <c r="G49" i="5"/>
  <c r="B15" i="39"/>
  <c r="D7" i="37"/>
  <c r="H9" i="40"/>
  <c r="C49" i="2"/>
  <c r="F32" i="33"/>
  <c r="D33" i="77"/>
  <c r="B13" i="35"/>
  <c r="D90" i="2"/>
  <c r="E31" i="33"/>
  <c r="G14" i="40"/>
  <c r="D71" i="37"/>
  <c r="D24" i="2"/>
  <c r="D40" i="2"/>
  <c r="B18" i="39"/>
  <c r="C31" i="37"/>
  <c r="C35" i="37"/>
  <c r="F29" i="5"/>
  <c r="G51" i="5"/>
  <c r="C76" i="37"/>
  <c r="D61" i="37"/>
  <c r="F39" i="2"/>
  <c r="C13" i="40"/>
  <c r="C13" i="2"/>
  <c r="C43" i="2"/>
  <c r="C51" i="2"/>
  <c r="C41" i="2"/>
  <c r="C82" i="37"/>
  <c r="F37" i="36"/>
  <c r="D82" i="37"/>
  <c r="B6" i="35"/>
  <c r="D99" i="2"/>
  <c r="D72" i="37"/>
  <c r="D35" i="2"/>
  <c r="C73" i="37"/>
  <c r="C9" i="33"/>
  <c r="B8" i="35"/>
  <c r="C5" i="40"/>
  <c r="D15" i="2"/>
  <c r="B10" i="40"/>
  <c r="D73" i="37"/>
  <c r="E21" i="33"/>
  <c r="D45" i="2"/>
  <c r="D22" i="37"/>
  <c r="I14" i="35"/>
  <c r="E60" i="2"/>
  <c r="C63" i="37"/>
  <c r="D44" i="37"/>
  <c r="F20" i="5"/>
  <c r="F50" i="5"/>
  <c r="F29" i="2"/>
  <c r="F34" i="5"/>
  <c r="F22" i="33"/>
  <c r="B6" i="39"/>
  <c r="E22" i="36"/>
  <c r="E11" i="5"/>
  <c r="F20" i="2"/>
  <c r="G35" i="5"/>
  <c r="F7" i="40"/>
  <c r="D63" i="37"/>
  <c r="H10" i="40"/>
  <c r="E90" i="2"/>
  <c r="D62" i="2"/>
  <c r="C30" i="33"/>
  <c r="F10" i="2"/>
  <c r="F34" i="2"/>
  <c r="E6" i="47"/>
  <c r="G5" i="40"/>
  <c r="E87" i="2"/>
  <c r="G7" i="5"/>
  <c r="G22" i="5"/>
  <c r="F49" i="5"/>
  <c r="I19" i="35"/>
  <c r="D13" i="37"/>
  <c r="D5" i="37"/>
  <c r="E29" i="36"/>
  <c r="C79" i="37"/>
  <c r="I6" i="35"/>
  <c r="E82" i="2"/>
  <c r="G12" i="40"/>
  <c r="D50" i="37"/>
  <c r="D78" i="37"/>
  <c r="B20" i="35"/>
  <c r="D33" i="2"/>
  <c r="D94" i="2"/>
  <c r="F18" i="36"/>
  <c r="F33" i="5"/>
  <c r="E50" i="5"/>
  <c r="F21" i="36"/>
  <c r="E12" i="36"/>
  <c r="G27" i="5"/>
  <c r="D14" i="37"/>
  <c r="E57" i="5"/>
  <c r="C11" i="37"/>
  <c r="D32" i="2"/>
  <c r="G50" i="5"/>
  <c r="C7" i="37"/>
  <c r="F24" i="2"/>
  <c r="B17" i="33"/>
  <c r="E58" i="5"/>
  <c r="E22" i="33"/>
  <c r="F58" i="5"/>
  <c r="F42" i="36"/>
  <c r="D64" i="37"/>
  <c r="E14" i="36"/>
  <c r="E91" i="2"/>
  <c r="C33" i="2"/>
  <c r="C62" i="37"/>
  <c r="C49" i="37"/>
  <c r="E15" i="39"/>
  <c r="E26" i="33"/>
  <c r="F15" i="36"/>
  <c r="D10" i="2"/>
  <c r="F29" i="36"/>
  <c r="F21" i="5"/>
  <c r="G57" i="5"/>
  <c r="D19" i="2"/>
  <c r="C23" i="2"/>
  <c r="F36" i="2"/>
  <c r="C58" i="37"/>
  <c r="E17" i="33"/>
  <c r="F25" i="79"/>
  <c r="F8" i="2"/>
  <c r="I16" i="35"/>
  <c r="B23" i="33"/>
  <c r="B24" i="39"/>
  <c r="F7" i="5"/>
  <c r="C9" i="40"/>
  <c r="B14" i="39"/>
  <c r="F13" i="40"/>
  <c r="E94" i="2"/>
  <c r="C26" i="33"/>
  <c r="D34" i="2"/>
  <c r="C84" i="37"/>
  <c r="I20" i="35"/>
  <c r="C35" i="2"/>
  <c r="D71" i="2"/>
  <c r="C85" i="37"/>
  <c r="F10" i="5"/>
  <c r="C37" i="37"/>
  <c r="D52" i="37"/>
  <c r="B20" i="39"/>
  <c r="E11" i="40"/>
  <c r="F16" i="2"/>
  <c r="B22" i="33"/>
  <c r="E42" i="36"/>
  <c r="F12" i="2"/>
  <c r="F43" i="36"/>
  <c r="F50" i="2"/>
  <c r="D67" i="37"/>
  <c r="D13" i="40"/>
  <c r="E86" i="2"/>
  <c r="C29" i="2"/>
  <c r="D21" i="37"/>
  <c r="F14" i="5"/>
  <c r="E74" i="2"/>
  <c r="D66" i="37"/>
  <c r="C16" i="2"/>
  <c r="B7" i="35"/>
  <c r="D84" i="37"/>
  <c r="D67" i="2"/>
  <c r="E62" i="2"/>
  <c r="C11" i="2"/>
  <c r="B8" i="47"/>
  <c r="B22" i="39"/>
  <c r="C10" i="37"/>
  <c r="C59" i="37"/>
  <c r="E79" i="2"/>
  <c r="F63" i="5"/>
  <c r="E24" i="39"/>
  <c r="F7" i="36"/>
  <c r="B6" i="47"/>
  <c r="B24" i="35"/>
  <c r="F38" i="2"/>
  <c r="G20" i="5"/>
  <c r="D86" i="37"/>
  <c r="D51" i="2"/>
  <c r="C23" i="37"/>
  <c r="D36" i="37"/>
  <c r="E23" i="5"/>
  <c r="H13" i="40"/>
  <c r="C31" i="33"/>
  <c r="G14" i="5"/>
  <c r="D66" i="2"/>
  <c r="C23" i="33"/>
  <c r="C28" i="2"/>
  <c r="F43" i="2"/>
  <c r="F49" i="2"/>
  <c r="E21" i="36"/>
  <c r="G56" i="5"/>
  <c r="C42" i="37"/>
  <c r="C48" i="37"/>
  <c r="G58" i="5"/>
  <c r="D76" i="37"/>
  <c r="D62" i="37"/>
  <c r="D69" i="37"/>
  <c r="D23" i="37"/>
  <c r="B6" i="40"/>
  <c r="D26" i="79"/>
  <c r="E63" i="2"/>
  <c r="E18" i="5"/>
  <c r="C27" i="37"/>
  <c r="D81" i="2"/>
  <c r="D18" i="2"/>
  <c r="E23" i="33"/>
  <c r="D12" i="40"/>
  <c r="I3" i="46"/>
  <c r="H7" i="40"/>
  <c r="F11" i="40"/>
  <c r="D89" i="2"/>
  <c r="E20" i="39"/>
  <c r="E17" i="5"/>
  <c r="D30" i="37"/>
  <c r="I24" i="35"/>
  <c r="E56" i="5"/>
  <c r="F23" i="36"/>
  <c r="D27" i="79"/>
  <c r="F23" i="33"/>
  <c r="C32" i="37"/>
  <c r="D29" i="37"/>
  <c r="C7" i="40"/>
  <c r="F44" i="2"/>
  <c r="E70" i="2"/>
  <c r="E18" i="39"/>
  <c r="D74" i="2"/>
  <c r="F18" i="2"/>
  <c r="F35" i="2"/>
  <c r="F12" i="5"/>
  <c r="D63" i="2"/>
  <c r="F26" i="36"/>
  <c r="F36" i="5"/>
  <c r="C20" i="33"/>
  <c r="E88" i="2"/>
  <c r="F19" i="2"/>
  <c r="D23" i="2"/>
  <c r="F53" i="5"/>
  <c r="B32" i="33"/>
  <c r="F25" i="2"/>
  <c r="F19" i="36"/>
  <c r="F41" i="36"/>
  <c r="E98" i="2"/>
  <c r="D87" i="2"/>
  <c r="F21" i="33"/>
  <c r="E15" i="33"/>
  <c r="D19" i="37"/>
  <c r="F32" i="2"/>
  <c r="D88" i="2"/>
  <c r="F23" i="2"/>
  <c r="E17" i="36"/>
  <c r="D75" i="2"/>
  <c r="E27" i="5"/>
  <c r="B15" i="35"/>
  <c r="C32" i="2"/>
  <c r="F17" i="2"/>
  <c r="E22" i="5"/>
  <c r="F22" i="5"/>
  <c r="I7" i="35"/>
  <c r="E5" i="47"/>
  <c r="E38" i="36"/>
  <c r="C36" i="2"/>
  <c r="E67" i="2"/>
  <c r="G11" i="5"/>
  <c r="E10" i="36"/>
  <c r="D61" i="2"/>
  <c r="B26" i="33"/>
  <c r="C52" i="37"/>
  <c r="D41" i="37"/>
  <c r="H33" i="77"/>
  <c r="C8" i="37"/>
  <c r="B30" i="33"/>
  <c r="C46" i="37"/>
  <c r="H11" i="40"/>
  <c r="F11" i="36"/>
  <c r="F14" i="36"/>
  <c r="E33" i="77"/>
  <c r="C87" i="37"/>
  <c r="F11" i="5"/>
  <c r="D42" i="2"/>
  <c r="E20" i="33"/>
  <c r="F56" i="5"/>
  <c r="C9" i="37"/>
  <c r="E18" i="70"/>
  <c r="D85" i="37"/>
  <c r="G63" i="5"/>
  <c r="C33" i="77"/>
  <c r="E19" i="39"/>
  <c r="E64" i="2"/>
  <c r="G17" i="5"/>
  <c r="F12" i="33"/>
  <c r="G7" i="40"/>
  <c r="C8" i="2"/>
  <c r="D11" i="2"/>
  <c r="B11" i="33"/>
  <c r="E37" i="36"/>
  <c r="E18" i="36"/>
  <c r="B14" i="35"/>
  <c r="D12" i="2"/>
  <c r="G10" i="5"/>
  <c r="C21" i="33"/>
  <c r="E9" i="40"/>
  <c r="D25" i="79"/>
  <c r="C44" i="2"/>
  <c r="C29" i="37"/>
  <c r="C24" i="2"/>
  <c r="F31" i="33"/>
  <c r="D9" i="37"/>
  <c r="D65" i="2"/>
  <c r="E36" i="36"/>
  <c r="E49" i="5"/>
  <c r="F9" i="33"/>
  <c r="I13" i="35"/>
  <c r="D48" i="37"/>
  <c r="F24" i="36"/>
  <c r="F45" i="2"/>
  <c r="F38" i="36"/>
  <c r="F6" i="36"/>
  <c r="D49" i="37"/>
  <c r="C47" i="37"/>
  <c r="B12" i="40"/>
  <c r="C22" i="37"/>
  <c r="I33" i="77"/>
  <c r="C21" i="2"/>
  <c r="D58" i="37"/>
  <c r="B9" i="40"/>
  <c r="I13" i="40"/>
  <c r="E52" i="5"/>
  <c r="C40" i="2"/>
  <c r="G29" i="5"/>
  <c r="C78" i="37"/>
  <c r="C30" i="37"/>
  <c r="I6" i="40"/>
  <c r="G33" i="5"/>
  <c r="K33" i="77"/>
  <c r="L34" i="77" l="1"/>
  <c r="M34" i="77"/>
  <c r="F18" i="70"/>
  <c r="G26" i="33"/>
  <c r="G28" i="33" s="1"/>
  <c r="E28" i="33"/>
  <c r="E25" i="2"/>
  <c r="C102" i="70" s="1"/>
  <c r="D102" i="70" s="1"/>
  <c r="E56" i="70"/>
  <c r="E62" i="70"/>
  <c r="D28" i="37"/>
  <c r="E49" i="70"/>
  <c r="F24" i="33"/>
  <c r="D68" i="37"/>
  <c r="E61" i="70"/>
  <c r="G37" i="5"/>
  <c r="G32" i="5"/>
  <c r="E100" i="2"/>
  <c r="E96" i="2"/>
  <c r="B12" i="39"/>
  <c r="B5" i="39"/>
  <c r="F37" i="2"/>
  <c r="C24" i="39"/>
  <c r="D48" i="2"/>
  <c r="D22" i="33"/>
  <c r="H22" i="33"/>
  <c r="C19" i="35"/>
  <c r="H20" i="33"/>
  <c r="B24" i="33"/>
  <c r="D20" i="33"/>
  <c r="E7" i="2"/>
  <c r="C33" i="33"/>
  <c r="C23" i="35"/>
  <c r="D84" i="2"/>
  <c r="D95" i="2" s="1"/>
  <c r="E17" i="2"/>
  <c r="E5" i="78"/>
  <c r="C5" i="47"/>
  <c r="E9" i="47"/>
  <c r="E9" i="78" s="1"/>
  <c r="C64" i="70"/>
  <c r="D13" i="5"/>
  <c r="E19" i="2"/>
  <c r="D18" i="5"/>
  <c r="E9" i="36"/>
  <c r="C126" i="70"/>
  <c r="E35" i="2"/>
  <c r="E9" i="5"/>
  <c r="C8" i="39"/>
  <c r="G15" i="40"/>
  <c r="C51" i="37"/>
  <c r="C57" i="70"/>
  <c r="E42" i="2"/>
  <c r="F9" i="5"/>
  <c r="C58" i="70"/>
  <c r="D7" i="5"/>
  <c r="D11" i="5"/>
  <c r="D8" i="40"/>
  <c r="D80" i="37"/>
  <c r="E67" i="70"/>
  <c r="G9" i="5"/>
  <c r="E58" i="70"/>
  <c r="G9" i="33"/>
  <c r="E18" i="33"/>
  <c r="F33" i="33"/>
  <c r="F9" i="36"/>
  <c r="F8" i="36"/>
  <c r="E80" i="2"/>
  <c r="D60" i="37"/>
  <c r="E59" i="70"/>
  <c r="E69" i="2"/>
  <c r="F5" i="2"/>
  <c r="G31" i="5"/>
  <c r="G26" i="5"/>
  <c r="G55" i="5"/>
  <c r="G60" i="5"/>
  <c r="E33" i="2"/>
  <c r="H9" i="33"/>
  <c r="D9" i="33"/>
  <c r="B18" i="33"/>
  <c r="C53" i="70"/>
  <c r="C38" i="37"/>
  <c r="C59" i="70"/>
  <c r="C60" i="37"/>
  <c r="C22" i="39"/>
  <c r="E26" i="5"/>
  <c r="E31" i="5"/>
  <c r="C20" i="39"/>
  <c r="D14" i="2"/>
  <c r="C76" i="70" s="1"/>
  <c r="C22" i="35"/>
  <c r="F48" i="5"/>
  <c r="F54" i="5"/>
  <c r="C98" i="70"/>
  <c r="D98" i="70" s="1"/>
  <c r="D49" i="5"/>
  <c r="D57" i="5"/>
  <c r="E18" i="2"/>
  <c r="E8" i="40"/>
  <c r="E29" i="2"/>
  <c r="C132" i="70"/>
  <c r="E50" i="2"/>
  <c r="C120" i="70"/>
  <c r="E32" i="2"/>
  <c r="C31" i="2"/>
  <c r="E15" i="40"/>
  <c r="E41" i="2"/>
  <c r="E104" i="70"/>
  <c r="B6" i="78"/>
  <c r="E77" i="2"/>
  <c r="B17" i="39"/>
  <c r="G54" i="5"/>
  <c r="G48" i="5"/>
  <c r="E33" i="33"/>
  <c r="G30" i="33"/>
  <c r="E13" i="2"/>
  <c r="C6" i="37"/>
  <c r="C45" i="70"/>
  <c r="C74" i="37"/>
  <c r="F32" i="5"/>
  <c r="F37" i="5"/>
  <c r="D33" i="5"/>
  <c r="E16" i="2"/>
  <c r="E10" i="2"/>
  <c r="C9" i="2"/>
  <c r="C30" i="70" s="1"/>
  <c r="D77" i="2"/>
  <c r="D22" i="2"/>
  <c r="H26" i="33"/>
  <c r="H28" i="33" s="1"/>
  <c r="D26" i="33"/>
  <c r="D28" i="33" s="1"/>
  <c r="B28" i="33"/>
  <c r="C60" i="70"/>
  <c r="D8" i="5"/>
  <c r="D52" i="5"/>
  <c r="C14" i="2"/>
  <c r="C32" i="70" s="1"/>
  <c r="E15" i="2"/>
  <c r="C13" i="39"/>
  <c r="E12" i="39"/>
  <c r="C75" i="70" s="1"/>
  <c r="E55" i="5"/>
  <c r="E60" i="5"/>
  <c r="D9" i="2"/>
  <c r="C74" i="70" s="1"/>
  <c r="E7" i="78"/>
  <c r="C7" i="47"/>
  <c r="C105" i="70"/>
  <c r="C39" i="70"/>
  <c r="C70" i="70"/>
  <c r="D70" i="70" s="1"/>
  <c r="E39" i="70"/>
  <c r="G12" i="33"/>
  <c r="E16" i="70"/>
  <c r="E68" i="70"/>
  <c r="E52" i="70"/>
  <c r="F18" i="33"/>
  <c r="F14" i="2"/>
  <c r="E53" i="70"/>
  <c r="D38" i="37"/>
  <c r="F22" i="2"/>
  <c r="F13" i="36"/>
  <c r="B8" i="40"/>
  <c r="G21" i="33"/>
  <c r="E105" i="70"/>
  <c r="B7" i="78"/>
  <c r="B8" i="78"/>
  <c r="E39" i="2"/>
  <c r="C20" i="35"/>
  <c r="C14" i="39"/>
  <c r="D50" i="5"/>
  <c r="E8" i="36"/>
  <c r="C104" i="70"/>
  <c r="E6" i="78"/>
  <c r="E36" i="2"/>
  <c r="H17" i="33"/>
  <c r="D17" i="33"/>
  <c r="D58" i="5"/>
  <c r="C56" i="70"/>
  <c r="C49" i="70"/>
  <c r="C28" i="37"/>
  <c r="E54" i="5"/>
  <c r="E48" i="5"/>
  <c r="H8" i="40"/>
  <c r="C118" i="70"/>
  <c r="D118" i="70" s="1"/>
  <c r="D73" i="2"/>
  <c r="C87" i="70"/>
  <c r="C21" i="35"/>
  <c r="C85" i="70"/>
  <c r="C51" i="70"/>
  <c r="C33" i="37"/>
  <c r="E26" i="2"/>
  <c r="E40" i="2"/>
  <c r="D15" i="33"/>
  <c r="H15" i="33"/>
  <c r="C24" i="70"/>
  <c r="D59" i="5"/>
  <c r="E8" i="78"/>
  <c r="C8" i="47"/>
  <c r="C8" i="78" s="1"/>
  <c r="E21" i="2"/>
  <c r="C7" i="35"/>
  <c r="G8" i="40"/>
  <c r="D17" i="37"/>
  <c r="E47" i="70" s="1"/>
  <c r="E66" i="70"/>
  <c r="G16" i="5"/>
  <c r="G24" i="5"/>
  <c r="E44" i="70"/>
  <c r="D43" i="37"/>
  <c r="E55" i="70"/>
  <c r="B5" i="78"/>
  <c r="B9" i="47"/>
  <c r="B9" i="78" s="1"/>
  <c r="E12" i="70"/>
  <c r="E13" i="70" s="1"/>
  <c r="F12" i="70" s="1"/>
  <c r="G23" i="33"/>
  <c r="E12" i="2"/>
  <c r="C21" i="39"/>
  <c r="E24" i="2"/>
  <c r="C15" i="35"/>
  <c r="C106" i="70"/>
  <c r="D106" i="70" s="1"/>
  <c r="C109" i="70"/>
  <c r="F8" i="40"/>
  <c r="E23" i="2"/>
  <c r="C22" i="2"/>
  <c r="C18" i="39"/>
  <c r="E17" i="39"/>
  <c r="H21" i="33"/>
  <c r="D21" i="33"/>
  <c r="D34" i="5"/>
  <c r="E38" i="2"/>
  <c r="C37" i="2"/>
  <c r="E51" i="2"/>
  <c r="C12" i="70" s="1"/>
  <c r="C13" i="70" s="1"/>
  <c r="D12" i="70" s="1"/>
  <c r="H11" i="33"/>
  <c r="D11" i="33"/>
  <c r="C50" i="70"/>
  <c r="D21" i="5"/>
  <c r="E45" i="2"/>
  <c r="C24" i="33"/>
  <c r="C89" i="70"/>
  <c r="C27" i="2"/>
  <c r="E28" i="2"/>
  <c r="H31" i="33"/>
  <c r="D31" i="33"/>
  <c r="D51" i="5"/>
  <c r="D18" i="70"/>
  <c r="D12" i="5"/>
  <c r="B15" i="40"/>
  <c r="G11" i="33"/>
  <c r="F9" i="2"/>
  <c r="F27" i="2"/>
  <c r="D33" i="37"/>
  <c r="E51" i="70"/>
  <c r="E20" i="2"/>
  <c r="G17" i="33"/>
  <c r="D88" i="37"/>
  <c r="E69" i="70"/>
  <c r="E64" i="70"/>
  <c r="B12" i="35"/>
  <c r="D74" i="37"/>
  <c r="E63" i="70" s="1"/>
  <c r="E128" i="70"/>
  <c r="F31" i="2"/>
  <c r="F24" i="79"/>
  <c r="D51" i="37"/>
  <c r="E57" i="70"/>
  <c r="B5" i="35"/>
  <c r="G31" i="33"/>
  <c r="C68" i="37"/>
  <c r="C61" i="70"/>
  <c r="D20" i="5"/>
  <c r="I8" i="40"/>
  <c r="C86" i="70"/>
  <c r="C18" i="33"/>
  <c r="E13" i="36"/>
  <c r="D22" i="5"/>
  <c r="C52" i="70"/>
  <c r="E37" i="5"/>
  <c r="E32" i="5"/>
  <c r="C24" i="35"/>
  <c r="D53" i="5"/>
  <c r="C8" i="40"/>
  <c r="D28" i="5"/>
  <c r="C16" i="39"/>
  <c r="D30" i="5"/>
  <c r="D69" i="2"/>
  <c r="C16" i="35"/>
  <c r="C7" i="39"/>
  <c r="C62" i="70"/>
  <c r="D10" i="5"/>
  <c r="C6" i="35"/>
  <c r="I5" i="35"/>
  <c r="C29" i="70" s="1"/>
  <c r="E44" i="2"/>
  <c r="C6" i="39"/>
  <c r="E5" i="39"/>
  <c r="C73" i="70" s="1"/>
  <c r="F31" i="5"/>
  <c r="F26" i="5"/>
  <c r="D27" i="5"/>
  <c r="C8" i="35"/>
  <c r="D15" i="40"/>
  <c r="D37" i="2"/>
  <c r="C84" i="70" s="1"/>
  <c r="D14" i="5"/>
  <c r="C66" i="70"/>
  <c r="C28" i="33"/>
  <c r="C48" i="70"/>
  <c r="D19" i="5"/>
  <c r="F60" i="5"/>
  <c r="C96" i="70"/>
  <c r="D96" i="70" s="1"/>
  <c r="F55" i="5"/>
  <c r="D56" i="5"/>
  <c r="F28" i="33"/>
  <c r="G22" i="33"/>
  <c r="B17" i="35"/>
  <c r="E50" i="70"/>
  <c r="F48" i="2"/>
  <c r="F52" i="2" s="1"/>
  <c r="G20" i="33"/>
  <c r="E24" i="33"/>
  <c r="E73" i="2"/>
  <c r="E84" i="2"/>
  <c r="E95" i="2" s="1"/>
  <c r="E60" i="70"/>
  <c r="E37" i="70"/>
  <c r="D6" i="37"/>
  <c r="E45" i="70"/>
  <c r="E54" i="70"/>
  <c r="E65" i="70"/>
  <c r="D77" i="37"/>
  <c r="C20" i="70"/>
  <c r="D23" i="5"/>
  <c r="C122" i="70"/>
  <c r="E34" i="2"/>
  <c r="C23" i="39"/>
  <c r="H12" i="33"/>
  <c r="D12" i="33"/>
  <c r="D100" i="2"/>
  <c r="D96" i="2"/>
  <c r="C19" i="39"/>
  <c r="C65" i="70"/>
  <c r="C77" i="37"/>
  <c r="D36" i="5"/>
  <c r="C22" i="70"/>
  <c r="D24" i="79"/>
  <c r="D30" i="33"/>
  <c r="B33" i="33"/>
  <c r="H30" i="33"/>
  <c r="D29" i="5"/>
  <c r="C68" i="70"/>
  <c r="D35" i="5"/>
  <c r="C54" i="70"/>
  <c r="C15" i="40"/>
  <c r="E46" i="2"/>
  <c r="C48" i="2"/>
  <c r="C52" i="2" s="1"/>
  <c r="E49" i="2"/>
  <c r="C14" i="35"/>
  <c r="E16" i="5"/>
  <c r="E24" i="5"/>
  <c r="C124" i="70"/>
  <c r="D31" i="2"/>
  <c r="C82" i="70" s="1"/>
  <c r="E48" i="70"/>
  <c r="E130" i="70"/>
  <c r="G32" i="33"/>
  <c r="G15" i="33"/>
  <c r="E43" i="2"/>
  <c r="H15" i="40"/>
  <c r="C16" i="70"/>
  <c r="C15" i="39"/>
  <c r="I12" i="35"/>
  <c r="C31" i="70" s="1"/>
  <c r="C13" i="35"/>
  <c r="H23" i="33"/>
  <c r="D23" i="33"/>
  <c r="C80" i="37"/>
  <c r="C90" i="70" s="1"/>
  <c r="C67" i="70"/>
  <c r="C55" i="70"/>
  <c r="C43" i="37"/>
  <c r="C17" i="37"/>
  <c r="C47" i="70" s="1"/>
  <c r="D80" i="2"/>
  <c r="I17" i="35"/>
  <c r="C18" i="35"/>
  <c r="C88" i="37"/>
  <c r="C69" i="70"/>
  <c r="C83" i="70"/>
  <c r="I15" i="40"/>
  <c r="E8" i="2"/>
  <c r="C5" i="2"/>
  <c r="C28" i="70" s="1"/>
  <c r="E6" i="2"/>
  <c r="F16" i="5"/>
  <c r="F24" i="5"/>
  <c r="D17" i="5"/>
  <c r="C44" i="70"/>
  <c r="C37" i="70"/>
  <c r="F15" i="40"/>
  <c r="E11" i="2"/>
  <c r="H32" i="33"/>
  <c r="D32" i="33"/>
  <c r="D5" i="2"/>
  <c r="C72" i="70" s="1"/>
  <c r="D59" i="2"/>
  <c r="E46" i="70"/>
  <c r="C46" i="70"/>
  <c r="E59" i="2"/>
  <c r="F44" i="70" l="1"/>
  <c r="F58" i="70"/>
  <c r="E48" i="2"/>
  <c r="E52" i="2" s="1"/>
  <c r="C144" i="70" s="1"/>
  <c r="G16" i="40"/>
  <c r="E5" i="2"/>
  <c r="D30" i="70"/>
  <c r="F56" i="70"/>
  <c r="D82" i="70"/>
  <c r="F68" i="70"/>
  <c r="D64" i="70"/>
  <c r="C47" i="2"/>
  <c r="F104" i="70"/>
  <c r="B25" i="39"/>
  <c r="E27" i="2"/>
  <c r="G61" i="5"/>
  <c r="E38" i="70" s="1"/>
  <c r="F38" i="70" s="1"/>
  <c r="C5" i="39"/>
  <c r="G38" i="5"/>
  <c r="E36" i="70" s="1"/>
  <c r="F36" i="70" s="1"/>
  <c r="G24" i="33"/>
  <c r="D66" i="70"/>
  <c r="E144" i="70"/>
  <c r="C5" i="35"/>
  <c r="C43" i="79" s="1"/>
  <c r="F52" i="70"/>
  <c r="D74" i="70"/>
  <c r="C17" i="35"/>
  <c r="C38" i="79" s="1"/>
  <c r="C130" i="70"/>
  <c r="C16" i="40"/>
  <c r="F38" i="5"/>
  <c r="C36" i="70" s="1"/>
  <c r="D36" i="70" s="1"/>
  <c r="G68" i="5"/>
  <c r="D58" i="70"/>
  <c r="D60" i="70"/>
  <c r="D52" i="70"/>
  <c r="F30" i="2"/>
  <c r="D9" i="79" s="1"/>
  <c r="E141" i="70" s="1"/>
  <c r="H16" i="40"/>
  <c r="F68" i="5"/>
  <c r="D58" i="2"/>
  <c r="D68" i="2"/>
  <c r="D83" i="2" s="1"/>
  <c r="D101" i="2" s="1"/>
  <c r="C11" i="70" s="1"/>
  <c r="C108" i="70"/>
  <c r="D108" i="70" s="1"/>
  <c r="E68" i="2"/>
  <c r="E83" i="2" s="1"/>
  <c r="E58" i="2"/>
  <c r="D28" i="70"/>
  <c r="F62" i="70"/>
  <c r="F54" i="70"/>
  <c r="G33" i="33"/>
  <c r="E16" i="40"/>
  <c r="C25" i="70" s="1"/>
  <c r="D24" i="70" s="1"/>
  <c r="F16" i="36"/>
  <c r="F20" i="36" s="1"/>
  <c r="F25" i="36" s="1"/>
  <c r="F66" i="70"/>
  <c r="D56" i="70"/>
  <c r="D31" i="5"/>
  <c r="D26" i="5"/>
  <c r="C125" i="70"/>
  <c r="D124" i="70" s="1"/>
  <c r="C34" i="33"/>
  <c r="C17" i="39"/>
  <c r="C121" i="70"/>
  <c r="D120" i="70" s="1"/>
  <c r="B34" i="33"/>
  <c r="D16" i="40"/>
  <c r="C23" i="70" s="1"/>
  <c r="D22" i="70" s="1"/>
  <c r="I25" i="35"/>
  <c r="C116" i="70" s="1"/>
  <c r="D116" i="70" s="1"/>
  <c r="C33" i="70"/>
  <c r="D32" i="70" s="1"/>
  <c r="B25" i="35"/>
  <c r="D47" i="2"/>
  <c r="C30" i="2"/>
  <c r="D50" i="70"/>
  <c r="C12" i="39"/>
  <c r="E31" i="2"/>
  <c r="C128" i="70"/>
  <c r="D48" i="5"/>
  <c r="D54" i="5"/>
  <c r="D18" i="33"/>
  <c r="E34" i="33"/>
  <c r="C88" i="70"/>
  <c r="D88" i="70" s="1"/>
  <c r="D52" i="2"/>
  <c r="C12" i="35"/>
  <c r="C37" i="79" s="1"/>
  <c r="H33" i="33"/>
  <c r="E22" i="2"/>
  <c r="D84" i="70"/>
  <c r="F34" i="33"/>
  <c r="D104" i="70"/>
  <c r="E14" i="2"/>
  <c r="D30" i="2"/>
  <c r="C134" i="70"/>
  <c r="C63" i="70"/>
  <c r="D62" i="70" s="1"/>
  <c r="H18" i="33"/>
  <c r="G18" i="33"/>
  <c r="D9" i="5"/>
  <c r="E15" i="5"/>
  <c r="E6" i="5"/>
  <c r="F60" i="70"/>
  <c r="C138" i="70"/>
  <c r="C12" i="79"/>
  <c r="D46" i="70"/>
  <c r="E138" i="70"/>
  <c r="D12" i="79"/>
  <c r="E139" i="70" s="1"/>
  <c r="D72" i="70"/>
  <c r="I16" i="40"/>
  <c r="C127" i="70"/>
  <c r="D126" i="70" s="1"/>
  <c r="E37" i="2"/>
  <c r="F16" i="40"/>
  <c r="C91" i="70" s="1"/>
  <c r="D90" i="70" s="1"/>
  <c r="D48" i="70"/>
  <c r="E16" i="36"/>
  <c r="E20" i="36" s="1"/>
  <c r="C6" i="47"/>
  <c r="C6" i="78" s="1"/>
  <c r="C7" i="78"/>
  <c r="D44" i="70"/>
  <c r="F61" i="5"/>
  <c r="C38" i="70" s="1"/>
  <c r="D38" i="70" s="1"/>
  <c r="D24" i="33"/>
  <c r="F47" i="2"/>
  <c r="E25" i="39"/>
  <c r="C80" i="70" s="1"/>
  <c r="D80" i="70" s="1"/>
  <c r="C77" i="70"/>
  <c r="D76" i="70" s="1"/>
  <c r="D32" i="5"/>
  <c r="D37" i="5"/>
  <c r="D33" i="33"/>
  <c r="D60" i="5"/>
  <c r="D55" i="5"/>
  <c r="F46" i="70"/>
  <c r="D86" i="70"/>
  <c r="B16" i="40"/>
  <c r="F15" i="5"/>
  <c r="F6" i="5"/>
  <c r="C154" i="70"/>
  <c r="D154" i="70" s="1"/>
  <c r="C5" i="78"/>
  <c r="C123" i="70"/>
  <c r="D122" i="70" s="1"/>
  <c r="D24" i="5"/>
  <c r="D16" i="5"/>
  <c r="D68" i="70"/>
  <c r="D54" i="70"/>
  <c r="F64" i="70"/>
  <c r="F50" i="70"/>
  <c r="E9" i="2"/>
  <c r="G15" i="5"/>
  <c r="G6" i="5"/>
  <c r="H24" i="33"/>
  <c r="F48" i="70"/>
  <c r="E34" i="77"/>
  <c r="D34" i="77"/>
  <c r="I34" i="77"/>
  <c r="B34" i="77"/>
  <c r="C34" i="77"/>
  <c r="G34" i="77"/>
  <c r="F34" i="77"/>
  <c r="A34" i="77"/>
  <c r="H34" i="77"/>
  <c r="K34" i="77"/>
  <c r="L35" i="77" l="1"/>
  <c r="M35" i="77"/>
  <c r="E131" i="70"/>
  <c r="F130" i="70" s="1"/>
  <c r="C53" i="2"/>
  <c r="F53" i="2"/>
  <c r="E10" i="70" s="1"/>
  <c r="D53" i="2"/>
  <c r="C25" i="35"/>
  <c r="E47" i="2"/>
  <c r="C11" i="79" s="1"/>
  <c r="E140" i="70"/>
  <c r="F140" i="70" s="1"/>
  <c r="E30" i="2"/>
  <c r="C9" i="79" s="1"/>
  <c r="C36" i="79"/>
  <c r="C44" i="79" s="1"/>
  <c r="D8" i="79"/>
  <c r="E136" i="70"/>
  <c r="C131" i="70"/>
  <c r="D130" i="70" s="1"/>
  <c r="F12" i="79"/>
  <c r="E12" i="79"/>
  <c r="C139" i="70"/>
  <c r="D138" i="70" s="1"/>
  <c r="D15" i="5"/>
  <c r="D6" i="5"/>
  <c r="G34" i="33"/>
  <c r="E129" i="70"/>
  <c r="F128" i="70" s="1"/>
  <c r="E101" i="2"/>
  <c r="E11" i="70" s="1"/>
  <c r="H34" i="33"/>
  <c r="C133" i="70"/>
  <c r="D132" i="70" s="1"/>
  <c r="C9" i="47"/>
  <c r="C9" i="78" s="1"/>
  <c r="C129" i="70"/>
  <c r="D128" i="70" s="1"/>
  <c r="D34" i="33"/>
  <c r="C135" i="70"/>
  <c r="D134" i="70" s="1"/>
  <c r="D20" i="36"/>
  <c r="E25" i="36"/>
  <c r="F138" i="70"/>
  <c r="C25" i="39"/>
  <c r="E35" i="70"/>
  <c r="F27" i="36"/>
  <c r="F30" i="36" s="1"/>
  <c r="G67" i="5"/>
  <c r="G69" i="5" s="1"/>
  <c r="E15" i="70" s="1"/>
  <c r="G25" i="5"/>
  <c r="F67" i="5"/>
  <c r="F69" i="5" s="1"/>
  <c r="F25" i="5"/>
  <c r="D11" i="79"/>
  <c r="E142" i="70"/>
  <c r="C8" i="79"/>
  <c r="C136" i="70"/>
  <c r="A35" i="77"/>
  <c r="H37" i="77" l="1"/>
  <c r="F10" i="70"/>
  <c r="C142" i="70"/>
  <c r="C140" i="70"/>
  <c r="E53" i="2"/>
  <c r="C10" i="70" s="1"/>
  <c r="D10" i="70" s="1"/>
  <c r="E137" i="70"/>
  <c r="F136" i="70" s="1"/>
  <c r="D10" i="79"/>
  <c r="C6" i="34"/>
  <c r="C36" i="34" s="1"/>
  <c r="C15" i="70"/>
  <c r="B5" i="34"/>
  <c r="E34" i="70"/>
  <c r="F34" i="70" s="1"/>
  <c r="G39" i="5"/>
  <c r="G47" i="5" s="1"/>
  <c r="G62" i="5" s="1"/>
  <c r="G64" i="5" s="1"/>
  <c r="F34" i="36"/>
  <c r="E41" i="70"/>
  <c r="F35" i="36"/>
  <c r="F33" i="36"/>
  <c r="C141" i="70"/>
  <c r="F9" i="79"/>
  <c r="E9" i="79"/>
  <c r="C137" i="70"/>
  <c r="D136" i="70" s="1"/>
  <c r="E8" i="79"/>
  <c r="F8" i="79"/>
  <c r="C10" i="79"/>
  <c r="D13" i="79"/>
  <c r="E143" i="70"/>
  <c r="F142" i="70" s="1"/>
  <c r="C21" i="70"/>
  <c r="D20" i="70" s="1"/>
  <c r="C78" i="70"/>
  <c r="D78" i="70" s="1"/>
  <c r="F39" i="5"/>
  <c r="F47" i="5" s="1"/>
  <c r="F62" i="5" s="1"/>
  <c r="F64" i="5" s="1"/>
  <c r="C34" i="70"/>
  <c r="E27" i="36"/>
  <c r="E30" i="36" s="1"/>
  <c r="C35" i="70"/>
  <c r="E11" i="79"/>
  <c r="F11" i="79"/>
  <c r="C13" i="79"/>
  <c r="C143" i="70"/>
  <c r="F35" i="77"/>
  <c r="H35" i="77"/>
  <c r="B35" i="77"/>
  <c r="I35" i="77"/>
  <c r="D35" i="77"/>
  <c r="G35" i="77"/>
  <c r="C35" i="77"/>
  <c r="E35" i="77"/>
  <c r="K35" i="77"/>
  <c r="D37" i="77" l="1"/>
  <c r="G37" i="77"/>
  <c r="C37" i="77"/>
  <c r="B37" i="77"/>
  <c r="L36" i="77"/>
  <c r="M36" i="77"/>
  <c r="D142" i="70"/>
  <c r="D140" i="70"/>
  <c r="D14" i="79"/>
  <c r="E145" i="70" s="1"/>
  <c r="F144" i="70" s="1"/>
  <c r="F10" i="79"/>
  <c r="C14" i="79"/>
  <c r="E10" i="79"/>
  <c r="C40" i="70"/>
  <c r="C26" i="70"/>
  <c r="C17" i="70"/>
  <c r="D16" i="70" s="1"/>
  <c r="C14" i="70"/>
  <c r="D14" i="70" s="1"/>
  <c r="F44" i="36"/>
  <c r="E14" i="70"/>
  <c r="F14" i="70" s="1"/>
  <c r="E40" i="70"/>
  <c r="F40" i="70" s="1"/>
  <c r="E17" i="70"/>
  <c r="F16" i="70" s="1"/>
  <c r="E33" i="36"/>
  <c r="E34" i="36"/>
  <c r="C41" i="70"/>
  <c r="E35" i="36"/>
  <c r="B36" i="34"/>
  <c r="C27" i="70"/>
  <c r="E13" i="79"/>
  <c r="C46" i="79" s="1"/>
  <c r="F13" i="79"/>
  <c r="D46" i="79" s="1"/>
  <c r="D34" i="70"/>
  <c r="D26" i="70" l="1"/>
  <c r="D40" i="70"/>
  <c r="F14" i="79"/>
  <c r="D47" i="79" s="1"/>
  <c r="E14" i="79"/>
  <c r="C47" i="79" s="1"/>
  <c r="C48" i="79" s="1"/>
  <c r="C152" i="70" s="1"/>
  <c r="C145" i="70"/>
  <c r="D144" i="70" s="1"/>
  <c r="F22" i="79"/>
  <c r="F21" i="79" s="1"/>
  <c r="E146" i="70"/>
  <c r="F46" i="36"/>
  <c r="E44" i="36"/>
  <c r="C39" i="34"/>
  <c r="C47" i="34" s="1"/>
  <c r="C38" i="34"/>
  <c r="C46" i="34" s="1"/>
  <c r="K36" i="77"/>
  <c r="D22" i="79" l="1"/>
  <c r="D21" i="79" s="1"/>
  <c r="C146" i="70"/>
  <c r="E46" i="36"/>
  <c r="E151" i="70"/>
  <c r="E150" i="70"/>
  <c r="E147" i="70"/>
  <c r="F146" i="70" s="1"/>
  <c r="F33" i="79"/>
  <c r="F48" i="79" s="1"/>
  <c r="E153" i="70" s="1"/>
  <c r="F152" i="70" s="1"/>
  <c r="F150" i="70" l="1"/>
  <c r="B41" i="66" s="1"/>
  <c r="C147" i="70"/>
  <c r="D146" i="70" s="1"/>
  <c r="D33" i="79"/>
  <c r="D48" i="79" s="1"/>
  <c r="C153" i="70" s="1"/>
  <c r="D152" i="70" s="1"/>
  <c r="C150" i="70"/>
  <c r="C151" i="70"/>
  <c r="D150" i="70" l="1"/>
  <c r="B40" i="6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RachidRouissamDeLaSocieteTrixys</author>
  </authors>
  <commentList>
    <comment ref="A4" authorId="0" shapeId="0" xr:uid="{00000000-0006-0000-1300-000001000000}">
      <text>
        <r>
          <rPr>
            <b/>
            <u/>
            <sz val="9"/>
            <color indexed="81"/>
            <rFont val="Tahoma"/>
            <family val="2"/>
          </rPr>
          <t>Selon vos propres catégories.</t>
        </r>
        <r>
          <rPr>
            <b/>
            <sz val="9"/>
            <color indexed="81"/>
            <rFont val="Tahoma"/>
            <family val="2"/>
          </rPr>
          <t xml:space="preserve">
Exemple :
Logiciel, Mobilier, Matériel Informatique, Aménagement,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RachidRouissamDeLaSocieteTrixys</author>
  </authors>
  <commentList>
    <comment ref="A18" authorId="0" shapeId="0" xr:uid="{00000000-0006-0000-1F00-000001000000}">
      <text>
        <r>
          <rPr>
            <b/>
            <u/>
            <sz val="9"/>
            <color indexed="81"/>
            <rFont val="Tahoma"/>
            <family val="2"/>
          </rPr>
          <t>xEdiS:</t>
        </r>
        <r>
          <rPr>
            <b/>
            <sz val="9"/>
            <color indexed="81"/>
            <rFont val="Tahoma"/>
            <family val="2"/>
          </rPr>
          <t xml:space="preserve">
La liasse fiscale n'a pas prévu de ligne pour le poste 160 (Comptes de liaison …) dans le tableau de Passif.
Nous vous proposons de reclasser le solde de ce poste dans le poste 446 (Comptes d'associés créditeurs).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774E77-A872-45C8-A286-E9D7201C806F}" keepAlive="1" name="Requête - A" description="Connexion à la requête « A » dans le classeur." type="5" refreshedVersion="8" background="1" saveData="1">
    <dbPr connection="Provider=Microsoft.Mashup.OleDb.1;Data Source=$Workbook$;Location=A;Extended Properties=&quot;&quot;" command="SELECT * FROM [A]"/>
  </connection>
  <connection id="2" xr16:uid="{3C3479E6-96D2-4391-A880-6656F9AADB44}" keepAlive="1" name="Requête - A (2)" description="Connexion à la requête « A (2) » dans le classeur." type="5" refreshedVersion="8" background="1" saveData="1">
    <dbPr connection="Provider=Microsoft.Mashup.OleDb.1;Data Source=$Workbook$;Location=&quot;A (2)&quot;;Extended Properties=&quot;&quot;" command="SELECT * FROM [A (2)]"/>
  </connection>
  <connection id="3" xr16:uid="{6E64A7EF-F424-427D-8CDD-E6C7BB694247}" keepAlive="1" name="Requête - A (3)" description="Connexion à la requête « A (3) » dans le classeur." type="5" refreshedVersion="8" background="1" saveData="1">
    <dbPr connection="Provider=Microsoft.Mashup.OleDb.1;Data Source=$Workbook$;Location=&quot;A (3)&quot;;Extended Properties=&quot;&quot;" command="SELECT * FROM [A (3)]"/>
  </connection>
  <connection id="4" xr16:uid="{9673CD2F-49C0-478E-B8C9-7EDA63EA2EB0}" keepAlive="1" name="Requête - Balance N-1 corrigée" description="Connexion à la requête « Balance N-1 corrigée » dans le classeur." type="5" refreshedVersion="8" background="1" saveData="1">
    <dbPr connection="Provider=Microsoft.Mashup.OleDb.1;Data Source=$Workbook$;Location=&quot;Balance N-1 corrigée&quot;;Extended Properties=&quot;&quot;" command="SELECT * FROM [Balance N-1 corrigée]"/>
  </connection>
</connections>
</file>

<file path=xl/sharedStrings.xml><?xml version="1.0" encoding="utf-8"?>
<sst xmlns="http://schemas.openxmlformats.org/spreadsheetml/2006/main" count="2177" uniqueCount="1518">
  <si>
    <t>TABLEAU DES BIENS EN CREDIT BAIL</t>
  </si>
  <si>
    <t>Rubriques</t>
  </si>
  <si>
    <t>Date de la 1ère échéance</t>
  </si>
  <si>
    <t>Durée du contrat en mois</t>
  </si>
  <si>
    <t>Dotations financières</t>
  </si>
  <si>
    <t>TOTAL  V</t>
  </si>
  <si>
    <t>RESULTAT FINANCIER ( IV - V )</t>
  </si>
  <si>
    <t>5</t>
  </si>
  <si>
    <t>- Titres et valeurs de placement</t>
  </si>
  <si>
    <t>- Créances</t>
  </si>
  <si>
    <t>Ventes de marchandises (en l'état )</t>
  </si>
  <si>
    <t xml:space="preserve"> -</t>
  </si>
  <si>
    <t xml:space="preserve"> =</t>
  </si>
  <si>
    <t>Total Stocks Produits et Biens Finis</t>
  </si>
  <si>
    <t xml:space="preserve">  Extrait des derniers états de synthèse de la société émetrice</t>
  </si>
  <si>
    <t>Produits inscrits au C.P.C de l'exercice</t>
  </si>
  <si>
    <t>- Autres réserves</t>
  </si>
  <si>
    <t>- Résultats nets en instance d'affectation</t>
  </si>
  <si>
    <t>- Tantièmes</t>
  </si>
  <si>
    <t>- Résultat net de l'exercice</t>
  </si>
  <si>
    <t>TITRES ET VALEURS DE PLACEMENT ( h )</t>
  </si>
  <si>
    <t>BILAN - ACTIF</t>
  </si>
  <si>
    <r>
      <t>ECART DE CONVERSION - ACTIF ( i )</t>
    </r>
    <r>
      <rPr>
        <sz val="10"/>
        <rFont val="Arial Narrow"/>
        <family val="2"/>
      </rPr>
      <t xml:space="preserve"> (Elém. Circul.)</t>
    </r>
  </si>
  <si>
    <t>TOTAL  II   (  f + g + h + i )</t>
  </si>
  <si>
    <t>BILAN - PASSIF</t>
  </si>
  <si>
    <t>CAPITAUX PROPRES</t>
  </si>
  <si>
    <t>6. Provisions pour dépréciation des comptes de trésorie</t>
  </si>
  <si>
    <t>Sous-Total (B)</t>
  </si>
  <si>
    <t>Total (A + B)</t>
  </si>
  <si>
    <t>Matériel et outillage</t>
  </si>
  <si>
    <t>Agencements-Installations</t>
  </si>
  <si>
    <t>Brevets</t>
  </si>
  <si>
    <t>Frais préliminaires</t>
  </si>
  <si>
    <t>Charges à repartir sur plusieurs exercices</t>
  </si>
  <si>
    <t>Primes de remboursement des obligations</t>
  </si>
  <si>
    <t>Immobilisations en recherche et développement</t>
  </si>
  <si>
    <t>- Revenus des créances rattachées à des participations</t>
  </si>
  <si>
    <t>- Produits nets sur cessions de titres et valeurs de placement</t>
  </si>
  <si>
    <t>Brevets, marques, droits et valeurs similaires</t>
  </si>
  <si>
    <t>Fonds commercial</t>
  </si>
  <si>
    <t>Autres immobilisations incorporelles</t>
  </si>
  <si>
    <t>Terrains</t>
  </si>
  <si>
    <t>Constructions</t>
  </si>
  <si>
    <t>Installations techniques, matériel et outillage</t>
  </si>
  <si>
    <t>Matériel de transport</t>
  </si>
  <si>
    <t>Mobiliers, matériel de bureau et aménagements divers</t>
  </si>
  <si>
    <t>Montant du capital</t>
  </si>
  <si>
    <t>Exercice actuel</t>
  </si>
  <si>
    <t>Souscrit</t>
  </si>
  <si>
    <t>Appelé</t>
  </si>
  <si>
    <t>- Rappels d'impôts (autres qu'impôts sur les résultats)</t>
  </si>
  <si>
    <t>- Créances devenues irrécouvrables</t>
  </si>
  <si>
    <t>- Reste du poste des autres charges non courantes</t>
  </si>
  <si>
    <t>- Ventes de marchandises au Maroc</t>
  </si>
  <si>
    <t>- Ventes de marchandises à l'étranger</t>
  </si>
  <si>
    <t>- Reste du poste des ventes de marchandises</t>
  </si>
  <si>
    <t>Ventes des biens et services produits</t>
  </si>
  <si>
    <t>- Ventes de biens au Maroc</t>
  </si>
  <si>
    <t>- Ventes des services au Maroc</t>
  </si>
  <si>
    <t>- Ventes des services à l'étranger</t>
  </si>
  <si>
    <t>- Redevances pour brevets, marques, droits ...</t>
  </si>
  <si>
    <t>- Reste du poste des ventes et services produits</t>
  </si>
  <si>
    <t>Variation des stocks de produits</t>
  </si>
  <si>
    <t>- Jetons de présence reçus</t>
  </si>
  <si>
    <t>- Reste du poste (produits divers)</t>
  </si>
  <si>
    <t>Reprises d'exploitation, transferts de charges</t>
  </si>
  <si>
    <t>- Reprises</t>
  </si>
  <si>
    <t>- Transferts de charges</t>
  </si>
  <si>
    <t>- Intérêt et produits assimilés</t>
  </si>
  <si>
    <t>Reprises d'exploitation: transfert de charges</t>
  </si>
  <si>
    <t>RESULTAT D'EXPLOITATION ( + ou - )</t>
  </si>
  <si>
    <t>RESULTAT FINANCIER</t>
  </si>
  <si>
    <t>RESULTAT COURANT ( + ou - )</t>
  </si>
  <si>
    <t>RESULTAT NON COURANT ( + ou - )</t>
  </si>
  <si>
    <t>Impôts sur les resultats</t>
  </si>
  <si>
    <t>RESULTAT NET DE L'EXERCICE ( + ou - )</t>
  </si>
  <si>
    <t>II - CAPACITE D'AUTOFINANCEMENT  ( C.A.F ) - AUTOFINANCEMENT</t>
  </si>
  <si>
    <t>- Benefice (+)</t>
  </si>
  <si>
    <t>- Perte      (-)</t>
  </si>
  <si>
    <t>Dotations non courantes</t>
  </si>
  <si>
    <t>Reprises d'exploitation</t>
  </si>
  <si>
    <t>Reprises financières</t>
  </si>
  <si>
    <t>TABLEAU DES PLUS OU MOINS VALUES SUR CESSIONS OU RETRAITS D'IMMOBILISATIONS</t>
  </si>
  <si>
    <t>Date de cession ou de retrait</t>
  </si>
  <si>
    <t>Compte principal</t>
  </si>
  <si>
    <t>Montant brut</t>
  </si>
  <si>
    <t>Amortissements cumulés</t>
  </si>
  <si>
    <t>Valeur nette d'amortissement</t>
  </si>
  <si>
    <t>Produit de cession</t>
  </si>
  <si>
    <t>Plus values</t>
  </si>
  <si>
    <t>Moins values</t>
  </si>
  <si>
    <t>- Redevances pour brevets, marque, droits ...</t>
  </si>
  <si>
    <t>- Transports</t>
  </si>
  <si>
    <t>- Déplacements, missions et réceptions</t>
  </si>
  <si>
    <t>- Reste du poste des autres charges externes</t>
  </si>
  <si>
    <t>- Rémunération du personnel</t>
  </si>
  <si>
    <t>Crédit de trésorerie</t>
  </si>
  <si>
    <t>Variable</t>
  </si>
  <si>
    <t>comptables des commerçants promulguée par le Dahir n° 1.92..138 du 3 Joumada II 1413 (15.12.1992)</t>
  </si>
  <si>
    <t>Clients créditeurs, avances et acomptes</t>
  </si>
  <si>
    <t>Crédits d'escompte</t>
  </si>
  <si>
    <t>Banques ( soldes créditeurs )</t>
  </si>
  <si>
    <t>FINANCEMENTS PERMANENTS</t>
  </si>
  <si>
    <t>PASSIF CIRCULANT</t>
  </si>
  <si>
    <t>-</t>
  </si>
  <si>
    <t>PRODUITS D'EXPLOITATION</t>
  </si>
  <si>
    <t>Ventes de marchandises</t>
  </si>
  <si>
    <t>Ventes de biens et services produits</t>
  </si>
  <si>
    <t>Chiffres d'affaires</t>
  </si>
  <si>
    <t>Variation de stock de produits</t>
  </si>
  <si>
    <t>Immobilisations produites pour l'Ese p/elle même</t>
  </si>
  <si>
    <t>Subvention d'exploitation</t>
  </si>
  <si>
    <t>Autres produits d'exploitation</t>
  </si>
  <si>
    <t>- Dividendes</t>
  </si>
  <si>
    <t>- Prélèvements sur les réserves</t>
  </si>
  <si>
    <t>- Autres affectations</t>
  </si>
  <si>
    <t>- Autres prélèvements</t>
  </si>
  <si>
    <t>Total A</t>
  </si>
  <si>
    <t>Total B</t>
  </si>
  <si>
    <t>TOTAL A = TOTAL B</t>
  </si>
  <si>
    <t>Immobilisations corporelles en cours</t>
  </si>
  <si>
    <t>Autres créances financières</t>
  </si>
  <si>
    <t>Titres de participation</t>
  </si>
  <si>
    <t>Diminution des créances immobilisées</t>
  </si>
  <si>
    <t>Marchandises</t>
  </si>
  <si>
    <t>Matières et fournitures consommables</t>
  </si>
  <si>
    <t>Produits en cours</t>
  </si>
  <si>
    <t>Produits finis</t>
  </si>
  <si>
    <t>ETAT DE DOTATIONS AUX AMORTISSEMENTS RELATIFS AUX IMMOBILISATIONS</t>
  </si>
  <si>
    <t>DHS</t>
  </si>
  <si>
    <t>Autres immobilisations corporelles</t>
  </si>
  <si>
    <t>- Travaux en cours</t>
  </si>
  <si>
    <t>- Services en cours</t>
  </si>
  <si>
    <t>- Produits finis</t>
  </si>
  <si>
    <t>- Biens finis</t>
  </si>
  <si>
    <t>- Déchets</t>
  </si>
  <si>
    <t>- Rebuts</t>
  </si>
  <si>
    <t>- Matières de récupération</t>
  </si>
  <si>
    <t>TOTAL GENERAL (Ligne 10+15+18+22)</t>
  </si>
  <si>
    <t>3</t>
  </si>
  <si>
    <t>- Variation des stocks de marchandises</t>
  </si>
  <si>
    <t>- Achats de matières premières</t>
  </si>
  <si>
    <t>I. RESULTAT NET COMPTABLE</t>
  </si>
  <si>
    <t>Bénéfice net</t>
  </si>
  <si>
    <t>Perte nette</t>
  </si>
  <si>
    <t>II. REINTEGRATIONS FISCALES</t>
  </si>
  <si>
    <t>1. Courantes</t>
  </si>
  <si>
    <t>Achats consommés de matières et fournitures</t>
  </si>
  <si>
    <t>Date de cloture</t>
  </si>
  <si>
    <t>Situation nette</t>
  </si>
  <si>
    <t>Résultat net</t>
  </si>
  <si>
    <t>DETAIL DE LA TAXE SUR LA VALEUR AJOUTEE</t>
  </si>
  <si>
    <t>Solde au début de l'exercice</t>
  </si>
  <si>
    <t>Opérations comptables de l'exercice</t>
  </si>
  <si>
    <t>Déclarations TVA de l'exercice</t>
  </si>
  <si>
    <t>Solde fin d'exercice</t>
  </si>
  <si>
    <t>(1 + 2 - 3 = 4)</t>
  </si>
  <si>
    <t>A. T.V.A. Facturée</t>
  </si>
  <si>
    <t>B. T.V.A. Récuperable</t>
  </si>
  <si>
    <t>- sur charges</t>
  </si>
  <si>
    <t>- sur immobilisations</t>
  </si>
  <si>
    <t>C. T.V.A. dûe ou crédit de T.V.A = (A - B)</t>
  </si>
  <si>
    <t>ETAT DE REPARTITION DU CAPITAL SOCIAL</t>
  </si>
  <si>
    <t>Adresse</t>
  </si>
  <si>
    <t>Nombre de titres</t>
  </si>
  <si>
    <t>Valeur nominale de chaque action ou part sociale</t>
  </si>
  <si>
    <t>Autres charges non courantes</t>
  </si>
  <si>
    <t>Valeur estimée du bien à la date du contrat</t>
  </si>
  <si>
    <t>Durée théorique d'amortis. du bien</t>
  </si>
  <si>
    <t>Cumul des exercices précédents des redevances</t>
  </si>
  <si>
    <t>Montant de l'exercice des redevances</t>
  </si>
  <si>
    <t>Redevances restant à payer</t>
  </si>
  <si>
    <t>Prix d'achat résiduel en fin de contrat</t>
  </si>
  <si>
    <t>Observations</t>
  </si>
  <si>
    <t>à moins d'un an</t>
  </si>
  <si>
    <t>à plus d'un an</t>
  </si>
  <si>
    <t>8</t>
  </si>
  <si>
    <t>9</t>
  </si>
  <si>
    <t>TABLEAU DES AMORTISSEMENTS</t>
  </si>
  <si>
    <t>Cumul début exercice</t>
  </si>
  <si>
    <t>Produits des titres de partic. et autres titres immo.</t>
  </si>
  <si>
    <t>d'exploitation</t>
  </si>
  <si>
    <t>financières</t>
  </si>
  <si>
    <t>non courantes</t>
  </si>
  <si>
    <t>- Biens et Mat. premières destinés aux activités de prod. et de transf.</t>
  </si>
  <si>
    <t>Matières premières</t>
  </si>
  <si>
    <t>Matières consommables</t>
  </si>
  <si>
    <t>Pièce détachés</t>
  </si>
  <si>
    <t>- Emballage</t>
  </si>
  <si>
    <t>récupérables</t>
  </si>
  <si>
    <t>vendus</t>
  </si>
  <si>
    <t>perdus</t>
  </si>
  <si>
    <t>- Produits en cours</t>
  </si>
  <si>
    <t>- Etudes en cours</t>
  </si>
  <si>
    <t>Personnel</t>
  </si>
  <si>
    <t>Etat</t>
  </si>
  <si>
    <t>Comptes d'associés</t>
  </si>
  <si>
    <t>Autres débiteurs</t>
  </si>
  <si>
    <t>TRESORERIE - ACTIF</t>
  </si>
  <si>
    <t>Chèques et valeurs à encaisser</t>
  </si>
  <si>
    <t>Banques, T.G &amp; CP</t>
  </si>
  <si>
    <t>STOCKS ( f )</t>
  </si>
  <si>
    <t>CREANCES DE L'ACTIF CIRCULANT ( g )</t>
  </si>
  <si>
    <t>IMMOBILISATION EN NON VALEUR ( a )</t>
  </si>
  <si>
    <t>IMMOBILISATIONS INCORPORELLES ( b )</t>
  </si>
  <si>
    <t>IMMOBILISATIONS CORPORELLES ( c )</t>
  </si>
  <si>
    <t>ACTIF IMMOBILISE</t>
  </si>
  <si>
    <t>TRESORERIE</t>
  </si>
  <si>
    <t>ACTIF CIRCULANT</t>
  </si>
  <si>
    <t>Prêts immobilisés</t>
  </si>
  <si>
    <t>Autres titres immobilisés</t>
  </si>
  <si>
    <t>Augmentation des dettes de financement</t>
  </si>
  <si>
    <t>Produits intermédiaires et produits residuels</t>
  </si>
  <si>
    <t>Fournisseurs débiteurs, avances et acomptes</t>
  </si>
  <si>
    <t>Clients et comptes rattachés</t>
  </si>
  <si>
    <t>Comptes de régularisation actif</t>
  </si>
  <si>
    <t>- Variation des stocks de services en cours</t>
  </si>
  <si>
    <t>- Reste du poste des autres charges financières</t>
  </si>
  <si>
    <t>- Pénalités sur marchés et débits</t>
  </si>
  <si>
    <t>Capital social ou personnel (1)</t>
  </si>
  <si>
    <t>Prime d'emission, de fusion, d'apport</t>
  </si>
  <si>
    <t>Autres reserves</t>
  </si>
  <si>
    <t>Report à nouveau (2)</t>
  </si>
  <si>
    <t>Subventions d'investissement</t>
  </si>
  <si>
    <t>Emprunts obligataires</t>
  </si>
  <si>
    <t>Autres dettes de financement</t>
  </si>
  <si>
    <t>ETAT DES PLUS-VALUES CONSTATEES EN CAS DE FUSION</t>
  </si>
  <si>
    <t>Valeur d'apport</t>
  </si>
  <si>
    <t>Valeur nette comptable</t>
  </si>
  <si>
    <t>Plus-value constatée et différée</t>
  </si>
  <si>
    <t>Fraction de la plus-value rapportée aux exercices antérieurs (cumul) (2)</t>
  </si>
  <si>
    <t>Cumul des plus-values rapportées</t>
  </si>
  <si>
    <t>Solde des plus-values non imputées</t>
  </si>
  <si>
    <t>Terrain (1)</t>
  </si>
  <si>
    <t>A. ORIGINE DES RESULTATS A AFFECTER</t>
  </si>
  <si>
    <t>B. AFFECTATION DES RESULTATS</t>
  </si>
  <si>
    <t>- Réserve légale</t>
  </si>
  <si>
    <t>- Report à nouveau</t>
  </si>
  <si>
    <t>1. Provisions pour dépréciation de l'actif immobilisé</t>
  </si>
  <si>
    <t>2. Provisions réglementées</t>
  </si>
  <si>
    <t>3. Provisions durables pour risques et charges</t>
  </si>
  <si>
    <t>Sous-Total (A)</t>
  </si>
  <si>
    <t>4. Provisions pour dépréciation de l'actif circulant</t>
  </si>
  <si>
    <t>- Stocks</t>
  </si>
  <si>
    <t>5. Autres Provisions pour risques et charges</t>
  </si>
  <si>
    <t>(1) Dans la limite du montant du bénéfice brut fiscal (A)</t>
  </si>
  <si>
    <t>ETAT DES SOLDES INTERMEDIAIRES DE GESTION (E.S.G)</t>
  </si>
  <si>
    <t>I - TABLEAU DE FORMATION DU RESULTAT ( T.F.R )</t>
  </si>
  <si>
    <t>Date d'entrée (1)</t>
  </si>
  <si>
    <t>Observations (5)</t>
  </si>
  <si>
    <t>Amortissements antérieurs (3)</t>
  </si>
  <si>
    <t>Taux</t>
  </si>
  <si>
    <t>Durée (4)</t>
  </si>
  <si>
    <t>Amortissements normaux ou accélérées de l'exercice</t>
  </si>
  <si>
    <t>Total des amortissements à la fin de l'exercice (col. 4 + col. 7)</t>
  </si>
  <si>
    <t>TABLEAU DES TITRES DE PARTICIPATION</t>
  </si>
  <si>
    <t>Raison sociale de la société émettrice</t>
  </si>
  <si>
    <t>Secteur d'activité</t>
  </si>
  <si>
    <t>Capital social</t>
  </si>
  <si>
    <t>Participation  au capital en %</t>
  </si>
  <si>
    <t>Prix d'acquisition global</t>
  </si>
  <si>
    <t>Valeur comptable nette</t>
  </si>
  <si>
    <t>- Locations et charges locatives</t>
  </si>
  <si>
    <t>- Redevances de crédit-bail</t>
  </si>
  <si>
    <t>- Entretient et réparations</t>
  </si>
  <si>
    <t>- Primes d'assurances</t>
  </si>
  <si>
    <t>- Rémunérations du personnel extérieur à l'entreprise</t>
  </si>
  <si>
    <t>- Rémunérations d'intermédiaires et honoraires</t>
  </si>
  <si>
    <t>- Reste du poste intérêts et autres produits financiers</t>
  </si>
  <si>
    <t>Libéré</t>
  </si>
  <si>
    <t xml:space="preserve">(1) Quant le nombre des associés est inférieur ou égal à 10, l'entreprise doit déclarer tous les participants au capital. Dans les autre cas, il y a lieu de ne </t>
  </si>
  <si>
    <t>MARGES BRUTES SUR VENTES EN L'ETAT</t>
  </si>
  <si>
    <t xml:space="preserve"> +</t>
  </si>
  <si>
    <t>PRODUCTION DE L'EXERCICE (3+4+5)</t>
  </si>
  <si>
    <t>Variation de stocks de produits</t>
  </si>
  <si>
    <t>Immobilisations produites par l'entreprise pour elle même</t>
  </si>
  <si>
    <t>CONSOMMATION DE L'EXERCICE (6+7)</t>
  </si>
  <si>
    <t>VALEUR AJOUTEE ( I+II+III )</t>
  </si>
  <si>
    <t>Subventions d'exploitation</t>
  </si>
  <si>
    <t>Valeurs nettes des immobilisations cédées</t>
  </si>
  <si>
    <t>CAPACITE D'AUTOFINANCEMENT  ( C.A.F )</t>
  </si>
  <si>
    <t>Distributions de bénéfices</t>
  </si>
  <si>
    <t>AUTOFINANCEMENT</t>
  </si>
  <si>
    <t>Pertes de changes</t>
  </si>
  <si>
    <t>Autres charges financières</t>
  </si>
  <si>
    <t>Remboursement exercice actuel</t>
  </si>
  <si>
    <t>Principal</t>
  </si>
  <si>
    <t>Intérêt</t>
  </si>
  <si>
    <t>A. Associés</t>
  </si>
  <si>
    <t>B. Tiers</t>
  </si>
  <si>
    <t>TABLEAU DES LOCATIONS ET BAUX AUTRES QUE LE CREDIT-BAIL</t>
  </si>
  <si>
    <t>Nature du bien loué</t>
  </si>
  <si>
    <t>Lieu de situation</t>
  </si>
  <si>
    <t>Date de conclusion de l'acte de location</t>
  </si>
  <si>
    <t>Montant annuel de location</t>
  </si>
  <si>
    <t>Montant du loyer compris dans les charges de l'exercice</t>
  </si>
  <si>
    <t>Nature du contrat (1)</t>
  </si>
  <si>
    <t>Bail ordinaire</t>
  </si>
  <si>
    <t>ETAT DETAILLE DES STOCKS</t>
  </si>
  <si>
    <t>STOCKS</t>
  </si>
  <si>
    <t>Stock Final</t>
  </si>
  <si>
    <t>Stock Initial</t>
  </si>
  <si>
    <t>Variation de stock en Valeur (+ ou -)</t>
  </si>
  <si>
    <t>Provision pour dépréciation</t>
  </si>
  <si>
    <t>Montant net</t>
  </si>
  <si>
    <t>7 = 6 - 3</t>
  </si>
  <si>
    <t>I. Stocks Approvisionnement</t>
  </si>
  <si>
    <t>- Biens et produits destinés à la revente en l'état :</t>
  </si>
  <si>
    <t>Biens immeubles</t>
  </si>
  <si>
    <t>Biens meubles</t>
  </si>
  <si>
    <t>Modèle 100/IS/N</t>
  </si>
  <si>
    <t>PIECES ANNEXES A LA</t>
  </si>
  <si>
    <t>DECLARATION FISCALE</t>
  </si>
  <si>
    <t>IMPOT SUR LES SOCIETES</t>
  </si>
  <si>
    <t>(Modèle Comptable Normale)</t>
  </si>
  <si>
    <t>Adresse :</t>
  </si>
  <si>
    <t>Signature</t>
  </si>
  <si>
    <t xml:space="preserve">CADRE RESERVE A L'ADMINISTRATION </t>
  </si>
  <si>
    <t>Numéro d'Enregistrement de la Déclaration :</t>
  </si>
  <si>
    <t>Date :</t>
  </si>
  <si>
    <t xml:space="preserve">Signature </t>
  </si>
  <si>
    <t xml:space="preserve">N.B : Les tableaux de 1 à 14 sont conformes aux états prévus par la loi n° 9.88 relative aux obligations </t>
  </si>
  <si>
    <t>Provisions pour charges</t>
  </si>
  <si>
    <t>Provisions pour risques</t>
  </si>
  <si>
    <t>Diminution des dettes de financement</t>
  </si>
  <si>
    <t>Organismes sociaux</t>
  </si>
  <si>
    <t>Comptes de regularisation - passif</t>
  </si>
  <si>
    <t>TRESORERIE PASSIF</t>
  </si>
  <si>
    <t>TOTAL   I+II+III</t>
  </si>
  <si>
    <t>Reprises d'exploitation; transfert de charges</t>
  </si>
  <si>
    <t>TOTAL  I</t>
  </si>
  <si>
    <t>CHARGES D'EXPLOITATION</t>
  </si>
  <si>
    <t>Achats revendus de marchandises</t>
  </si>
  <si>
    <t>Achat consommes de matières et de fournitures</t>
  </si>
  <si>
    <t>Autres charges externes</t>
  </si>
  <si>
    <t>Impôts et taxes</t>
  </si>
  <si>
    <t>Charges de personnel</t>
  </si>
  <si>
    <t>Autres charges d'exploitation</t>
  </si>
  <si>
    <t>Dotations d'exploitation</t>
  </si>
  <si>
    <t>TOTAL  II</t>
  </si>
  <si>
    <t>RESULTAT D'EXPLOITATION  ( I - II )</t>
  </si>
  <si>
    <t>PRODUITS FINANCIERS</t>
  </si>
  <si>
    <t>Gains de change</t>
  </si>
  <si>
    <t>Intérêts et autres produits financiers</t>
  </si>
  <si>
    <t>Reprises financières; transfert de charges</t>
  </si>
  <si>
    <t>TOTAL  IV</t>
  </si>
  <si>
    <t>CHARGES FINANCIERES</t>
  </si>
  <si>
    <t>Charges d'intérêts</t>
  </si>
  <si>
    <t>- Ventes de biens à l'étranger</t>
  </si>
  <si>
    <t>Taux d'intérêt annuel</t>
  </si>
  <si>
    <t>Autres éléments amortissables</t>
  </si>
  <si>
    <t>TOTAL DES CAPITAUX PROPRES ( a )</t>
  </si>
  <si>
    <t>CAPITAUX PROPRES ASSIMILES ( b )</t>
  </si>
  <si>
    <t>DETTES DE FINANCEMENT ( c )</t>
  </si>
  <si>
    <t>TOTAL  I  ( a + b + c + d + e )</t>
  </si>
  <si>
    <t>PROVISIONS DURABLES POUR RISQUES ET CHARGES ( d )</t>
  </si>
  <si>
    <t>ECARTS DE CONVERSION - PASSIF ( e )</t>
  </si>
  <si>
    <t>DETTES DU PASSIF CIRCULANT ( f )</t>
  </si>
  <si>
    <t>AUTRES PROVISIONS POUR RISQUES ET CHARGES ( g )</t>
  </si>
  <si>
    <r>
      <t>ECARTS DE CONVERSION - PASSIF ( h )</t>
    </r>
    <r>
      <rPr>
        <sz val="8"/>
        <rFont val="Arial Narrow"/>
        <family val="2"/>
      </rPr>
      <t xml:space="preserve"> (Elem. Circul.)</t>
    </r>
  </si>
  <si>
    <t>TOTAL  II  ( f + g + h )</t>
  </si>
  <si>
    <t>(1) Capital personnel debiteur</t>
  </si>
  <si>
    <t>(2) Beneficiaire (+) . deficitaire (-)</t>
  </si>
  <si>
    <t>Ecarts de reévaluation</t>
  </si>
  <si>
    <t>Réserve légale</t>
  </si>
  <si>
    <t>Résultat net de l'exercice (2)</t>
  </si>
  <si>
    <t>Provisions réglementées</t>
  </si>
  <si>
    <t>Augmentation des créances immobilisées</t>
  </si>
  <si>
    <t>Fournisseurs et comptes rattachés</t>
  </si>
  <si>
    <t>- Achats de matières et fournitures consommables et d'emballages</t>
  </si>
  <si>
    <t>Total</t>
  </si>
  <si>
    <t>10</t>
  </si>
  <si>
    <t>11</t>
  </si>
  <si>
    <t>Société :</t>
  </si>
  <si>
    <t>mentionner que les 10 principaux associés par ordre d'importance décroissante.</t>
  </si>
  <si>
    <t>ETAT D'AFFECTATION DES RESULTATS INTERVENUE AU COURS DE L'EXERCICE</t>
  </si>
  <si>
    <t>Fonds de commerce</t>
  </si>
  <si>
    <t>Autres éléments non amortissables</t>
  </si>
  <si>
    <t>ETAT DES INTERETS DES EMPRUNTS CONTRACTES AUPRES DES ASSOCIES ET DES TIERS
AUTRES QUE LES ORGANISMES DE BANQUE OU DE CREDIT</t>
  </si>
  <si>
    <t>Montant du prêt</t>
  </si>
  <si>
    <t>Date du prêt</t>
  </si>
  <si>
    <t>Durée du prêt en mois</t>
  </si>
  <si>
    <t>Charge financière globale</t>
  </si>
  <si>
    <t>Remboursement exercices antérieurs</t>
  </si>
  <si>
    <t>PASSAGE DU RESULTAT NET COMPTABLE AU RESULTAT NET FISCAL</t>
  </si>
  <si>
    <t>INTITULES</t>
  </si>
  <si>
    <t>Montant</t>
  </si>
  <si>
    <t>Dotation de l'exercice</t>
  </si>
  <si>
    <t>Amortissements sur immobilisations sorties</t>
  </si>
  <si>
    <t>Cumul d'amortissement fin exercice</t>
  </si>
  <si>
    <t>4 = 1 + 2 - 3</t>
  </si>
  <si>
    <t>- Mobilier, matériel  de bureau et aménagement</t>
  </si>
  <si>
    <t>TABLEAU DES PROVISIONS</t>
  </si>
  <si>
    <t>Montant début exercice</t>
  </si>
  <si>
    <t>Dotations</t>
  </si>
  <si>
    <t>Reprises</t>
  </si>
  <si>
    <t>Montant fin exercice</t>
  </si>
  <si>
    <t>2. Non courantes</t>
  </si>
  <si>
    <t>III. DEDUCTIONS FISCALES</t>
  </si>
  <si>
    <t>IV. RESULTAT BRUT FISCAL</t>
  </si>
  <si>
    <t>Bénéfice brut si T1 &gt; T2 (A)</t>
  </si>
  <si>
    <t>Déficit brut fiscal si T2 &gt; T1 (B)</t>
  </si>
  <si>
    <t>V. REPORTS DEFICITAIRES IMPUTES  (C)  (1)</t>
  </si>
  <si>
    <t>VI. RESULTAT NET FISCAL</t>
  </si>
  <si>
    <t>ou déficit net fiscal  (B)</t>
  </si>
  <si>
    <t>VII. CUMUL DES AMORTISSEMENTS FISCALEMENT DIFFERES</t>
  </si>
  <si>
    <t>VIII. CUMUL DES DEFICITS FISCAUX RESTANT A REPORTER</t>
  </si>
  <si>
    <t>RESULTAT COURANT ( III - V I)</t>
  </si>
  <si>
    <t>1</t>
  </si>
  <si>
    <t>2</t>
  </si>
  <si>
    <t>3 = 1 + 2</t>
  </si>
  <si>
    <t>4</t>
  </si>
  <si>
    <t>Propres à l'exercice</t>
  </si>
  <si>
    <t>Totaux de l'exercice</t>
  </si>
  <si>
    <t>Exercice précédent</t>
  </si>
  <si>
    <t>EXPLOITATION</t>
  </si>
  <si>
    <t>Opérations</t>
  </si>
  <si>
    <t>I</t>
  </si>
  <si>
    <t>II</t>
  </si>
  <si>
    <t>III</t>
  </si>
  <si>
    <t>IV</t>
  </si>
  <si>
    <t>Concernant les exercices précédents</t>
  </si>
  <si>
    <t>V</t>
  </si>
  <si>
    <t>VI</t>
  </si>
  <si>
    <t>VII</t>
  </si>
  <si>
    <t>FINANCIER</t>
  </si>
  <si>
    <t>Caisses, régies d'avances et accréditifs</t>
  </si>
  <si>
    <t>TOTAL  III</t>
  </si>
  <si>
    <t>TOTAL GENERAL  I+II+III</t>
  </si>
  <si>
    <t>Exercice</t>
  </si>
  <si>
    <t>Brut</t>
  </si>
  <si>
    <t>Amort. &amp; Prov.</t>
  </si>
  <si>
    <t>Net</t>
  </si>
  <si>
    <t>Exercice Précédent</t>
  </si>
  <si>
    <t>Eléments</t>
  </si>
  <si>
    <t>TOTAL  I   ( a + b + c + d + e )</t>
  </si>
  <si>
    <t>COMPTE DE PRODUITS ET CHARGES ( HORS TAXES )</t>
  </si>
  <si>
    <r>
      <t>COMPTE DE PRODUITS ET CHARGES ( HORS TAXES ) (S</t>
    </r>
    <r>
      <rPr>
        <b/>
        <i/>
        <sz val="14"/>
        <rFont val="Arial Narrow"/>
        <family val="2"/>
      </rPr>
      <t>uite)</t>
    </r>
  </si>
  <si>
    <t>RESULTAT COURANT ( Report )</t>
  </si>
  <si>
    <t>VIII</t>
  </si>
  <si>
    <t>PRODUITS NON COURANTS</t>
  </si>
  <si>
    <t>Produits des cessions d'immobilisations</t>
  </si>
  <si>
    <t>Subventions d'équilibre</t>
  </si>
  <si>
    <t>Reprises sur subventions d'investissement</t>
  </si>
  <si>
    <t>Autres produits non courants</t>
  </si>
  <si>
    <t>Reprises non courantes; transferts de charges</t>
  </si>
  <si>
    <t>TOTAL  VIII</t>
  </si>
  <si>
    <t>IX</t>
  </si>
  <si>
    <t>CHARGES NON COURANTES</t>
  </si>
  <si>
    <t>Subventions accordées</t>
  </si>
  <si>
    <t>- Achats non stockés de matières et de fournitures</t>
  </si>
  <si>
    <t>- Achats de travaux, études et prestation de services</t>
  </si>
  <si>
    <t>613/614</t>
  </si>
  <si>
    <t>- Charges sociales</t>
  </si>
  <si>
    <t>- Reste du poste des charges de personnel</t>
  </si>
  <si>
    <t>- Jetons de présence</t>
  </si>
  <si>
    <t>- Pertes sur créances irrécouvrables</t>
  </si>
  <si>
    <t>- Reste du poste des autres charges d'exploitation</t>
  </si>
  <si>
    <t>- Charges nettes sur cessions de titres et valeurs de placement</t>
  </si>
  <si>
    <t>TABLEAU DES IMMOBILISATIONS AUTRES QUE FINANCIERES</t>
  </si>
  <si>
    <t>Nature</t>
  </si>
  <si>
    <t>Montant brut début exercice</t>
  </si>
  <si>
    <t>Augmentation</t>
  </si>
  <si>
    <t>Diminution</t>
  </si>
  <si>
    <t>Montant brut fin exercice</t>
  </si>
  <si>
    <t>Acquisition</t>
  </si>
  <si>
    <t>Production par l'Etps pour elle même</t>
  </si>
  <si>
    <t>Virement</t>
  </si>
  <si>
    <t>Cession</t>
  </si>
  <si>
    <t>Retrait</t>
  </si>
  <si>
    <t>IMMOBILISATION EN NON-VALEURS</t>
  </si>
  <si>
    <t>- Frais préliminaires</t>
  </si>
  <si>
    <t>- Charges à répartir sur plusieurs exercices</t>
  </si>
  <si>
    <t>- Primes de remboursement obligations</t>
  </si>
  <si>
    <t>IMMOBILISATIONS INCORPORELLES</t>
  </si>
  <si>
    <t>- Immobilisation en recherche et développement</t>
  </si>
  <si>
    <t>- Brevets, marques, droits et valeurs similaires</t>
  </si>
  <si>
    <t>- Fonds commercial</t>
  </si>
  <si>
    <t>- Autres immobilisations incorporelles</t>
  </si>
  <si>
    <t>IMMOBILISATIONS CORPORELLES</t>
  </si>
  <si>
    <t>- Terrains</t>
  </si>
  <si>
    <t>- Constructions</t>
  </si>
  <si>
    <t>- Installations techniques, matériel et outillage</t>
  </si>
  <si>
    <t>- Matériel  de transport</t>
  </si>
  <si>
    <t>- Mobilier, matériel de bureau et aménagement</t>
  </si>
  <si>
    <t>- Autres immobilisations corporelles</t>
  </si>
  <si>
    <t>- Immobilisations corporelles en cours</t>
  </si>
  <si>
    <t>- Variation des stocks de produits de produits en cours</t>
  </si>
  <si>
    <t>- Variation des stocks de biens produits</t>
  </si>
  <si>
    <t>DETAIL DES POSTES DU C.P.C.</t>
  </si>
  <si>
    <t>Poste</t>
  </si>
  <si>
    <t>Achats revenus de marchandises</t>
  </si>
  <si>
    <t>- Achats de marchandises</t>
  </si>
  <si>
    <t xml:space="preserve">Montant du capital : </t>
  </si>
  <si>
    <t>TOTAL  IX</t>
  </si>
  <si>
    <t>X</t>
  </si>
  <si>
    <t>RESULTAT NON COURANT ( VIII- IV )</t>
  </si>
  <si>
    <t>XI</t>
  </si>
  <si>
    <t>RESULTAT AVANT IMPOTS ( VII+ X )</t>
  </si>
  <si>
    <t>XII</t>
  </si>
  <si>
    <t xml:space="preserve">IMPOTS SUR LES RESULTATS </t>
  </si>
  <si>
    <t>XIII</t>
  </si>
  <si>
    <t>RESULTAT NET ( XI - XII )</t>
  </si>
  <si>
    <t>NON COURANT</t>
  </si>
  <si>
    <t>Dotations non courantes aux amortiss. et prov.</t>
  </si>
  <si>
    <t>XIV</t>
  </si>
  <si>
    <t>TOTAL DES PRODUITS ( I + IV + VIII )</t>
  </si>
  <si>
    <t>XV</t>
  </si>
  <si>
    <t>TOTAL DES CHARGES ( II + V + IX + XII )</t>
  </si>
  <si>
    <t>XVI</t>
  </si>
  <si>
    <t>RESULTAT NET ( XIV - XV )</t>
  </si>
  <si>
    <t>6</t>
  </si>
  <si>
    <t>7</t>
  </si>
  <si>
    <t>Valeurs nettes d'amortis. des immos cédées</t>
  </si>
  <si>
    <t>ECARTS DE CONVERSION - ACTIF ( e )</t>
  </si>
  <si>
    <t>IMMOBILISATIONS FINANCIERES ( d )</t>
  </si>
  <si>
    <t>Autres créanciers</t>
  </si>
  <si>
    <t>Valeur</t>
  </si>
  <si>
    <t>SIMPL_Tab.1_Cod.13402_Lin.0_Typ.Double_Extra.0</t>
  </si>
  <si>
    <t>SIMPL_Tab.1_Cod.13403_Lin.0_Typ.Double_Extra.0</t>
  </si>
  <si>
    <t>SIMPL_Tab.1_Cod.13413_Lin.0_Typ.Double_Extra.0</t>
  </si>
  <si>
    <t>SIMPL_Tab.1_Cod.13414_Lin.0_Typ.Double_Extra.0</t>
  </si>
  <si>
    <t>SIMPL_Tab.34_Cod.70_Lin.0_Typ.Date_Extra.1</t>
  </si>
  <si>
    <t>SIMPL_Tab.23_Cod.53_Lin.0_Typ.Date_Extra.1</t>
  </si>
  <si>
    <t>SIMPL_Tab.37_Cod.71_Lin.0_Typ.Date_Extra.1</t>
  </si>
  <si>
    <t>SIMPL_Tab.38_Cod.72_Lin.0_Typ.Date_Extra.1</t>
  </si>
  <si>
    <t>SIMPL_Tab.12_Cod.50_Lin.0_Typ.Date_Extra.1</t>
  </si>
  <si>
    <t>SIMPL_Tab.12_Cod.51_Lin.0_Typ.Date_Extra.1</t>
  </si>
  <si>
    <t>SIMPL_Tab.12_Cod.52_Lin.0_Typ.Date_Extra.1</t>
  </si>
  <si>
    <t>SIMPL_Tab.26_Cod.54_Lin.0_Typ.Date_Extra.1</t>
  </si>
  <si>
    <t>SIMPL_Tab.27_Cod.55_Lin.0_Typ.Date_Extra.1</t>
  </si>
  <si>
    <t>Valeur à amortir - Valeur comptable après réévaluation</t>
  </si>
  <si>
    <t>Valeur à amortir - Prix d'acquisition (2)</t>
  </si>
  <si>
    <t>Type</t>
  </si>
  <si>
    <t>Montant global  :</t>
  </si>
  <si>
    <t>N° IF</t>
  </si>
  <si>
    <t>Fraction de la plus-value rapportée à l'exercice actuel</t>
  </si>
  <si>
    <t>Identifiant Fiscal :</t>
  </si>
  <si>
    <t>ETAT DES SOLDES DE GESTION (E.S.G)</t>
  </si>
  <si>
    <t>TABLEAU DES BIENS EN CREDIT-BAIL</t>
  </si>
  <si>
    <t>TABLEAU D'AFFECTATION DES RESULTATS INTERVENUS AU COURS DE L'EXERCICE</t>
  </si>
  <si>
    <t>ETAT DES DOTATIONS AUX AMORTISSEMENTS RELATIFS AUX IMMOBILISATIONS</t>
  </si>
  <si>
    <t>ETAT DES PLUS-VALUES CONSTATEES EN CAS DE  FUSION</t>
  </si>
  <si>
    <t>ETAT DES INTERETS DES EMPRUNTS CONTRACTES AUPRES DES ASSOCIES ET DES TIERS AUTRES QUE LES ORGANISMES DE BANQUE OU DE CREDIT</t>
  </si>
  <si>
    <t>COMPTE DE PRODUITS ET CHARGES</t>
  </si>
  <si>
    <t>PAGE DE GARDE</t>
  </si>
  <si>
    <t>BILAN (ACTIF)</t>
  </si>
  <si>
    <t>BILAN (PASSIF)</t>
  </si>
  <si>
    <t>T00</t>
  </si>
  <si>
    <t>Tableau</t>
  </si>
  <si>
    <t>Feuille</t>
  </si>
  <si>
    <t>A1</t>
  </si>
  <si>
    <t>A55</t>
  </si>
  <si>
    <t>Néant 1</t>
  </si>
  <si>
    <t>Néant 2</t>
  </si>
  <si>
    <t>NumCompte</t>
  </si>
  <si>
    <t>LibCompte</t>
  </si>
  <si>
    <t>Solde
Créditeur N-1</t>
  </si>
  <si>
    <t>Solde
Débiteur N-1</t>
  </si>
  <si>
    <t>Solde
Débiteur N</t>
  </si>
  <si>
    <t>Solde
Créditeur N</t>
  </si>
  <si>
    <t>- Matériel de transport</t>
  </si>
  <si>
    <t>Test</t>
  </si>
  <si>
    <t>Différence</t>
  </si>
  <si>
    <t>Origine</t>
  </si>
  <si>
    <t>Passif</t>
  </si>
  <si>
    <t>CPC</t>
  </si>
  <si>
    <t>Réf</t>
  </si>
  <si>
    <t>Néant Vba</t>
  </si>
  <si>
    <t>Actif</t>
  </si>
  <si>
    <t>Tableau 4</t>
  </si>
  <si>
    <t>Tableau 3</t>
  </si>
  <si>
    <t>ESG</t>
  </si>
  <si>
    <t>Résultat CPC vs Totaux Produits et Charges</t>
  </si>
  <si>
    <t>Total Actif vs Total Passif</t>
  </si>
  <si>
    <t>Résultat (Passif vs CPC)</t>
  </si>
  <si>
    <t>Résultat (CPC vs Tableau de passage)</t>
  </si>
  <si>
    <t>Immos non-valeur (Actif vs Tableau Immos)</t>
  </si>
  <si>
    <t>Immos incorporelles (Actif vs Tableau Immos)</t>
  </si>
  <si>
    <t>Immos corporelles (Actif vs Tableau Immos)</t>
  </si>
  <si>
    <t>Résultat Exploitation (CPC vs ESG)</t>
  </si>
  <si>
    <t>Résultat Financier (CPC vs ESG)</t>
  </si>
  <si>
    <t>Résultat Non Courant (CPC vs ESG)</t>
  </si>
  <si>
    <t>Résultat (CPC vs ESG)</t>
  </si>
  <si>
    <t>NbreLignes</t>
  </si>
  <si>
    <t>NBL_Ent.7_Cod.821</t>
  </si>
  <si>
    <t>NBL_Ent.7_Cod.822</t>
  </si>
  <si>
    <t>NBL_Ent.7_Cod.823</t>
  </si>
  <si>
    <t>NBL_Ent.7_Cod.824</t>
  </si>
  <si>
    <t>NBL_Ent.7_Cod.825</t>
  </si>
  <si>
    <t>NBL_Ent.7_Cod.826</t>
  </si>
  <si>
    <t>NBL_Ent.7_Cod.827</t>
  </si>
  <si>
    <t>NBL_Ent.7_Cod.828</t>
  </si>
  <si>
    <t>NBL_Ent.7_Cod.830</t>
  </si>
  <si>
    <t>NBL_Ent.7_Cod.829</t>
  </si>
  <si>
    <t>NBL_Ent.7_Cod.831</t>
  </si>
  <si>
    <t>NBL_Ent.7_Cod.7830</t>
  </si>
  <si>
    <t>NBL_Ent.23_Cod.1098</t>
  </si>
  <si>
    <t>NBL_Ent.23_Cod.1099</t>
  </si>
  <si>
    <t>NBL_Ent.23_Cod.1100</t>
  </si>
  <si>
    <t>NBL_Ent.23_Cod.1101</t>
  </si>
  <si>
    <t>NBL_Ent.23_Cod.1102</t>
  </si>
  <si>
    <t>NBL_Ent.23_Cod.1103</t>
  </si>
  <si>
    <t>NBL_Ent.23_Cod.1104</t>
  </si>
  <si>
    <t>NBL_Ent.23_Cod.1105</t>
  </si>
  <si>
    <t>NBL_Ent.23_Cod.1106</t>
  </si>
  <si>
    <t>NBL_Ent.23_Cod.1107</t>
  </si>
  <si>
    <t>NBL_Ent.23_Cod.1108</t>
  </si>
  <si>
    <t>NBL_Ent.38_Cod.1929</t>
  </si>
  <si>
    <t>NBL_Ent.38_Cod.1930</t>
  </si>
  <si>
    <t>NBL_Ent.38_Cod.1931</t>
  </si>
  <si>
    <t>NBL_Ent.38_Cod.1932</t>
  </si>
  <si>
    <t>NBL_Ent.38_Cod.1933</t>
  </si>
  <si>
    <t>NBL_Ent.38_Cod.1934</t>
  </si>
  <si>
    <t>NBL_Ent.38_Cod.1935</t>
  </si>
  <si>
    <t>NBL_Ent.38_Cod.1936</t>
  </si>
  <si>
    <t>NBL_Ent.39_Cod.2044</t>
  </si>
  <si>
    <t>NBL_Ent.39_Cod.2045</t>
  </si>
  <si>
    <t>NBL_Ent.39_Cod.2046</t>
  </si>
  <si>
    <t>NBL_Ent.39_Cod.2047</t>
  </si>
  <si>
    <t>NBL_Ent.39_Cod.2048</t>
  </si>
  <si>
    <t>NBL_Ent.39_Cod.2049</t>
  </si>
  <si>
    <t>NBL_Ent.39_Cod.2050</t>
  </si>
  <si>
    <t>NBL_Ent.39_Cod.2051</t>
  </si>
  <si>
    <t>NBL_Ent.39_Cod.2052</t>
  </si>
  <si>
    <t>NBL_Ent.39_Cod.2053</t>
  </si>
  <si>
    <t>NBL_Ent.41_Cod.2094</t>
  </si>
  <si>
    <t>NBL_Ent.41_Cod.13536</t>
  </si>
  <si>
    <t>NBL_Ent.41_Cod.13537</t>
  </si>
  <si>
    <t>NBL_Ent.41_Cod.2095</t>
  </si>
  <si>
    <t>NBL_Ent.41_Cod.2096</t>
  </si>
  <si>
    <t>NBL_Ent.41_Cod.2097</t>
  </si>
  <si>
    <t>NBL_Ent.41_Cod.2098</t>
  </si>
  <si>
    <t>NBL_Ent.41_Cod.2099</t>
  </si>
  <si>
    <t>NBL_Ent.41_Cod.2100</t>
  </si>
  <si>
    <t>NBL_Ent.41_Cod.2101</t>
  </si>
  <si>
    <t>NBL_Ent.12_Cod.10061</t>
  </si>
  <si>
    <t>NBL_Ent.12_Cod.1078</t>
  </si>
  <si>
    <t>NBL_Ent.12_Cod.1079</t>
  </si>
  <si>
    <t>NBL_Ent.12_Cod.1080</t>
  </si>
  <si>
    <t>NBL_Ent.12_Cod.1081</t>
  </si>
  <si>
    <t>NBL_Ent.12_Cod.1082</t>
  </si>
  <si>
    <t>NBL_Ent.12_Cod.1083</t>
  </si>
  <si>
    <t>NBL_Ent.12_Cod.1084</t>
  </si>
  <si>
    <t>NBL_Ent.12_Cod.1085</t>
  </si>
  <si>
    <t>NBL_Ent.12_Cod.1086</t>
  </si>
  <si>
    <t>NBL_Ent.27_Cod.1208</t>
  </si>
  <si>
    <t>NBL_Ent.27_Cod.1209</t>
  </si>
  <si>
    <t>NBL_Ent.27_Cod.1210</t>
  </si>
  <si>
    <t>NBL_Ent.27_Cod.1211</t>
  </si>
  <si>
    <t>NBL_Ent.27_Cod.1212</t>
  </si>
  <si>
    <t>NBL_Ent.27_Cod.1213</t>
  </si>
  <si>
    <t>NBL_Ent.27_Cod.1214</t>
  </si>
  <si>
    <t>NBL_Ent.27_Cod.1215</t>
  </si>
  <si>
    <t>NBL_Ent.27_Cod.1216</t>
  </si>
  <si>
    <t>NBL_Ent.27_Cod.1217</t>
  </si>
  <si>
    <t>NBL_Ent.27_Cod.1218</t>
  </si>
  <si>
    <t>NBL_Ent.27_Cod.1219</t>
  </si>
  <si>
    <t>NBL_Ent.27_Cod.1220</t>
  </si>
  <si>
    <t>NBL_Ent.27_Cod.1221</t>
  </si>
  <si>
    <t>NBL_Ent.27_Cod.1222</t>
  </si>
  <si>
    <t>NBL_Ent.27_Cod.1223</t>
  </si>
  <si>
    <t>NBL_Ent.27_Cod.1224</t>
  </si>
  <si>
    <t>NBL_Ent.27_Cod.1225</t>
  </si>
  <si>
    <t>NBL_Ent.27_Cod.1226</t>
  </si>
  <si>
    <t>NBL_Ent.27_Cod.1227</t>
  </si>
  <si>
    <t>NBL_Ent.27_Cod.1228</t>
  </si>
  <si>
    <t>NBL_Ent.27_Cod.1229</t>
  </si>
  <si>
    <t>NBL_Ent.27_Cod.1250</t>
  </si>
  <si>
    <t>NBL_Ent.27_Cod.1251</t>
  </si>
  <si>
    <t>NBL_Ent.27_Cod.1252</t>
  </si>
  <si>
    <t>NBL_Ent.27_Cod.1253</t>
  </si>
  <si>
    <t>NBL_Ent.28_Cod.1267</t>
  </si>
  <si>
    <t>NBL_Ent.28_Cod.1268</t>
  </si>
  <si>
    <t>NBL_Ent.28_Cod.1269</t>
  </si>
  <si>
    <t>NBL_Ent.28_Cod.1270</t>
  </si>
  <si>
    <t>NBL_Ent.28_Cod.1271</t>
  </si>
  <si>
    <t>NBL_Ent.28_Cod.1272</t>
  </si>
  <si>
    <t>NBL_Ent.28_Cod.1273</t>
  </si>
  <si>
    <t>NBL_Ent.28_Cod.1274</t>
  </si>
  <si>
    <t>Equilibre Balance</t>
  </si>
  <si>
    <t>Débit</t>
  </si>
  <si>
    <t>Crédit</t>
  </si>
  <si>
    <t>Distribution Dividendes (ESG vs Tableau 14)</t>
  </si>
  <si>
    <t>Tableau 14</t>
  </si>
  <si>
    <t>Redevances Crédit Bail de l'exercice</t>
  </si>
  <si>
    <t>Tableau 8</t>
  </si>
  <si>
    <t>Tableau 7</t>
  </si>
  <si>
    <t>Tableau 6</t>
  </si>
  <si>
    <t>Détails des Postes du CPC
(Achats revenus de marchandises)</t>
  </si>
  <si>
    <t>Détails des Postes du CPC
(Autres charges externes)</t>
  </si>
  <si>
    <t>Détails des Postes du CPC
(Charges de personnel)</t>
  </si>
  <si>
    <t>Détails des Postes du CPC
(Autres charges d'exploitation)</t>
  </si>
  <si>
    <t>Détails des Postes du CPC
(Autres charges financières)</t>
  </si>
  <si>
    <t>Détails des Postes du CPC
(Autres charges non courantes)</t>
  </si>
  <si>
    <t>Détails des Postes du CPC
(Ventes de marchandises)</t>
  </si>
  <si>
    <t>Détails des Postes du CPC
(Ventes des biens et services produits)</t>
  </si>
  <si>
    <t>Détails des Postes du CPC
(Variation des stocks de produits)</t>
  </si>
  <si>
    <t>Détails des Postes du CPC
(Autres produits d'exploitation)</t>
  </si>
  <si>
    <t>Détails des Postes du CPC
(Reprises d'exploitation, transferts de charges)</t>
  </si>
  <si>
    <t>Détails des Postes du CPC
(Intérêts et autres produits financiers)</t>
  </si>
  <si>
    <t>Amortissements - cumul fin exercice
(Immos non-valeurs)</t>
  </si>
  <si>
    <t>Amortissements - cumul fin exercice
(Immos incorporelles)</t>
  </si>
  <si>
    <t>Amortissements - cumul fin exercice
(Immos corporelles)</t>
  </si>
  <si>
    <t>Amortissements - dotations de l'exercice</t>
  </si>
  <si>
    <t>Tableau 16</t>
  </si>
  <si>
    <t>Vérifications et tests de la liasse</t>
  </si>
  <si>
    <t>Selection Tableau</t>
  </si>
  <si>
    <t>Module</t>
  </si>
  <si>
    <t>XEDIS_SIMPLIS_LFMN</t>
  </si>
  <si>
    <t>SIMPL_Tab.12_Cod.22_Lin.0_Typ.Double_Extra.1</t>
  </si>
  <si>
    <t>Version</t>
  </si>
  <si>
    <t>Remarque</t>
  </si>
  <si>
    <t>Contenu</t>
  </si>
  <si>
    <t>IS - Liasse Fiscale - Modèle Normal</t>
  </si>
  <si>
    <t>Navigation</t>
  </si>
  <si>
    <t>Cellule</t>
  </si>
  <si>
    <t>Last Sheet/Cell</t>
  </si>
  <si>
    <t>Balance N</t>
  </si>
  <si>
    <t>Balance N-1</t>
  </si>
  <si>
    <t>Erreurs_XML</t>
  </si>
  <si>
    <t>Rapport des erreurs XML</t>
  </si>
  <si>
    <t>CPC Résultat Net</t>
  </si>
  <si>
    <t>CPC Produits-Charges</t>
  </si>
  <si>
    <t>Détails des Postes du CPC
(Achats consommés de matières et fournitures)</t>
  </si>
  <si>
    <t>Tableau 9</t>
  </si>
  <si>
    <t>Provisions - reprises de l'exercice (d'exploitation)</t>
  </si>
  <si>
    <t>Détails du CPC</t>
  </si>
  <si>
    <t>Tableau 10</t>
  </si>
  <si>
    <t>Prix de cession des immobilisations vendues</t>
  </si>
  <si>
    <t>Valeurs nettes des immobilisations vendues</t>
  </si>
  <si>
    <t>Montants bruts des immobilisations vendues</t>
  </si>
  <si>
    <t>Tableau 10 (Brut-Amortiss)</t>
  </si>
  <si>
    <t>Tableau 10 (Valeurs Nettes)</t>
  </si>
  <si>
    <t>+/- Values des immobilisations vendues</t>
  </si>
  <si>
    <t>Tableau 10 (PC-Net)</t>
  </si>
  <si>
    <t>Tableau 10 (+/- Values)</t>
  </si>
  <si>
    <t>Tableau 11</t>
  </si>
  <si>
    <t>Janvier</t>
  </si>
  <si>
    <t>Février</t>
  </si>
  <si>
    <t>Mars</t>
  </si>
  <si>
    <t>Avril</t>
  </si>
  <si>
    <t>Mai</t>
  </si>
  <si>
    <t>Juin</t>
  </si>
  <si>
    <t>Juillet</t>
  </si>
  <si>
    <t>Août</t>
  </si>
  <si>
    <t>Septembre</t>
  </si>
  <si>
    <t>Octobre</t>
  </si>
  <si>
    <t>Novembre</t>
  </si>
  <si>
    <t>Décembre</t>
  </si>
  <si>
    <t>Mois</t>
  </si>
  <si>
    <t>TVA Facturée</t>
  </si>
  <si>
    <t>TVA Récupérable sur charges</t>
  </si>
  <si>
    <t>TVA Récupérable sur immobilisations</t>
  </si>
  <si>
    <t>Crédit M-1</t>
  </si>
  <si>
    <t>Totaux</t>
  </si>
  <si>
    <t>Solde (pour Vérification)</t>
  </si>
  <si>
    <r>
      <t xml:space="preserve">TVA - Déclarations de l'exercice
</t>
    </r>
    <r>
      <rPr>
        <b/>
        <i/>
        <sz val="14"/>
        <color indexed="10"/>
        <rFont val="Arial Narrow"/>
        <family val="2"/>
      </rPr>
      <t>(Ce tableau ne fait pas partie de la liasse. Il est destiné à vous aider à remplir le tableau 12)</t>
    </r>
  </si>
  <si>
    <t>Etat de répartition du capital social</t>
  </si>
  <si>
    <t>Tableau 13</t>
  </si>
  <si>
    <t>Tableau 13 (Capital)</t>
  </si>
  <si>
    <t>Tableau 13 (Souscrit)</t>
  </si>
  <si>
    <t>Equilibre répartition du résultat survenue au cours de l'exercice</t>
  </si>
  <si>
    <t>Tableau 14 (Total A)</t>
  </si>
  <si>
    <t>Tableau 14 (Total B)</t>
  </si>
  <si>
    <t>Tableau 14 (Décision du ...)</t>
  </si>
  <si>
    <t>Exercice de répartition du résultat survenue au cours de l'exercice</t>
  </si>
  <si>
    <t>PagePrincipale (Ex. en-cours)</t>
  </si>
  <si>
    <t>Tableau 16 (Total en-tête)</t>
  </si>
  <si>
    <t>Tableau 16 (Total Immobilisations)</t>
  </si>
  <si>
    <t>Location et baux autres que le crédit-bail</t>
  </si>
  <si>
    <t>Tableau 19</t>
  </si>
  <si>
    <t>Dotations de l'exercice (financières)</t>
  </si>
  <si>
    <t>Dotations de l'exercice (d'exploitation)</t>
  </si>
  <si>
    <t>Dotations de l'exercice (non courantes)</t>
  </si>
  <si>
    <t>Tableau 8 + Tableau 9</t>
  </si>
  <si>
    <t>Amortissements - cumul amortissements à la fin de l'exercice</t>
  </si>
  <si>
    <t>Tableau 20</t>
  </si>
  <si>
    <t>Provisions Actif Circulant (Stocks)</t>
  </si>
  <si>
    <t>Provisions Actif Circulant (Créances)</t>
  </si>
  <si>
    <t>Provisions Actif Circulant (VMP)</t>
  </si>
  <si>
    <t>Provisions Actif Circulant (Trésorerie)</t>
  </si>
  <si>
    <t>Nbre_Erreurs_Verifications_N</t>
  </si>
  <si>
    <t>Nbre_Erreurs_Verifications_N_1</t>
  </si>
  <si>
    <t>(Décision du 00/00/0000)</t>
  </si>
  <si>
    <t>XML</t>
  </si>
  <si>
    <t>PDF</t>
  </si>
  <si>
    <t>(1) Imposition différée jusqu'à la date de cession.</t>
  </si>
  <si>
    <t>(2) Fractions correspondant à l'imputation normale de la plus-value constatées lors de la fusion majorée le cas échéant du répliquât de la plus-value se rapportant à l'élément cédé au cours de l'exercice.</t>
  </si>
  <si>
    <t>(1) Variation de stocks : stocks final - stocks initial ;augmentation (+) ;diminution (-)</t>
  </si>
  <si>
    <t>(2) Achats revendus ou consommes : achats - variation de stocks.</t>
  </si>
  <si>
    <t>Bénéfice net fiscal  (A-C)</t>
  </si>
  <si>
    <t>SIMPL_CheckVersion_Nbre</t>
  </si>
  <si>
    <t>SIMPL_CheckVersion_Option</t>
  </si>
  <si>
    <t>LastActiveCell</t>
  </si>
  <si>
    <t>Color</t>
  </si>
  <si>
    <t>Ville :</t>
  </si>
  <si>
    <t>BalanceN</t>
  </si>
  <si>
    <t>BalanceN-1</t>
  </si>
  <si>
    <t>T01</t>
  </si>
  <si>
    <t>T02</t>
  </si>
  <si>
    <t>T03</t>
  </si>
  <si>
    <t>T04</t>
  </si>
  <si>
    <t>T05</t>
  </si>
  <si>
    <t>T06</t>
  </si>
  <si>
    <t>T07</t>
  </si>
  <si>
    <t>T08</t>
  </si>
  <si>
    <t>T09</t>
  </si>
  <si>
    <t>T10</t>
  </si>
  <si>
    <t>T11</t>
  </si>
  <si>
    <t>T12</t>
  </si>
  <si>
    <t>T13</t>
  </si>
  <si>
    <t>T14</t>
  </si>
  <si>
    <t>T16</t>
  </si>
  <si>
    <t>T17</t>
  </si>
  <si>
    <t>T18</t>
  </si>
  <si>
    <t>T19</t>
  </si>
  <si>
    <t>T20</t>
  </si>
  <si>
    <t>Verifications</t>
  </si>
  <si>
    <t>Tableaux16_PlageField1</t>
  </si>
  <si>
    <t xml:space="preserve"> - Montant global </t>
  </si>
  <si>
    <t>Il convient d'établir autant de feuillets annexes qu'il existe de groupes d'éléments de même nature amortissables au même taux.</t>
  </si>
  <si>
    <t>Modèle de feuillet annexe</t>
  </si>
  <si>
    <t>Amortissements de l'exercice :</t>
  </si>
  <si>
    <t>Immobilisations concernées :</t>
  </si>
  <si>
    <t>Valeur à amortir</t>
  </si>
  <si>
    <t>Prix d'acquisition (2)</t>
  </si>
  <si>
    <t>Valeur comptable après réévaluation</t>
  </si>
  <si>
    <t>TOTAUX</t>
  </si>
  <si>
    <t>Amortissement</t>
  </si>
  <si>
    <t>Num Feuillet</t>
  </si>
  <si>
    <t>Nbre Feuillet</t>
  </si>
  <si>
    <t>Nbre Elements</t>
  </si>
  <si>
    <t>Num Element</t>
  </si>
  <si>
    <t>Tableaux16_PlageField2</t>
  </si>
  <si>
    <t>$F$9</t>
  </si>
  <si>
    <t>MonAdresse</t>
  </si>
  <si>
    <t>MaVille</t>
  </si>
  <si>
    <t>211</t>
  </si>
  <si>
    <t>212</t>
  </si>
  <si>
    <t>213</t>
  </si>
  <si>
    <t>221</t>
  </si>
  <si>
    <t>222</t>
  </si>
  <si>
    <t>223</t>
  </si>
  <si>
    <t>228</t>
  </si>
  <si>
    <t>231</t>
  </si>
  <si>
    <t>232</t>
  </si>
  <si>
    <t>233</t>
  </si>
  <si>
    <t>234</t>
  </si>
  <si>
    <t>235</t>
  </si>
  <si>
    <t>238</t>
  </si>
  <si>
    <t>239</t>
  </si>
  <si>
    <t>241</t>
  </si>
  <si>
    <t>248</t>
  </si>
  <si>
    <t>251</t>
  </si>
  <si>
    <t>258</t>
  </si>
  <si>
    <t>271</t>
  </si>
  <si>
    <t>272</t>
  </si>
  <si>
    <t>311</t>
  </si>
  <si>
    <t>312</t>
  </si>
  <si>
    <t>313</t>
  </si>
  <si>
    <t>314</t>
  </si>
  <si>
    <t>315</t>
  </si>
  <si>
    <t>341</t>
  </si>
  <si>
    <t>342</t>
  </si>
  <si>
    <t>343</t>
  </si>
  <si>
    <t>345</t>
  </si>
  <si>
    <t>346</t>
  </si>
  <si>
    <t>348</t>
  </si>
  <si>
    <t>349</t>
  </si>
  <si>
    <t>35</t>
  </si>
  <si>
    <t>37</t>
  </si>
  <si>
    <t>2811</t>
  </si>
  <si>
    <t>2812</t>
  </si>
  <si>
    <t>2813</t>
  </si>
  <si>
    <t>2821</t>
  </si>
  <si>
    <t>2822</t>
  </si>
  <si>
    <t>2823</t>
  </si>
  <si>
    <t>2828</t>
  </si>
  <si>
    <t>2831</t>
  </si>
  <si>
    <t>2832</t>
  </si>
  <si>
    <t>2833</t>
  </si>
  <si>
    <t>2834</t>
  </si>
  <si>
    <t>2835</t>
  </si>
  <si>
    <t>2838</t>
  </si>
  <si>
    <t>2839</t>
  </si>
  <si>
    <t>2921</t>
  </si>
  <si>
    <t>2922</t>
  </si>
  <si>
    <t>2923</t>
  </si>
  <si>
    <t>2928</t>
  </si>
  <si>
    <t>2931</t>
  </si>
  <si>
    <t>2932</t>
  </si>
  <si>
    <t>2933</t>
  </si>
  <si>
    <t>2934</t>
  </si>
  <si>
    <t>2935</t>
  </si>
  <si>
    <t>2938</t>
  </si>
  <si>
    <t>2939</t>
  </si>
  <si>
    <t>2941</t>
  </si>
  <si>
    <t>2948</t>
  </si>
  <si>
    <t>2951</t>
  </si>
  <si>
    <t>2958</t>
  </si>
  <si>
    <t>3911</t>
  </si>
  <si>
    <t>3912</t>
  </si>
  <si>
    <t>3913</t>
  </si>
  <si>
    <t>3914</t>
  </si>
  <si>
    <t>3915</t>
  </si>
  <si>
    <t>3941</t>
  </si>
  <si>
    <t>3942</t>
  </si>
  <si>
    <t>3943</t>
  </si>
  <si>
    <t>3945</t>
  </si>
  <si>
    <t>3946</t>
  </si>
  <si>
    <t>3948</t>
  </si>
  <si>
    <t>3949</t>
  </si>
  <si>
    <t>395</t>
  </si>
  <si>
    <t>511</t>
  </si>
  <si>
    <t>514</t>
  </si>
  <si>
    <t>516</t>
  </si>
  <si>
    <t>5911</t>
  </si>
  <si>
    <t>5914</t>
  </si>
  <si>
    <t>5916</t>
  </si>
  <si>
    <t>111</t>
  </si>
  <si>
    <t>112</t>
  </si>
  <si>
    <t>113</t>
  </si>
  <si>
    <t>114</t>
  </si>
  <si>
    <t>115</t>
  </si>
  <si>
    <t>116</t>
  </si>
  <si>
    <t>118</t>
  </si>
  <si>
    <t>131</t>
  </si>
  <si>
    <t>135</t>
  </si>
  <si>
    <t>141</t>
  </si>
  <si>
    <t>148</t>
  </si>
  <si>
    <t>151</t>
  </si>
  <si>
    <t>155</t>
  </si>
  <si>
    <t>171</t>
  </si>
  <si>
    <t>172</t>
  </si>
  <si>
    <t>441</t>
  </si>
  <si>
    <t>442</t>
  </si>
  <si>
    <t>443</t>
  </si>
  <si>
    <t>444</t>
  </si>
  <si>
    <t>445</t>
  </si>
  <si>
    <t>446</t>
  </si>
  <si>
    <t>448</t>
  </si>
  <si>
    <t>449</t>
  </si>
  <si>
    <t>45</t>
  </si>
  <si>
    <t>47</t>
  </si>
  <si>
    <t>552</t>
  </si>
  <si>
    <t>553</t>
  </si>
  <si>
    <t>554</t>
  </si>
  <si>
    <t>7118</t>
  </si>
  <si>
    <t>7128</t>
  </si>
  <si>
    <t>7138</t>
  </si>
  <si>
    <t>7148</t>
  </si>
  <si>
    <t>7168</t>
  </si>
  <si>
    <t>7188</t>
  </si>
  <si>
    <t>7198</t>
  </si>
  <si>
    <t>6118</t>
  </si>
  <si>
    <t>6128</t>
  </si>
  <si>
    <t>6138</t>
  </si>
  <si>
    <t>6148</t>
  </si>
  <si>
    <t>6168</t>
  </si>
  <si>
    <t>6178</t>
  </si>
  <si>
    <t>6188</t>
  </si>
  <si>
    <t>6198</t>
  </si>
  <si>
    <t>7328</t>
  </si>
  <si>
    <t>7338</t>
  </si>
  <si>
    <t>7388</t>
  </si>
  <si>
    <t>7398</t>
  </si>
  <si>
    <t>6318</t>
  </si>
  <si>
    <t>6338</t>
  </si>
  <si>
    <t>6388</t>
  </si>
  <si>
    <t>6398</t>
  </si>
  <si>
    <t>7518</t>
  </si>
  <si>
    <t>7568</t>
  </si>
  <si>
    <t>7578</t>
  </si>
  <si>
    <t>7588</t>
  </si>
  <si>
    <t>7598</t>
  </si>
  <si>
    <t>6518</t>
  </si>
  <si>
    <t>6568</t>
  </si>
  <si>
    <t>6588</t>
  </si>
  <si>
    <t>6598</t>
  </si>
  <si>
    <t>711</t>
  </si>
  <si>
    <t>712</t>
  </si>
  <si>
    <t>713</t>
  </si>
  <si>
    <t>714</t>
  </si>
  <si>
    <t>716</t>
  </si>
  <si>
    <t>718</t>
  </si>
  <si>
    <t>719</t>
  </si>
  <si>
    <t>611</t>
  </si>
  <si>
    <t>612</t>
  </si>
  <si>
    <t>613</t>
  </si>
  <si>
    <t>614</t>
  </si>
  <si>
    <t>616</t>
  </si>
  <si>
    <t>617</t>
  </si>
  <si>
    <t>618</t>
  </si>
  <si>
    <t>619</t>
  </si>
  <si>
    <t>732</t>
  </si>
  <si>
    <t>733</t>
  </si>
  <si>
    <t>738</t>
  </si>
  <si>
    <t>739</t>
  </si>
  <si>
    <t>631</t>
  </si>
  <si>
    <t>633</t>
  </si>
  <si>
    <t>638</t>
  </si>
  <si>
    <t>639</t>
  </si>
  <si>
    <t>751</t>
  </si>
  <si>
    <t>756</t>
  </si>
  <si>
    <t>757</t>
  </si>
  <si>
    <t>758</t>
  </si>
  <si>
    <t>759</t>
  </si>
  <si>
    <t>651</t>
  </si>
  <si>
    <t>656</t>
  </si>
  <si>
    <t>658</t>
  </si>
  <si>
    <t>659</t>
  </si>
  <si>
    <t>67</t>
  </si>
  <si>
    <t>6114</t>
  </si>
  <si>
    <t>6121</t>
  </si>
  <si>
    <t>61241</t>
  </si>
  <si>
    <t>6122</t>
  </si>
  <si>
    <t>6123</t>
  </si>
  <si>
    <t>61242</t>
  </si>
  <si>
    <t>61243</t>
  </si>
  <si>
    <t>6125</t>
  </si>
  <si>
    <t>6126</t>
  </si>
  <si>
    <t>6131</t>
  </si>
  <si>
    <t>6132</t>
  </si>
  <si>
    <t>6133</t>
  </si>
  <si>
    <t>6134</t>
  </si>
  <si>
    <t>6135</t>
  </si>
  <si>
    <t>6136</t>
  </si>
  <si>
    <t>6137</t>
  </si>
  <si>
    <t>6142</t>
  </si>
  <si>
    <t>6143</t>
  </si>
  <si>
    <t>6171</t>
  </si>
  <si>
    <t>6174</t>
  </si>
  <si>
    <t>6181</t>
  </si>
  <si>
    <t>6182</t>
  </si>
  <si>
    <t>6385</t>
  </si>
  <si>
    <t>6581</t>
  </si>
  <si>
    <t>6582</t>
  </si>
  <si>
    <t>6583</t>
  </si>
  <si>
    <t>6585</t>
  </si>
  <si>
    <t>7111</t>
  </si>
  <si>
    <t>7113</t>
  </si>
  <si>
    <t>7121</t>
  </si>
  <si>
    <t>7122</t>
  </si>
  <si>
    <t>7124</t>
  </si>
  <si>
    <t>7125</t>
  </si>
  <si>
    <t>7126</t>
  </si>
  <si>
    <t>7131</t>
  </si>
  <si>
    <t>7132</t>
  </si>
  <si>
    <t>7134</t>
  </si>
  <si>
    <t>7181</t>
  </si>
  <si>
    <t>7197</t>
  </si>
  <si>
    <t>7381</t>
  </si>
  <si>
    <t>7383</t>
  </si>
  <si>
    <t>7385</t>
  </si>
  <si>
    <t>4455</t>
  </si>
  <si>
    <t>34552</t>
  </si>
  <si>
    <t>34551</t>
  </si>
  <si>
    <t>3121</t>
  </si>
  <si>
    <t>3122</t>
  </si>
  <si>
    <t>3126</t>
  </si>
  <si>
    <t>3128</t>
  </si>
  <si>
    <t>31232</t>
  </si>
  <si>
    <t>31231</t>
  </si>
  <si>
    <t>3131</t>
  </si>
  <si>
    <t>3138</t>
  </si>
  <si>
    <t>3141</t>
  </si>
  <si>
    <t>3148</t>
  </si>
  <si>
    <t>31342</t>
  </si>
  <si>
    <t>31341</t>
  </si>
  <si>
    <t>31343</t>
  </si>
  <si>
    <t>31451</t>
  </si>
  <si>
    <t>31452</t>
  </si>
  <si>
    <t>31453</t>
  </si>
  <si>
    <t>39121</t>
  </si>
  <si>
    <t>39122</t>
  </si>
  <si>
    <t>39126</t>
  </si>
  <si>
    <t>39128</t>
  </si>
  <si>
    <t>391232</t>
  </si>
  <si>
    <t>391231</t>
  </si>
  <si>
    <t>39131</t>
  </si>
  <si>
    <t>39138</t>
  </si>
  <si>
    <t>39141</t>
  </si>
  <si>
    <t>39148</t>
  </si>
  <si>
    <t>391342</t>
  </si>
  <si>
    <t>391341</t>
  </si>
  <si>
    <t>391343</t>
  </si>
  <si>
    <t>391451</t>
  </si>
  <si>
    <t>391452</t>
  </si>
  <si>
    <t>391453</t>
  </si>
  <si>
    <t>29</t>
  </si>
  <si>
    <t>15</t>
  </si>
  <si>
    <t>391</t>
  </si>
  <si>
    <t>394</t>
  </si>
  <si>
    <t>59</t>
  </si>
  <si>
    <t>6194</t>
  </si>
  <si>
    <t>61955</t>
  </si>
  <si>
    <t>6196</t>
  </si>
  <si>
    <t>61961</t>
  </si>
  <si>
    <t>61964</t>
  </si>
  <si>
    <t>61957</t>
  </si>
  <si>
    <t>63944</t>
  </si>
  <si>
    <t>63935</t>
  </si>
  <si>
    <t>63946</t>
  </si>
  <si>
    <t>6394</t>
  </si>
  <si>
    <t>63937</t>
  </si>
  <si>
    <t>6396</t>
  </si>
  <si>
    <t>65962</t>
  </si>
  <si>
    <t>6594</t>
  </si>
  <si>
    <t>65955</t>
  </si>
  <si>
    <t>65963</t>
  </si>
  <si>
    <t>659631</t>
  </si>
  <si>
    <t>659634</t>
  </si>
  <si>
    <t>65957</t>
  </si>
  <si>
    <t>7194</t>
  </si>
  <si>
    <t>71955</t>
  </si>
  <si>
    <t>7196</t>
  </si>
  <si>
    <t>71961</t>
  </si>
  <si>
    <t>71964</t>
  </si>
  <si>
    <t>71957</t>
  </si>
  <si>
    <t>73944</t>
  </si>
  <si>
    <t>73935</t>
  </si>
  <si>
    <t>73946</t>
  </si>
  <si>
    <t>7394</t>
  </si>
  <si>
    <t>73937</t>
  </si>
  <si>
    <t>7396</t>
  </si>
  <si>
    <t>75962</t>
  </si>
  <si>
    <t>7594</t>
  </si>
  <si>
    <t>75955</t>
  </si>
  <si>
    <t>75963</t>
  </si>
  <si>
    <t>759631</t>
  </si>
  <si>
    <t>759634</t>
  </si>
  <si>
    <t>75957</t>
  </si>
  <si>
    <t>119</t>
  </si>
  <si>
    <t>160</t>
  </si>
  <si>
    <t>3134</t>
  </si>
  <si>
    <t>3123</t>
  </si>
  <si>
    <t>3145</t>
  </si>
  <si>
    <t>01</t>
  </si>
  <si>
    <t>02</t>
  </si>
  <si>
    <t>03</t>
  </si>
  <si>
    <t>04</t>
  </si>
  <si>
    <t>05</t>
  </si>
  <si>
    <t>06</t>
  </si>
  <si>
    <t>08</t>
  </si>
  <si>
    <t>81</t>
  </si>
  <si>
    <t>83</t>
  </si>
  <si>
    <t>84</t>
  </si>
  <si>
    <t>85</t>
  </si>
  <si>
    <t>86</t>
  </si>
  <si>
    <t>88</t>
  </si>
  <si>
    <t>90</t>
  </si>
  <si>
    <t>91</t>
  </si>
  <si>
    <t>92</t>
  </si>
  <si>
    <t>93</t>
  </si>
  <si>
    <t>94</t>
  </si>
  <si>
    <t>95</t>
  </si>
  <si>
    <t>96</t>
  </si>
  <si>
    <t>97</t>
  </si>
  <si>
    <t>98</t>
  </si>
  <si>
    <t>99</t>
  </si>
  <si>
    <t>13</t>
  </si>
  <si>
    <t>14</t>
  </si>
  <si>
    <t>16</t>
  </si>
  <si>
    <t>17</t>
  </si>
  <si>
    <t>21</t>
  </si>
  <si>
    <t>22</t>
  </si>
  <si>
    <t>23</t>
  </si>
  <si>
    <t>24</t>
  </si>
  <si>
    <t>25</t>
  </si>
  <si>
    <t>27</t>
  </si>
  <si>
    <t>28</t>
  </si>
  <si>
    <t>281</t>
  </si>
  <si>
    <t>282</t>
  </si>
  <si>
    <t>283</t>
  </si>
  <si>
    <t>292</t>
  </si>
  <si>
    <t>293</t>
  </si>
  <si>
    <t>294</t>
  </si>
  <si>
    <t>295</t>
  </si>
  <si>
    <t>31</t>
  </si>
  <si>
    <t>34</t>
  </si>
  <si>
    <t>3455</t>
  </si>
  <si>
    <t>39123</t>
  </si>
  <si>
    <t>39134</t>
  </si>
  <si>
    <t>39145</t>
  </si>
  <si>
    <t>44</t>
  </si>
  <si>
    <t>51</t>
  </si>
  <si>
    <t>55</t>
  </si>
  <si>
    <t>591</t>
  </si>
  <si>
    <t>61</t>
  </si>
  <si>
    <t>6124</t>
  </si>
  <si>
    <t>6195</t>
  </si>
  <si>
    <t>63</t>
  </si>
  <si>
    <t>6393</t>
  </si>
  <si>
    <t>65</t>
  </si>
  <si>
    <t>6595</t>
  </si>
  <si>
    <t>6596</t>
  </si>
  <si>
    <t>71</t>
  </si>
  <si>
    <t>7195</t>
  </si>
  <si>
    <t>73</t>
  </si>
  <si>
    <t>7393</t>
  </si>
  <si>
    <t>75</t>
  </si>
  <si>
    <t>7595</t>
  </si>
  <si>
    <t>7596</t>
  </si>
  <si>
    <t>PlanComptable</t>
  </si>
  <si>
    <t>Point0_N</t>
  </si>
  <si>
    <t>Point0_N_1</t>
  </si>
  <si>
    <t>Conformité de la Balance avec le CGNC</t>
  </si>
  <si>
    <t>Plan des Comptes Normal</t>
  </si>
  <si>
    <t>Balance</t>
  </si>
  <si>
    <t>000000000000000</t>
  </si>
  <si>
    <t>Raison sociale :</t>
  </si>
  <si>
    <t>I.C.E. :</t>
  </si>
  <si>
    <t>Tva Déductible</t>
  </si>
  <si>
    <t>Tableau 12 (Solde 3455)</t>
  </si>
  <si>
    <t>Tableau 12 (Sous-Comptes 3455)</t>
  </si>
  <si>
    <t>SIMPL_Balance_N_0_NbreKeys / SIMPL_Balance_N_0_NbreComptes</t>
  </si>
  <si>
    <t>SIMPL_Balance_N_1_NbreKeys / SIMPL_Balance_N_1_NbreComptes</t>
  </si>
  <si>
    <t>Test caisse &gt;=0</t>
  </si>
  <si>
    <r>
      <t xml:space="preserve">Caisse </t>
    </r>
    <r>
      <rPr>
        <i/>
        <sz val="8"/>
        <rFont val="Arial"/>
        <family val="2"/>
      </rPr>
      <t>(le montant de la caisse ne doit être négatif)</t>
    </r>
  </si>
  <si>
    <t>moins : Actionnaires, capital souscrit non appelé</t>
  </si>
  <si>
    <t>Comptes de liaison des établissements et succursales (Rubrique 16)</t>
  </si>
  <si>
    <t>Résultat net en instance d'affectation (2)</t>
  </si>
  <si>
    <t>Stocks Marchandises, Matières et Fournitures Consommables (Solde Final Brut)</t>
  </si>
  <si>
    <t>Stocks Produits (Solde Final Brut)</t>
  </si>
  <si>
    <t>Stocks Marchandises, Matières et Fournitures Consommables (Stock Final Net)</t>
  </si>
  <si>
    <t>Stocks Produits (Solde Final Net)</t>
  </si>
  <si>
    <t>Stocks Marchandises, Matières et Fournitures Consommables (Variation)</t>
  </si>
  <si>
    <t>Stocks Produits (Variation)</t>
  </si>
  <si>
    <t>Stocks Marchandises, Matières et Fournitures Consommables (Provisions)</t>
  </si>
  <si>
    <t>Stocks Produits (Provisions)</t>
  </si>
  <si>
    <t>Total Stocks Approvisionnement</t>
  </si>
  <si>
    <t>II. Stocks En-cours Production de Biens et Service</t>
  </si>
  <si>
    <t>Total Stocks En-cours Production de Biens et Service</t>
  </si>
  <si>
    <t>III. Stocks Produits finis</t>
  </si>
  <si>
    <t>IV. Stocks Produits Résiduels</t>
  </si>
  <si>
    <t>Total Stocks Produits Résiduels</t>
  </si>
  <si>
    <t>- Pénalités et amendes fiscales et pénales</t>
  </si>
  <si>
    <t>ETAT POUR LE CALCUL DE L'IMPOT SUR LES SOCIETES -
ENTREPRISES ENCOURAGEES</t>
  </si>
  <si>
    <t>Nature des Produits</t>
  </si>
  <si>
    <t>Montant de la cotisation minimale: (Montant lignes 1 + 3 + 4) x taux de la cotisation minimale.</t>
  </si>
  <si>
    <t>Montant de l'IS correspondant au taux réduit :</t>
  </si>
  <si>
    <t>((Bénéfice fiscal x Montant ligne 3) / Montant ligne 5) x taux réduit de l'IS</t>
  </si>
  <si>
    <t>Montant de l'IS correspondant au taux normal :</t>
  </si>
  <si>
    <t>((Bénéfice fiscal x Montant ligne 1 + 4) / Montant ligne 5) x taux normal de l'IS</t>
  </si>
  <si>
    <t>Total de l'IS dû : Montant de l'IS correspondant au taux réduit + Montant de l'IS correspondant au taux normal.</t>
  </si>
  <si>
    <t>CA taxable</t>
  </si>
  <si>
    <t>CA exonéré à 100%</t>
  </si>
  <si>
    <t>CA soumis au taux réduit</t>
  </si>
  <si>
    <t>Produits financiers</t>
  </si>
  <si>
    <t>Subventions</t>
  </si>
  <si>
    <t>Autres produits taxables</t>
  </si>
  <si>
    <t>Dénominateur (1 + 2 + 3 + 4)</t>
  </si>
  <si>
    <t>Montant de l'impôt sur les sociétés (IS) dû</t>
  </si>
  <si>
    <t>T26</t>
  </si>
  <si>
    <t>ETAT POUR LE CALCUL DE L'IMPOT SUR LES SOCIETES-ENTREPRISES ENCOURAGEES</t>
  </si>
  <si>
    <t>T21</t>
  </si>
  <si>
    <t>T22</t>
  </si>
  <si>
    <t>T23</t>
  </si>
  <si>
    <t>T24</t>
  </si>
  <si>
    <t>T25</t>
  </si>
  <si>
    <t>TABLEAU DES OPERATIONS EN DEVISES COMPTABILISEES PENDANT L'EXCERCICE</t>
  </si>
  <si>
    <t>ETAT DES CHANGEMENTS DE METHODES</t>
  </si>
  <si>
    <t>ETAT DES DEROGATIONS</t>
  </si>
  <si>
    <t>TABLEAU DE FINANCEMENT DE L'EXERCICE</t>
  </si>
  <si>
    <t>PRINCIPALES METHODES D'EVALUATION SPECIFIQUES A L'ENTREPRISE</t>
  </si>
  <si>
    <t>N° CIN</t>
  </si>
  <si>
    <t>N° Carte d'Etranger</t>
  </si>
  <si>
    <t>Nom, prénom des principaux associés (1)</t>
  </si>
  <si>
    <t>Raison sociale des principaux associés (1)</t>
  </si>
  <si>
    <t>Nom, prénoms</t>
  </si>
  <si>
    <t>Raison sociale</t>
  </si>
  <si>
    <t>Leasing (Nème période)</t>
  </si>
  <si>
    <t>(1) Marquer d'une croix la colonne adéquate.</t>
  </si>
  <si>
    <t>Nom et prénoms</t>
  </si>
  <si>
    <t>Propriétaire</t>
  </si>
  <si>
    <t>12</t>
  </si>
  <si>
    <t>I-SYNTHESE DES MASSES DU BILAN</t>
  </si>
  <si>
    <t>Masses</t>
  </si>
  <si>
    <t>Variations a-b</t>
  </si>
  <si>
    <t>Emplois</t>
  </si>
  <si>
    <t>Ressources</t>
  </si>
  <si>
    <t>a</t>
  </si>
  <si>
    <t>b</t>
  </si>
  <si>
    <t>c</t>
  </si>
  <si>
    <t>d</t>
  </si>
  <si>
    <t xml:space="preserve">  Financement Permanent</t>
  </si>
  <si>
    <t xml:space="preserve">  Moins actif immobilisé</t>
  </si>
  <si>
    <t xml:space="preserve">  Actif circulant</t>
  </si>
  <si>
    <t xml:space="preserve">  Moins passif circulant</t>
  </si>
  <si>
    <t xml:space="preserve">  TRESORERIE NETTE (Actif-Passif) = A-B</t>
  </si>
  <si>
    <t>II- EMPLOIS ET RESSOURCES</t>
  </si>
  <si>
    <t>I- RESSOURCES STABLES DE L'EXERCICE (FLUX)</t>
  </si>
  <si>
    <t>Autofinancement (A)</t>
  </si>
  <si>
    <t>+ Capacité d'autofinancement</t>
  </si>
  <si>
    <t>- Distributions de bénéfices</t>
  </si>
  <si>
    <t>+ Cessions d'immobilisations incorporelles</t>
  </si>
  <si>
    <t>+ Cessions d'immobilisations corporelles</t>
  </si>
  <si>
    <t>+ Cessions d'immobilisations financières</t>
  </si>
  <si>
    <t>+ Récupérations sur créances immobilisées</t>
  </si>
  <si>
    <t>+ Augmentation du capital , apports</t>
  </si>
  <si>
    <t>+ Subventions d'investissement</t>
  </si>
  <si>
    <t>TOTAL I - RESSOURCES STABLES (A+B+C+D)</t>
  </si>
  <si>
    <t>II- EMPLOIS STABLES DE L'EXERCICE (FLUX)</t>
  </si>
  <si>
    <t>+ Acquisitions d'immobilisation corporelles</t>
  </si>
  <si>
    <t>+ Acquisitions d'immobilisation financières</t>
  </si>
  <si>
    <t>TOTAL II - EMPLOIS STABLES (E+F+G+H)</t>
  </si>
  <si>
    <t>III- VARIATION DU BESOIN DE FINANCEMENT GLOBAL (B.F.G)</t>
  </si>
  <si>
    <t>IV- VARIATION DE LA TRESORERIE</t>
  </si>
  <si>
    <t>TOTAL GENERAL</t>
  </si>
  <si>
    <t>I. ACTIF IMMOBILISE</t>
  </si>
  <si>
    <t>A. EVALUATION A L'ENTREE</t>
  </si>
  <si>
    <t>1. Immobilisation en non-valeurs</t>
  </si>
  <si>
    <t>2. Immobilisation incorporelles</t>
  </si>
  <si>
    <t>3. Immobilisations corporelles</t>
  </si>
  <si>
    <t>4. Immobilisations financières</t>
  </si>
  <si>
    <t>B. CORRECTIONS DE VALEUR</t>
  </si>
  <si>
    <t>1. Méthodes d'amortissements</t>
  </si>
  <si>
    <t>2. Méthodes d'évaluation des provisions pour dépréciation</t>
  </si>
  <si>
    <t>II. ACTIF CIRCULANT (Hors trésorerie)</t>
  </si>
  <si>
    <t>1. Stocks</t>
  </si>
  <si>
    <t>2. Créances</t>
  </si>
  <si>
    <t>3. Titres et valeurs de placement</t>
  </si>
  <si>
    <t>1. Méthodes d'évaluation des provisions pour dépréciation</t>
  </si>
  <si>
    <t>2. Méthodes de détermination des écarts de conversion - Actif</t>
  </si>
  <si>
    <t>III. FINANCEMENT PERMANENT</t>
  </si>
  <si>
    <t>1. Méthodes de réévaluation</t>
  </si>
  <si>
    <t>2. Méthodes d'évaluation des provisions réglementées</t>
  </si>
  <si>
    <t>3. Dettes de financement permanent</t>
  </si>
  <si>
    <t>4. Méthodes d'évaluation des provisions durables pour risques et charges</t>
  </si>
  <si>
    <t>5. Méthodes de détermination des écarts de conversion - Passif</t>
  </si>
  <si>
    <t>IV. PASSIF CIRCULANT (Hors trésorerie)</t>
  </si>
  <si>
    <t>1. Dettes du passif circulant</t>
  </si>
  <si>
    <t>2. Méthodes d'évaluation des autres provisions pour risques et charges</t>
  </si>
  <si>
    <t>3. Méthodes de détermination des écarts de conversion - Passif</t>
  </si>
  <si>
    <t>V. TRESORERIE</t>
  </si>
  <si>
    <t>1. Trésorerie - Actif</t>
  </si>
  <si>
    <t>2. Trésorerie - Passif</t>
  </si>
  <si>
    <t>3. Méthodes d'évaluation des provisions pour dépréciation</t>
  </si>
  <si>
    <t>Indication des Derogations</t>
  </si>
  <si>
    <t>Justification des Derogations</t>
  </si>
  <si>
    <t>I. Dérogations aux principes comptables fondamentaux</t>
  </si>
  <si>
    <t>II. Dérogations aux méthodes d'évaluation</t>
  </si>
  <si>
    <t>III. Dérogations aux règles d'établissement et de présentation des états de synthèse</t>
  </si>
  <si>
    <t>Nature des Changements</t>
  </si>
  <si>
    <t>Justification des Changements</t>
  </si>
  <si>
    <t>Entrée
Contre-valeur
en DH</t>
  </si>
  <si>
    <t>Sortie
Contre-valeur
en DH</t>
  </si>
  <si>
    <t>Total Des Entrées</t>
  </si>
  <si>
    <t>Total Des Sorties</t>
  </si>
  <si>
    <t>Balance Devises</t>
  </si>
  <si>
    <t>Charges</t>
  </si>
  <si>
    <t>Financement permanent</t>
  </si>
  <si>
    <t>Immobilisations brutes</t>
  </si>
  <si>
    <t>Rentrées sur immobilisations</t>
  </si>
  <si>
    <t>Remboursement des dettes de financement</t>
  </si>
  <si>
    <t>Produits</t>
  </si>
  <si>
    <t>TABLEAU DES OPERATIONS EN DEVISES
COMPTABILISEES PENDANT L'EXERCICE</t>
  </si>
  <si>
    <t>I. Changements affectant les méthodes d'évaluation</t>
  </si>
  <si>
    <t>II. Changements affectant les régles de présentation</t>
  </si>
  <si>
    <t>Influence des Changements sur le Patrimoine, la Situation Financière et les Résultats</t>
  </si>
  <si>
    <t>Influence des Dérogations sur le Patrimoine, la Situation Financière et les Résultats</t>
  </si>
  <si>
    <t>(1) nettes de primes de remboursement</t>
  </si>
  <si>
    <t>+ Acquisitions d'immobilisations incorporelles</t>
  </si>
  <si>
    <t>+ Augmentation des créances immobilisées</t>
  </si>
  <si>
    <t>Acquisitions et augmentations d'immobilisations (E)</t>
  </si>
  <si>
    <t>Cessions et reductions d'immobilisations (B)</t>
  </si>
  <si>
    <t>Augmentation des capitaux propres et assimiles (C)</t>
  </si>
  <si>
    <r>
      <t xml:space="preserve">Augmentation des dettes de financement (D) </t>
    </r>
    <r>
      <rPr>
        <sz val="10"/>
        <rFont val="Arial Narrow"/>
        <family val="2"/>
      </rPr>
      <t>(1)</t>
    </r>
  </si>
  <si>
    <t>Remboursement des capitaux propres (F)</t>
  </si>
  <si>
    <t>Remboursements des dettes de financement (G)</t>
  </si>
  <si>
    <t>Emplois en non valeurs (H)</t>
  </si>
  <si>
    <t xml:space="preserve">  = Besoin de financement global (4-5) (B)</t>
  </si>
  <si>
    <t xml:space="preserve">  = Fonds de roulement fonctionnel (1-2) (A)</t>
  </si>
  <si>
    <t>3. Méthodes de détermination des écarts de conversion - Actif</t>
  </si>
  <si>
    <t>NBL_Ent.27_Cod.14969</t>
  </si>
  <si>
    <t>NBL_Ent.27_Cod.14968</t>
  </si>
  <si>
    <t>NBL_Ent.27_Cod.14970</t>
  </si>
  <si>
    <t>NBL_Ent.27_Cod.14971</t>
  </si>
  <si>
    <t>NBL_Ent.28_Cod.14964</t>
  </si>
  <si>
    <t>NBL_Ent.28_Cod.14965</t>
  </si>
  <si>
    <t>NBL_Ent.28_Cod.14040</t>
  </si>
  <si>
    <t>NBL_Ent.28_Cod.14041</t>
  </si>
  <si>
    <t>NBL_Ent.28_Cod.17919</t>
  </si>
  <si>
    <t>NBL_Ent.39_Cod.14065</t>
  </si>
  <si>
    <t>NBL_Ent.41_Cod.17887</t>
  </si>
  <si>
    <t>NBL_Ent.41_Cod.14560</t>
  </si>
  <si>
    <t>NBL_Ent.240_Cod.14990</t>
  </si>
  <si>
    <t>NBL_Ent.240_Cod.14353</t>
  </si>
  <si>
    <t>NBL_Ent.240_Cod.14355</t>
  </si>
  <si>
    <t>NBL_Ent.240_Cod.14356</t>
  </si>
  <si>
    <t>NBL_Ent.201_Cod.14088</t>
  </si>
  <si>
    <t>NBL_Ent.201_Cod.14089</t>
  </si>
  <si>
    <t>NBL_Ent.201_Cod.14090</t>
  </si>
  <si>
    <t>NBL_Ent.201_Cod.14091</t>
  </si>
  <si>
    <t>NBL_Ent.201_Cod.14092</t>
  </si>
  <si>
    <t>NBL_Ent.201_Cod.14093</t>
  </si>
  <si>
    <t>Tableau 22</t>
  </si>
  <si>
    <t>Tableau de Financement (Financement Permanent)</t>
  </si>
  <si>
    <t>Tableau de Financement (Passif Circulant)</t>
  </si>
  <si>
    <t>Tableau de Financement (Actif Immobilisé)</t>
  </si>
  <si>
    <t>Tableau de Financement (Actif Circulant)</t>
  </si>
  <si>
    <t>Tableau de Financement (Trésorerie Nette)</t>
  </si>
  <si>
    <t>Actif/Passif</t>
  </si>
  <si>
    <t>Tableau de Financement (CAF)</t>
  </si>
  <si>
    <t>Tableau de Financement (Distribution Dividendes)</t>
  </si>
  <si>
    <t>Tableau de Financement (Auto Financement)</t>
  </si>
  <si>
    <t>Tableau de Financement (Equilibre)</t>
  </si>
  <si>
    <t>Tableau 22 (Emplois)</t>
  </si>
  <si>
    <t>Tableau 22 (Ressources)</t>
  </si>
  <si>
    <t>CPC sans le Compte (6129)</t>
  </si>
  <si>
    <t>ICE :</t>
  </si>
  <si>
    <t>CA Imposable, exonéré, …</t>
  </si>
  <si>
    <t>Tableau 26</t>
  </si>
  <si>
    <t>Tableau 16 (Total Dotations)</t>
  </si>
  <si>
    <t>D3 Soft SARL AU</t>
  </si>
  <si>
    <t>Exercice du :</t>
  </si>
  <si>
    <t>Exercice au :</t>
  </si>
  <si>
    <t>Rapports des erreurs XML</t>
  </si>
  <si>
    <t>Reprises non courantes (2) (3)</t>
  </si>
  <si>
    <t>Produits des cession des immobilisations (1)</t>
  </si>
  <si>
    <t>- Variation des stocks de matières, fournitures et emballages (+/-)</t>
  </si>
  <si>
    <t>- Variation des stocks de matières premières (+/-)</t>
  </si>
  <si>
    <t>ETAT POUR LE CALCUL DE L'IMPOT DU PAR LES ENTREPRISES
BENEFICIANTS DES MESURES D'ENCOURAGEMENT AUX INVESTISSEMENTS</t>
  </si>
  <si>
    <t>Ensemble des produits</t>
  </si>
  <si>
    <t>Ensemble des produits correspondant à la base imposable</t>
  </si>
  <si>
    <t>Ensemble des produits correspondant au numérateur taxable</t>
  </si>
  <si>
    <t>Ventes</t>
  </si>
  <si>
    <t>Ventes imposables</t>
  </si>
  <si>
    <t>Ventes exonérées à 100 %</t>
  </si>
  <si>
    <t>Ventes à l'export (Imposition à 17,5%)</t>
  </si>
  <si>
    <t>(1)</t>
  </si>
  <si>
    <t>Lotissement et promotion immobilière</t>
  </si>
  <si>
    <t>Ventes et locations imposables</t>
  </si>
  <si>
    <t>Ventes et locations exclues à 100 %</t>
  </si>
  <si>
    <t>Ventes à l'export</t>
  </si>
  <si>
    <t>(2)</t>
  </si>
  <si>
    <t>Prestations de services</t>
  </si>
  <si>
    <t>Imposables</t>
  </si>
  <si>
    <t>Exonérées à 100 %</t>
  </si>
  <si>
    <t>Produits et Subventions</t>
  </si>
  <si>
    <t>Produits accessoires, Produits financiers, dons et libéralités</t>
  </si>
  <si>
    <t>Subventions d'équipement</t>
  </si>
  <si>
    <t>12a</t>
  </si>
  <si>
    <t>12b</t>
  </si>
  <si>
    <t>12c</t>
  </si>
  <si>
    <t>Totaux partiels</t>
  </si>
  <si>
    <t>Profits net global des cessions après abattement pondéré</t>
  </si>
  <si>
    <t>Autres profils exceptionnels</t>
  </si>
  <si>
    <t>Total général (lignes 13 + 14 + 15)</t>
  </si>
  <si>
    <t>(1) Faire figurer dans ces cases la moitié du montant figurant dans la colonne 3 - même ligne</t>
  </si>
  <si>
    <t>(2) Faire figurer dans ces cases la moitié du montant figurant dans la colonne 2 - même ligne</t>
  </si>
  <si>
    <t>Société Démo</t>
  </si>
  <si>
    <t>Compte</t>
  </si>
  <si>
    <t>Intitulé</t>
  </si>
  <si>
    <t>Solde
Débit</t>
  </si>
  <si>
    <t>Solde
Crédit</t>
  </si>
  <si>
    <t>Capital Social</t>
  </si>
  <si>
    <t>Report à nouveau (solde débiteur)</t>
  </si>
  <si>
    <t>Résultat net de l'exercice (Solde débiteur)</t>
  </si>
  <si>
    <t>Frais de Constitution</t>
  </si>
  <si>
    <t>Installations Techniques</t>
  </si>
  <si>
    <t>Mobilier de bureau</t>
  </si>
  <si>
    <t>Matériel Informatique</t>
  </si>
  <si>
    <t>Agencement, installations et aménagements divers (de biens n'appartenant pas à l'entreprise)</t>
  </si>
  <si>
    <t>Amortissements des frais préliminaires</t>
  </si>
  <si>
    <t>Amortissements des brevets, marques, droits et valeurs similaires</t>
  </si>
  <si>
    <t>Amortissements des autres immobilisations incorporelles</t>
  </si>
  <si>
    <t>Amortissements des Installations techniques, matériels et outillage</t>
  </si>
  <si>
    <t>Amortissements du matériel de transport</t>
  </si>
  <si>
    <t>Amortissements des agencements, installations et aménagements divers</t>
  </si>
  <si>
    <t>Produits Finis (groupe A)</t>
  </si>
  <si>
    <t>Clients</t>
  </si>
  <si>
    <t>Acomptes sur impôts sur les résultats</t>
  </si>
  <si>
    <t>Etat - TVA récupérable</t>
  </si>
  <si>
    <t>Etat - TVA récupérable sur Immobilisations</t>
  </si>
  <si>
    <t>Etat - TVA récupérable sur charges</t>
  </si>
  <si>
    <t>Fournisseurs</t>
  </si>
  <si>
    <t>SCTE CIVILE IMMOBILIERE</t>
  </si>
  <si>
    <t>IAM</t>
  </si>
  <si>
    <t>AMENDIS</t>
  </si>
  <si>
    <t>NINDO</t>
  </si>
  <si>
    <t>ORANGE</t>
  </si>
  <si>
    <t>SONORBOIS</t>
  </si>
  <si>
    <t>DETROITEL</t>
  </si>
  <si>
    <t>ACCESS SARL</t>
  </si>
  <si>
    <t>CAP CONNECT</t>
  </si>
  <si>
    <t>BESTMARK</t>
  </si>
  <si>
    <t>Rémunérations dues au personnel</t>
  </si>
  <si>
    <t>Caisse nationale de la sécurité sociale</t>
  </si>
  <si>
    <t>Etat, patente</t>
  </si>
  <si>
    <t>Etat, PTS et PSN</t>
  </si>
  <si>
    <t>Etat, impôts sur les résultats</t>
  </si>
  <si>
    <t>Etat, TVA facturée</t>
  </si>
  <si>
    <t>Etat, TVA due (suivant déclarations)</t>
  </si>
  <si>
    <t>Comptes courants des associés - créditeurs</t>
  </si>
  <si>
    <t>Banques (soldes débiteurs)</t>
  </si>
  <si>
    <t>Caisses</t>
  </si>
  <si>
    <t>Achats non stockés de matières et fournitures</t>
  </si>
  <si>
    <t>Locations et charges locatives</t>
  </si>
  <si>
    <t>Frais postaux et frais de télécommunications</t>
  </si>
  <si>
    <t>Services bancaires</t>
  </si>
  <si>
    <t>Patente</t>
  </si>
  <si>
    <t>Droits d'enregistrement et timbre</t>
  </si>
  <si>
    <t>Impôts et taxes des exercices antérieurs</t>
  </si>
  <si>
    <t>Rémunération du personnel</t>
  </si>
  <si>
    <t>Primes et gratifications</t>
  </si>
  <si>
    <t>charges sociales</t>
  </si>
  <si>
    <t>Pertes sur opérations faites en commun</t>
  </si>
  <si>
    <t>Dotations d'exploitation aux amortissements des mobilier, matériel de bureau et aménagement divers</t>
  </si>
  <si>
    <t>Pénalités et amendes fiscales ou pénales</t>
  </si>
  <si>
    <t>Imposition minimale annuelle des sociétés</t>
  </si>
  <si>
    <t>Ventes de biens et services produits au Maroc</t>
  </si>
  <si>
    <t>Ventes de services produits au Maroc</t>
  </si>
  <si>
    <t xml:space="preserve">Variations des stocks de produits intermédiaires en cours </t>
  </si>
  <si>
    <t>Profits sur opérations faites en commun</t>
  </si>
  <si>
    <t>Solde Débiteur N-1</t>
  </si>
  <si>
    <t>Solde Créditeur 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</si>
</sst>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 mmmm\ yyyy"/>
    <numFmt numFmtId="166" formatCode="_-* #,##0\ _F_-;\-* #,##0\ _F_-;_-* &quot;-&quot;\ _F_-;_-@_-"/>
    <numFmt numFmtId="167" formatCode="_-* #,##0.00\ _F_-;\-* #,##0.00\ _F_-;_-* &quot;-&quot;??\ _F_-;_-@_-"/>
    <numFmt numFmtId="168" formatCode="#,##0.00_ ;\-#,##0.00\ "/>
  </numFmts>
  <fonts count="72">
    <font>
      <sz val="10"/>
      <name val="Tahoma"/>
    </font>
    <font>
      <sz val="11"/>
      <color theme="1"/>
      <name val="Calibri"/>
      <family val="2"/>
      <scheme val="minor"/>
    </font>
    <font>
      <sz val="11"/>
      <color theme="1"/>
      <name val="Calibri"/>
      <family val="2"/>
      <scheme val="minor"/>
    </font>
    <font>
      <sz val="10"/>
      <name val="Tahoma"/>
      <family val="2"/>
    </font>
    <font>
      <sz val="10"/>
      <color indexed="22"/>
      <name val="MS Sans Serif"/>
      <family val="2"/>
    </font>
    <font>
      <sz val="10"/>
      <name val="MS Sans Serif"/>
      <family val="2"/>
    </font>
    <font>
      <b/>
      <sz val="10"/>
      <name val="Arial Narrow"/>
      <family val="2"/>
    </font>
    <font>
      <sz val="10"/>
      <name val="Arial Narrow"/>
      <family val="2"/>
    </font>
    <font>
      <b/>
      <sz val="10"/>
      <name val="Arial"/>
      <family val="2"/>
    </font>
    <font>
      <sz val="10"/>
      <name val="Arial"/>
      <family val="2"/>
    </font>
    <font>
      <b/>
      <sz val="14"/>
      <name val="Arial Narrow"/>
      <family val="2"/>
    </font>
    <font>
      <sz val="10"/>
      <color indexed="22"/>
      <name val="Arial Narrow"/>
      <family val="2"/>
    </font>
    <font>
      <sz val="8"/>
      <name val="Arial Narrow"/>
      <family val="2"/>
    </font>
    <font>
      <i/>
      <sz val="10"/>
      <name val="Arial Narrow"/>
      <family val="2"/>
    </font>
    <font>
      <b/>
      <sz val="10"/>
      <name val="Tahoma"/>
      <family val="2"/>
    </font>
    <font>
      <b/>
      <i/>
      <sz val="14"/>
      <name val="Arial Narrow"/>
      <family val="2"/>
    </font>
    <font>
      <b/>
      <sz val="10"/>
      <color indexed="22"/>
      <name val="Arial Narrow"/>
      <family val="2"/>
    </font>
    <font>
      <b/>
      <i/>
      <sz val="10"/>
      <name val="Arial Narrow"/>
      <family val="2"/>
    </font>
    <font>
      <b/>
      <i/>
      <sz val="10"/>
      <name val="Arial"/>
      <family val="2"/>
    </font>
    <font>
      <i/>
      <sz val="10"/>
      <name val="Arial"/>
      <family val="2"/>
    </font>
    <font>
      <sz val="10"/>
      <name val="Arial"/>
      <family val="2"/>
    </font>
    <font>
      <sz val="10"/>
      <name val="Geneva"/>
    </font>
    <font>
      <b/>
      <u/>
      <sz val="10"/>
      <name val="Arial Narrow"/>
      <family val="2"/>
    </font>
    <font>
      <i/>
      <sz val="8"/>
      <name val="Arial Narrow"/>
      <family val="2"/>
    </font>
    <font>
      <b/>
      <sz val="14"/>
      <name val="Arial"/>
      <family val="2"/>
    </font>
    <font>
      <b/>
      <sz val="18"/>
      <name val="Arial"/>
      <family val="2"/>
    </font>
    <font>
      <b/>
      <sz val="12"/>
      <name val="Arial"/>
      <family val="2"/>
    </font>
    <font>
      <b/>
      <u/>
      <sz val="10"/>
      <name val="Arial"/>
      <family val="2"/>
    </font>
    <font>
      <u/>
      <sz val="10"/>
      <name val="Arial"/>
      <family val="2"/>
    </font>
    <font>
      <b/>
      <sz val="10"/>
      <color indexed="10"/>
      <name val="Arial"/>
      <family val="2"/>
    </font>
    <font>
      <sz val="8"/>
      <name val="Arial"/>
      <family val="2"/>
    </font>
    <font>
      <sz val="14"/>
      <name val="Arial"/>
      <family val="2"/>
    </font>
    <font>
      <sz val="10"/>
      <color indexed="9"/>
      <name val="Arial"/>
      <family val="2"/>
    </font>
    <font>
      <i/>
      <u/>
      <sz val="10"/>
      <name val="Arial"/>
      <family val="2"/>
    </font>
    <font>
      <u/>
      <sz val="10"/>
      <name val="Arial Narrow"/>
      <family val="2"/>
    </font>
    <font>
      <sz val="10"/>
      <name val="Tahoma"/>
      <family val="2"/>
    </font>
    <font>
      <sz val="10"/>
      <name val="Tahoma"/>
      <family val="2"/>
    </font>
    <font>
      <sz val="14"/>
      <name val="Arial Narrow"/>
      <family val="2"/>
    </font>
    <font>
      <i/>
      <sz val="8"/>
      <name val="Arial"/>
      <family val="2"/>
    </font>
    <font>
      <sz val="18"/>
      <color indexed="41"/>
      <name val="Arial"/>
      <family val="2"/>
    </font>
    <font>
      <sz val="72"/>
      <color indexed="41"/>
      <name val="Arial"/>
      <family val="2"/>
    </font>
    <font>
      <sz val="18"/>
      <name val="Arial"/>
      <family val="2"/>
    </font>
    <font>
      <b/>
      <sz val="18"/>
      <color indexed="41"/>
      <name val="Arial"/>
      <family val="2"/>
    </font>
    <font>
      <b/>
      <u/>
      <sz val="18"/>
      <color indexed="41"/>
      <name val="Arial"/>
      <family val="2"/>
    </font>
    <font>
      <b/>
      <sz val="9"/>
      <color indexed="81"/>
      <name val="Tahoma"/>
      <family val="2"/>
    </font>
    <font>
      <b/>
      <i/>
      <sz val="12"/>
      <name val="Arial Narrow"/>
      <family val="2"/>
    </font>
    <font>
      <i/>
      <sz val="12"/>
      <name val="Arial Narrow"/>
      <family val="2"/>
    </font>
    <font>
      <b/>
      <i/>
      <sz val="14"/>
      <color indexed="10"/>
      <name val="Arial Narrow"/>
      <family val="2"/>
    </font>
    <font>
      <b/>
      <u/>
      <sz val="9"/>
      <color indexed="81"/>
      <name val="Tahoma"/>
      <family val="2"/>
    </font>
    <font>
      <sz val="11"/>
      <color theme="1"/>
      <name val="Calibri"/>
      <family val="2"/>
      <scheme val="minor"/>
    </font>
    <font>
      <u/>
      <sz val="10"/>
      <color theme="10"/>
      <name val="Tahoma"/>
      <family val="2"/>
    </font>
    <font>
      <b/>
      <u/>
      <sz val="18"/>
      <color theme="3" tint="0.79998168889431442"/>
      <name val="Arial"/>
      <family val="2"/>
    </font>
    <font>
      <b/>
      <sz val="18"/>
      <color theme="9" tint="0.39997558519241921"/>
      <name val="Arial"/>
      <family val="2"/>
    </font>
    <font>
      <b/>
      <sz val="10"/>
      <color theme="0"/>
      <name val="Arial"/>
      <family val="2"/>
    </font>
    <font>
      <sz val="72"/>
      <color theme="9" tint="0.39997558519241921"/>
      <name val="Arial Rounded MT Bold"/>
      <family val="2"/>
    </font>
    <font>
      <sz val="3"/>
      <name val="Tahoma"/>
      <family val="2"/>
    </font>
    <font>
      <b/>
      <sz val="16"/>
      <color theme="9" tint="0.39997558519241921"/>
      <name val="Arial"/>
      <family val="2"/>
    </font>
    <font>
      <b/>
      <sz val="16"/>
      <name val="Arial"/>
      <family val="2"/>
    </font>
    <font>
      <b/>
      <u/>
      <sz val="16"/>
      <color theme="3" tint="0.79998168889431442"/>
      <name val="Arial"/>
      <family val="2"/>
    </font>
    <font>
      <b/>
      <sz val="16"/>
      <color indexed="41"/>
      <name val="Arial"/>
      <family val="2"/>
    </font>
    <font>
      <sz val="16"/>
      <color indexed="41"/>
      <name val="Arial"/>
      <family val="2"/>
    </font>
    <font>
      <sz val="12"/>
      <color theme="9" tint="0.39997558519241921"/>
      <name val="Arial Rounded MT Bold"/>
      <family val="2"/>
    </font>
    <font>
      <sz val="18"/>
      <color theme="4" tint="-0.249977111117893"/>
      <name val="Arial"/>
      <family val="2"/>
    </font>
    <font>
      <sz val="10"/>
      <color rgb="FFFF0000"/>
      <name val="Arial Narrow"/>
      <family val="2"/>
    </font>
    <font>
      <b/>
      <sz val="12"/>
      <color rgb="FF000000"/>
      <name val="Arial"/>
      <family val="2"/>
    </font>
    <font>
      <b/>
      <sz val="10"/>
      <color rgb="FFFF0000"/>
      <name val="Tahoma"/>
      <family val="2"/>
    </font>
    <font>
      <b/>
      <sz val="10"/>
      <color rgb="FF000000"/>
      <name val="Arial"/>
      <family val="2"/>
    </font>
    <font>
      <sz val="8"/>
      <color rgb="FF000000"/>
      <name val="Tahoma"/>
      <family val="2"/>
    </font>
    <font>
      <sz val="10"/>
      <color rgb="FF000000"/>
      <name val="Tahoma"/>
      <family val="2"/>
    </font>
    <font>
      <sz val="10"/>
      <color rgb="FFFF0000"/>
      <name val="Tahoma"/>
      <family val="2"/>
    </font>
    <font>
      <sz val="26"/>
      <color theme="4" tint="-0.249977111117893"/>
      <name val="Arial Rounded MT Bold"/>
      <family val="2"/>
    </font>
    <font>
      <b/>
      <sz val="18"/>
      <color theme="4" tint="-0.249977111117893"/>
      <name val="Arial"/>
      <family val="2"/>
    </font>
  </fonts>
  <fills count="9">
    <fill>
      <patternFill patternType="none"/>
    </fill>
    <fill>
      <patternFill patternType="gray125"/>
    </fill>
    <fill>
      <patternFill patternType="lightUp"/>
    </fill>
    <fill>
      <patternFill patternType="lightDown">
        <fgColor indexed="23"/>
      </patternFill>
    </fill>
    <fill>
      <patternFill patternType="darkUp"/>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theme="8" tint="0.79998168889431442"/>
        <bgColor indexed="64"/>
      </patternFill>
    </fill>
  </fills>
  <borders count="111">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right/>
      <top/>
      <bottom style="hair">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hair">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dashed">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medium">
        <color indexed="64"/>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bottom style="thick">
        <color theme="3" tint="0.79998168889431442"/>
      </bottom>
      <diagonal/>
    </border>
    <border>
      <left style="medium">
        <color theme="3" tint="0.79998168889431442"/>
      </left>
      <right/>
      <top style="medium">
        <color theme="3" tint="0.79998168889431442"/>
      </top>
      <bottom style="medium">
        <color theme="3" tint="0.79998168889431442"/>
      </bottom>
      <diagonal/>
    </border>
    <border>
      <left/>
      <right/>
      <top style="medium">
        <color theme="3" tint="0.79998168889431442"/>
      </top>
      <bottom style="medium">
        <color theme="3" tint="0.79998168889431442"/>
      </bottom>
      <diagonal/>
    </border>
    <border>
      <left style="medium">
        <color theme="3" tint="0.79995117038483843"/>
      </left>
      <right/>
      <top style="medium">
        <color theme="3" tint="0.79995117038483843"/>
      </top>
      <bottom style="medium">
        <color theme="3" tint="0.79995117038483843"/>
      </bottom>
      <diagonal/>
    </border>
    <border>
      <left/>
      <right/>
      <top style="medium">
        <color theme="3" tint="0.79995117038483843"/>
      </top>
      <bottom style="medium">
        <color theme="3" tint="0.79995117038483843"/>
      </bottom>
      <diagonal/>
    </border>
    <border>
      <left/>
      <right style="medium">
        <color theme="3" tint="0.79995117038483843"/>
      </right>
      <top style="medium">
        <color theme="3" tint="0.79995117038483843"/>
      </top>
      <bottom style="medium">
        <color theme="3" tint="0.79995117038483843"/>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hair">
        <color indexed="64"/>
      </bottom>
      <diagonal/>
    </border>
  </borders>
  <cellStyleXfs count="35">
    <xf numFmtId="0" fontId="0" fillId="0" borderId="0"/>
    <xf numFmtId="0" fontId="50" fillId="0" borderId="0" applyNumberFormat="0" applyFill="0" applyBorder="0" applyAlignment="0" applyProtection="0">
      <alignment vertical="top"/>
      <protection locked="0"/>
    </xf>
    <xf numFmtId="0" fontId="49" fillId="0" borderId="0"/>
    <xf numFmtId="0" fontId="20" fillId="0" borderId="0"/>
    <xf numFmtId="0" fontId="4" fillId="0" borderId="0"/>
    <xf numFmtId="0" fontId="4" fillId="0" borderId="0"/>
    <xf numFmtId="0" fontId="4" fillId="0" borderId="0" applyBorder="0"/>
    <xf numFmtId="0" fontId="4" fillId="0" borderId="0"/>
    <xf numFmtId="0" fontId="4"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0" fontId="4" fillId="0" borderId="0"/>
    <xf numFmtId="0" fontId="20" fillId="0" borderId="0"/>
    <xf numFmtId="9" fontId="3" fillId="0" borderId="0" applyFont="0" applyFill="0" applyBorder="0" applyAlignment="0" applyProtection="0"/>
    <xf numFmtId="0" fontId="3" fillId="0" borderId="0"/>
    <xf numFmtId="0" fontId="2" fillId="0" borderId="0"/>
    <xf numFmtId="0" fontId="5" fillId="0" borderId="0"/>
    <xf numFmtId="0" fontId="5" fillId="0" borderId="0"/>
    <xf numFmtId="0" fontId="5" fillId="0" borderId="0"/>
    <xf numFmtId="166" fontId="30" fillId="0" borderId="0" applyFont="0" applyFill="0" applyBorder="0" applyAlignment="0" applyProtection="0"/>
    <xf numFmtId="167" fontId="30" fillId="0" borderId="0" applyFont="0" applyFill="0" applyBorder="0" applyAlignment="0" applyProtection="0"/>
    <xf numFmtId="0" fontId="5" fillId="0" borderId="0"/>
    <xf numFmtId="0" fontId="30" fillId="0" borderId="0"/>
    <xf numFmtId="0" fontId="5" fillId="0" borderId="0"/>
    <xf numFmtId="0" fontId="5" fillId="0" borderId="0"/>
    <xf numFmtId="0" fontId="1" fillId="0" borderId="0"/>
  </cellStyleXfs>
  <cellXfs count="1161">
    <xf numFmtId="0" fontId="0" fillId="0" borderId="0" xfId="0"/>
    <xf numFmtId="0" fontId="8" fillId="0" borderId="0" xfId="0" applyFont="1" applyProtection="1">
      <protection hidden="1"/>
    </xf>
    <xf numFmtId="0" fontId="8" fillId="0" borderId="0" xfId="0" applyFont="1" applyAlignment="1" applyProtection="1">
      <alignment horizontal="right"/>
      <protection hidden="1"/>
    </xf>
    <xf numFmtId="0" fontId="7" fillId="0" borderId="0" xfId="0" applyFont="1"/>
    <xf numFmtId="0" fontId="9" fillId="0" borderId="0" xfId="0" applyFont="1"/>
    <xf numFmtId="0" fontId="6" fillId="0" borderId="0" xfId="0" applyFont="1"/>
    <xf numFmtId="0" fontId="6" fillId="0" borderId="1" xfId="0" applyFont="1" applyBorder="1" applyAlignment="1">
      <alignment horizontal="center" vertical="top" wrapText="1"/>
    </xf>
    <xf numFmtId="0" fontId="17" fillId="0" borderId="2" xfId="0" quotePrefix="1" applyFont="1" applyBorder="1" applyAlignment="1">
      <alignment horizontal="center"/>
    </xf>
    <xf numFmtId="4" fontId="9" fillId="0" borderId="3" xfId="0" applyNumberFormat="1" applyFont="1" applyBorder="1"/>
    <xf numFmtId="4" fontId="9" fillId="0" borderId="4" xfId="0" applyNumberFormat="1" applyFont="1" applyBorder="1"/>
    <xf numFmtId="4" fontId="8" fillId="0" borderId="5" xfId="0" applyNumberFormat="1" applyFont="1" applyBorder="1"/>
    <xf numFmtId="4" fontId="7" fillId="0" borderId="0" xfId="0" applyNumberFormat="1" applyFont="1"/>
    <xf numFmtId="0" fontId="7" fillId="0" borderId="0" xfId="0" applyFont="1" applyAlignment="1">
      <alignment horizontal="center" vertical="top" wrapText="1"/>
    </xf>
    <xf numFmtId="0" fontId="6" fillId="0" borderId="0" xfId="0" applyFont="1" applyAlignment="1">
      <alignment horizontal="left"/>
    </xf>
    <xf numFmtId="0" fontId="7" fillId="0" borderId="0" xfId="14" applyFont="1"/>
    <xf numFmtId="0" fontId="7" fillId="0" borderId="0" xfId="15" applyFont="1"/>
    <xf numFmtId="0" fontId="6" fillId="0" borderId="5" xfId="14" applyFont="1" applyBorder="1" applyAlignment="1">
      <alignment horizontal="center" vertical="top" wrapText="1"/>
    </xf>
    <xf numFmtId="0" fontId="7" fillId="0" borderId="6" xfId="14" applyFont="1" applyBorder="1"/>
    <xf numFmtId="0" fontId="7" fillId="0" borderId="3" xfId="14" applyFont="1" applyBorder="1"/>
    <xf numFmtId="0" fontId="7" fillId="0" borderId="4" xfId="14" applyFont="1" applyBorder="1"/>
    <xf numFmtId="4" fontId="8" fillId="0" borderId="5" xfId="14" applyNumberFormat="1" applyFont="1" applyBorder="1"/>
    <xf numFmtId="0" fontId="23" fillId="0" borderId="0" xfId="14" quotePrefix="1" applyFont="1" applyAlignment="1">
      <alignment horizontal="center"/>
    </xf>
    <xf numFmtId="0" fontId="23" fillId="0" borderId="0" xfId="14" applyFont="1"/>
    <xf numFmtId="0" fontId="7" fillId="0" borderId="0" xfId="14" quotePrefix="1" applyFont="1" applyAlignment="1">
      <alignment horizontal="center"/>
    </xf>
    <xf numFmtId="0" fontId="25" fillId="0" borderId="0" xfId="0" applyFont="1" applyAlignment="1">
      <alignment horizontal="center"/>
    </xf>
    <xf numFmtId="0" fontId="9" fillId="0" borderId="7" xfId="0" applyFont="1" applyBorder="1" applyProtection="1">
      <protection hidden="1"/>
    </xf>
    <xf numFmtId="0" fontId="9" fillId="0" borderId="7" xfId="0" applyFont="1" applyBorder="1" applyAlignment="1" applyProtection="1">
      <alignment horizontal="right"/>
      <protection hidden="1"/>
    </xf>
    <xf numFmtId="0" fontId="9" fillId="0" borderId="8" xfId="0" applyFont="1" applyBorder="1" applyProtection="1">
      <protection hidden="1"/>
    </xf>
    <xf numFmtId="0" fontId="9" fillId="0" borderId="9" xfId="0" applyFont="1" applyBorder="1"/>
    <xf numFmtId="0" fontId="9" fillId="0" borderId="0" xfId="0" applyFont="1" applyProtection="1">
      <protection hidden="1"/>
    </xf>
    <xf numFmtId="0" fontId="9" fillId="0" borderId="10" xfId="0" applyFont="1" applyBorder="1" applyProtection="1">
      <protection hidden="1"/>
    </xf>
    <xf numFmtId="0" fontId="26" fillId="0" borderId="0" xfId="0" applyFont="1" applyProtection="1">
      <protection hidden="1"/>
    </xf>
    <xf numFmtId="15" fontId="8" fillId="0" borderId="0" xfId="0" applyNumberFormat="1" applyFont="1" applyProtection="1">
      <protection locked="0"/>
    </xf>
    <xf numFmtId="0" fontId="27" fillId="0" borderId="11" xfId="0" applyFont="1" applyBorder="1" applyProtection="1">
      <protection hidden="1"/>
    </xf>
    <xf numFmtId="0" fontId="28" fillId="0" borderId="11" xfId="0" applyFont="1" applyBorder="1" applyProtection="1">
      <protection hidden="1"/>
    </xf>
    <xf numFmtId="0" fontId="28" fillId="0" borderId="10" xfId="0" applyFont="1" applyBorder="1" applyProtection="1">
      <protection hidden="1"/>
    </xf>
    <xf numFmtId="0" fontId="8" fillId="0" borderId="0" xfId="0" applyFont="1" applyAlignment="1" applyProtection="1">
      <alignment horizontal="center"/>
      <protection hidden="1"/>
    </xf>
    <xf numFmtId="0" fontId="29" fillId="0" borderId="0" xfId="0" applyFont="1" applyProtection="1">
      <protection hidden="1"/>
    </xf>
    <xf numFmtId="0" fontId="30" fillId="0" borderId="0" xfId="0" applyFont="1" applyProtection="1">
      <protection hidden="1"/>
    </xf>
    <xf numFmtId="0" fontId="9" fillId="0" borderId="10" xfId="0" applyFont="1" applyBorder="1"/>
    <xf numFmtId="0" fontId="9" fillId="0" borderId="12" xfId="0" applyFont="1" applyBorder="1"/>
    <xf numFmtId="0" fontId="9" fillId="0" borderId="11" xfId="0" applyFont="1" applyBorder="1"/>
    <xf numFmtId="0" fontId="9" fillId="0" borderId="13" xfId="0" applyFont="1" applyBorder="1"/>
    <xf numFmtId="0" fontId="24" fillId="0" borderId="9" xfId="0" applyFont="1" applyBorder="1" applyAlignment="1">
      <alignment horizontal="center"/>
    </xf>
    <xf numFmtId="0" fontId="24" fillId="0" borderId="0" xfId="0" applyFont="1" applyAlignment="1">
      <alignment horizontal="center"/>
    </xf>
    <xf numFmtId="0" fontId="24" fillId="0" borderId="10" xfId="0" applyFont="1" applyBorder="1" applyAlignment="1">
      <alignment horizontal="center"/>
    </xf>
    <xf numFmtId="0" fontId="25" fillId="0" borderId="9" xfId="0" applyFont="1" applyBorder="1" applyAlignment="1">
      <alignment horizontal="center"/>
    </xf>
    <xf numFmtId="0" fontId="25" fillId="0" borderId="10" xfId="0" applyFont="1" applyBorder="1" applyAlignment="1">
      <alignment horizontal="center"/>
    </xf>
    <xf numFmtId="0" fontId="9" fillId="0" borderId="14" xfId="0" applyFont="1" applyBorder="1" applyProtection="1">
      <protection hidden="1"/>
    </xf>
    <xf numFmtId="0" fontId="9" fillId="0" borderId="15" xfId="0" applyFont="1" applyBorder="1" applyProtection="1">
      <protection hidden="1"/>
    </xf>
    <xf numFmtId="0" fontId="25" fillId="0" borderId="16" xfId="0" applyFont="1" applyBorder="1" applyProtection="1">
      <protection locked="0"/>
    </xf>
    <xf numFmtId="0" fontId="9" fillId="0" borderId="16" xfId="0" applyFont="1" applyBorder="1" applyProtection="1">
      <protection hidden="1"/>
    </xf>
    <xf numFmtId="0" fontId="32" fillId="0" borderId="17" xfId="0" applyFont="1" applyBorder="1"/>
    <xf numFmtId="0" fontId="7" fillId="0" borderId="0" xfId="13" applyFont="1"/>
    <xf numFmtId="0" fontId="6" fillId="0" borderId="0" xfId="13" applyFont="1" applyAlignment="1">
      <alignment horizontal="center"/>
    </xf>
    <xf numFmtId="0" fontId="6" fillId="0" borderId="1" xfId="13" applyFont="1" applyBorder="1" applyAlignment="1">
      <alignment horizontal="center" vertical="center"/>
    </xf>
    <xf numFmtId="0" fontId="33" fillId="0" borderId="6" xfId="13" applyFont="1" applyBorder="1"/>
    <xf numFmtId="0" fontId="9" fillId="0" borderId="6" xfId="13" applyFont="1" applyBorder="1"/>
    <xf numFmtId="14" fontId="9" fillId="0" borderId="6" xfId="13" applyNumberFormat="1" applyFont="1" applyBorder="1"/>
    <xf numFmtId="10" fontId="9" fillId="0" borderId="6" xfId="13" applyNumberFormat="1" applyFont="1" applyBorder="1"/>
    <xf numFmtId="0" fontId="8" fillId="0" borderId="6" xfId="14" applyFont="1" applyBorder="1" applyAlignment="1">
      <alignment horizontal="center"/>
    </xf>
    <xf numFmtId="4" fontId="8" fillId="0" borderId="5" xfId="13" applyNumberFormat="1" applyFont="1" applyBorder="1"/>
    <xf numFmtId="0" fontId="8" fillId="0" borderId="5" xfId="13" quotePrefix="1" applyFont="1" applyBorder="1" applyAlignment="1">
      <alignment horizontal="center"/>
    </xf>
    <xf numFmtId="0" fontId="7" fillId="0" borderId="0" xfId="10" applyFont="1"/>
    <xf numFmtId="0" fontId="7" fillId="0" borderId="0" xfId="12" applyFont="1"/>
    <xf numFmtId="0" fontId="6" fillId="0" borderId="1" xfId="12" applyFont="1" applyBorder="1" applyAlignment="1">
      <alignment horizontal="center" vertical="top" wrapText="1"/>
    </xf>
    <xf numFmtId="0" fontId="6" fillId="0" borderId="2" xfId="12" quotePrefix="1" applyFont="1" applyBorder="1" applyAlignment="1">
      <alignment horizontal="center"/>
    </xf>
    <xf numFmtId="0" fontId="17" fillId="0" borderId="13" xfId="0" quotePrefix="1" applyFont="1" applyBorder="1" applyAlignment="1">
      <alignment horizontal="center"/>
    </xf>
    <xf numFmtId="0" fontId="6" fillId="0" borderId="8" xfId="0" applyFont="1" applyBorder="1" applyAlignment="1">
      <alignment horizontal="center" wrapText="1"/>
    </xf>
    <xf numFmtId="0" fontId="6" fillId="0" borderId="1" xfId="0" applyFont="1" applyBorder="1" applyAlignment="1">
      <alignment horizontal="center" wrapText="1"/>
    </xf>
    <xf numFmtId="4" fontId="8" fillId="0" borderId="5" xfId="0" quotePrefix="1" applyNumberFormat="1" applyFont="1" applyBorder="1" applyAlignment="1">
      <alignment horizontal="center"/>
    </xf>
    <xf numFmtId="0" fontId="7" fillId="0" borderId="0" xfId="18" applyFont="1"/>
    <xf numFmtId="0" fontId="6" fillId="0" borderId="0" xfId="18" applyFont="1" applyAlignment="1">
      <alignment horizontal="right"/>
    </xf>
    <xf numFmtId="4" fontId="6" fillId="0" borderId="0" xfId="18" applyNumberFormat="1" applyFont="1" applyAlignment="1">
      <alignment horizontal="left"/>
    </xf>
    <xf numFmtId="0" fontId="6" fillId="0" borderId="0" xfId="18" applyFont="1"/>
    <xf numFmtId="0" fontId="6" fillId="0" borderId="1" xfId="18" applyFont="1" applyBorder="1" applyAlignment="1">
      <alignment horizontal="center" vertical="top" wrapText="1"/>
    </xf>
    <xf numFmtId="0" fontId="7" fillId="0" borderId="0" xfId="18" applyFont="1" applyAlignment="1">
      <alignment horizontal="center" vertical="top" wrapText="1"/>
    </xf>
    <xf numFmtId="0" fontId="17" fillId="0" borderId="2" xfId="18" quotePrefix="1" applyFont="1" applyBorder="1" applyAlignment="1">
      <alignment horizontal="center" vertical="top" wrapText="1"/>
    </xf>
    <xf numFmtId="4" fontId="8" fillId="0" borderId="5" xfId="18" quotePrefix="1" applyNumberFormat="1" applyFont="1" applyBorder="1" applyAlignment="1">
      <alignment horizontal="center"/>
    </xf>
    <xf numFmtId="4" fontId="8" fillId="0" borderId="5" xfId="18" applyNumberFormat="1" applyFont="1" applyBorder="1"/>
    <xf numFmtId="0" fontId="23" fillId="0" borderId="0" xfId="18" applyFont="1"/>
    <xf numFmtId="0" fontId="25" fillId="0" borderId="16" xfId="0" applyFont="1" applyBorder="1" applyAlignment="1" applyProtection="1">
      <alignment horizontal="left"/>
      <protection locked="0"/>
    </xf>
    <xf numFmtId="0" fontId="7" fillId="0" borderId="0" xfId="17" applyFont="1"/>
    <xf numFmtId="0" fontId="6" fillId="0" borderId="17" xfId="17" applyFont="1" applyBorder="1" applyAlignment="1">
      <alignment horizontal="center"/>
    </xf>
    <xf numFmtId="0" fontId="6" fillId="0" borderId="1" xfId="17" applyFont="1" applyBorder="1" applyAlignment="1">
      <alignment horizontal="center"/>
    </xf>
    <xf numFmtId="0" fontId="22" fillId="0" borderId="6" xfId="17" applyFont="1" applyBorder="1"/>
    <xf numFmtId="4" fontId="9" fillId="0" borderId="6" xfId="17" applyNumberFormat="1" applyFont="1" applyBorder="1"/>
    <xf numFmtId="0" fontId="7" fillId="0" borderId="3" xfId="17" quotePrefix="1" applyFont="1" applyBorder="1"/>
    <xf numFmtId="4" fontId="9" fillId="0" borderId="3" xfId="17" applyNumberFormat="1" applyFont="1" applyBorder="1"/>
    <xf numFmtId="0" fontId="7" fillId="0" borderId="4" xfId="17" quotePrefix="1" applyFont="1" applyBorder="1"/>
    <xf numFmtId="0" fontId="6" fillId="0" borderId="18" xfId="17" applyFont="1" applyBorder="1" applyAlignment="1">
      <alignment horizontal="center"/>
    </xf>
    <xf numFmtId="4" fontId="8" fillId="0" borderId="5" xfId="17" applyNumberFormat="1" applyFont="1" applyBorder="1"/>
    <xf numFmtId="0" fontId="6" fillId="0" borderId="0" xfId="17" applyFont="1"/>
    <xf numFmtId="4" fontId="7" fillId="0" borderId="0" xfId="17" applyNumberFormat="1" applyFont="1"/>
    <xf numFmtId="4" fontId="9" fillId="0" borderId="6" xfId="0" applyNumberFormat="1" applyFont="1" applyBorder="1"/>
    <xf numFmtId="4" fontId="8" fillId="0" borderId="5" xfId="19" applyNumberFormat="1" applyFont="1" applyBorder="1" applyProtection="1">
      <protection hidden="1"/>
    </xf>
    <xf numFmtId="4" fontId="7" fillId="0" borderId="0" xfId="6" applyNumberFormat="1" applyFont="1" applyProtection="1">
      <protection hidden="1"/>
    </xf>
    <xf numFmtId="0" fontId="7" fillId="0" borderId="0" xfId="20" applyFont="1" applyProtection="1">
      <protection hidden="1"/>
    </xf>
    <xf numFmtId="0" fontId="7" fillId="0" borderId="0" xfId="19" applyFont="1" applyProtection="1">
      <protection hidden="1"/>
    </xf>
    <xf numFmtId="0" fontId="7" fillId="0" borderId="0" xfId="0" applyFont="1" applyAlignment="1">
      <alignment horizontal="center" vertical="center" wrapText="1"/>
    </xf>
    <xf numFmtId="4" fontId="7" fillId="0" borderId="0" xfId="19" applyNumberFormat="1" applyFont="1" applyProtection="1">
      <protection hidden="1"/>
    </xf>
    <xf numFmtId="0" fontId="7" fillId="0" borderId="0" xfId="19" applyFont="1"/>
    <xf numFmtId="4" fontId="7" fillId="0" borderId="0" xfId="19" applyNumberFormat="1" applyFont="1"/>
    <xf numFmtId="4" fontId="8" fillId="0" borderId="2" xfId="0" applyNumberFormat="1" applyFont="1" applyBorder="1"/>
    <xf numFmtId="0" fontId="6" fillId="0" borderId="0" xfId="9" quotePrefix="1" applyFont="1" applyAlignment="1">
      <alignment horizontal="center"/>
    </xf>
    <xf numFmtId="4" fontId="8" fillId="0" borderId="0" xfId="4" quotePrefix="1" applyNumberFormat="1" applyFont="1" applyAlignment="1" applyProtection="1">
      <alignment horizontal="right"/>
      <protection hidden="1"/>
    </xf>
    <xf numFmtId="0" fontId="6" fillId="0" borderId="5" xfId="9" applyFont="1" applyBorder="1" applyAlignment="1">
      <alignment horizontal="center"/>
    </xf>
    <xf numFmtId="0" fontId="22" fillId="0" borderId="6" xfId="9" applyFont="1" applyBorder="1"/>
    <xf numFmtId="4" fontId="9" fillId="0" borderId="1" xfId="9" applyNumberFormat="1" applyFont="1" applyBorder="1"/>
    <xf numFmtId="4" fontId="9" fillId="0" borderId="19" xfId="9" applyNumberFormat="1" applyFont="1" applyBorder="1"/>
    <xf numFmtId="0" fontId="7" fillId="0" borderId="3" xfId="9" quotePrefix="1" applyFont="1" applyBorder="1" applyAlignment="1">
      <alignment horizontal="left" indent="3"/>
    </xf>
    <xf numFmtId="4" fontId="8" fillId="0" borderId="5" xfId="9" applyNumberFormat="1" applyFont="1" applyBorder="1"/>
    <xf numFmtId="4" fontId="9" fillId="0" borderId="4" xfId="9" applyNumberFormat="1" applyFont="1" applyBorder="1"/>
    <xf numFmtId="0" fontId="22" fillId="0" borderId="3" xfId="9" applyFont="1" applyBorder="1"/>
    <xf numFmtId="4" fontId="9" fillId="0" borderId="3" xfId="9" applyNumberFormat="1" applyFont="1" applyBorder="1"/>
    <xf numFmtId="0" fontId="7" fillId="0" borderId="3" xfId="9" applyFont="1" applyBorder="1" applyAlignment="1">
      <alignment horizontal="left" indent="3"/>
    </xf>
    <xf numFmtId="0" fontId="6" fillId="0" borderId="5" xfId="9" applyFont="1" applyBorder="1" applyAlignment="1">
      <alignment horizontal="right"/>
    </xf>
    <xf numFmtId="4" fontId="9" fillId="0" borderId="6" xfId="9" applyNumberFormat="1" applyFont="1" applyBorder="1"/>
    <xf numFmtId="4" fontId="6" fillId="0" borderId="5" xfId="9" applyNumberFormat="1" applyFont="1" applyBorder="1" applyAlignment="1">
      <alignment horizontal="center"/>
    </xf>
    <xf numFmtId="0" fontId="7" fillId="0" borderId="3" xfId="9" applyFont="1" applyBorder="1"/>
    <xf numFmtId="0" fontId="23" fillId="0" borderId="0" xfId="9" applyFont="1"/>
    <xf numFmtId="0" fontId="7" fillId="0" borderId="0" xfId="9" applyFont="1"/>
    <xf numFmtId="4" fontId="7" fillId="0" borderId="0" xfId="9" applyNumberFormat="1" applyFont="1"/>
    <xf numFmtId="0" fontId="6" fillId="0" borderId="5" xfId="0" applyFont="1" applyBorder="1" applyAlignment="1">
      <alignment horizontal="center" vertical="top" wrapText="1"/>
    </xf>
    <xf numFmtId="0" fontId="0" fillId="0" borderId="5" xfId="0" applyBorder="1"/>
    <xf numFmtId="4" fontId="35" fillId="0" borderId="5" xfId="0" applyNumberFormat="1" applyFont="1" applyBorder="1" applyProtection="1">
      <protection hidden="1"/>
    </xf>
    <xf numFmtId="14" fontId="35" fillId="0" borderId="5" xfId="0" applyNumberFormat="1" applyFont="1" applyBorder="1" applyProtection="1">
      <protection hidden="1"/>
    </xf>
    <xf numFmtId="0" fontId="6" fillId="0" borderId="20" xfId="0" applyFont="1" applyBorder="1" applyAlignment="1">
      <alignment horizontal="center" vertical="top" wrapText="1"/>
    </xf>
    <xf numFmtId="0" fontId="6" fillId="0" borderId="2" xfId="0" applyFont="1" applyBorder="1" applyAlignment="1">
      <alignment vertical="top" wrapText="1"/>
    </xf>
    <xf numFmtId="0" fontId="6" fillId="0" borderId="5" xfId="19" applyFont="1" applyBorder="1" applyAlignment="1" applyProtection="1">
      <alignment horizontal="center" vertical="center" wrapText="1"/>
      <protection hidden="1"/>
    </xf>
    <xf numFmtId="0" fontId="17" fillId="0" borderId="13" xfId="18" quotePrefix="1" applyFont="1" applyBorder="1" applyAlignment="1">
      <alignment horizontal="center" vertical="top" wrapText="1"/>
    </xf>
    <xf numFmtId="0" fontId="6" fillId="0" borderId="5" xfId="19" quotePrefix="1" applyFont="1" applyBorder="1" applyAlignment="1" applyProtection="1">
      <alignment horizontal="center" vertical="center" wrapText="1"/>
      <protection hidden="1"/>
    </xf>
    <xf numFmtId="4" fontId="8" fillId="0" borderId="5" xfId="14" applyNumberFormat="1" applyFont="1" applyBorder="1" applyAlignment="1">
      <alignment horizontal="center"/>
    </xf>
    <xf numFmtId="3" fontId="8" fillId="0" borderId="5" xfId="18" applyNumberFormat="1" applyFont="1" applyBorder="1"/>
    <xf numFmtId="0" fontId="3" fillId="0" borderId="5" xfId="0" applyFont="1" applyBorder="1"/>
    <xf numFmtId="0" fontId="14" fillId="0" borderId="5" xfId="0" applyFont="1" applyBorder="1" applyAlignment="1">
      <alignment horizontal="center" wrapText="1"/>
    </xf>
    <xf numFmtId="4" fontId="14" fillId="0" borderId="5" xfId="0" applyNumberFormat="1" applyFont="1" applyBorder="1" applyAlignment="1">
      <alignment horizontal="center" wrapText="1"/>
    </xf>
    <xf numFmtId="0" fontId="9" fillId="0" borderId="2" xfId="0" applyFont="1" applyBorder="1"/>
    <xf numFmtId="4" fontId="9" fillId="0" borderId="2" xfId="0" applyNumberFormat="1" applyFont="1" applyBorder="1"/>
    <xf numFmtId="0" fontId="9" fillId="0" borderId="6" xfId="0" applyFont="1" applyBorder="1"/>
    <xf numFmtId="4" fontId="9" fillId="0" borderId="21" xfId="0" applyNumberFormat="1" applyFont="1" applyBorder="1"/>
    <xf numFmtId="4" fontId="9" fillId="0" borderId="22" xfId="0" applyNumberFormat="1" applyFont="1" applyBorder="1"/>
    <xf numFmtId="4" fontId="9" fillId="2" borderId="21" xfId="0" applyNumberFormat="1" applyFont="1" applyFill="1" applyBorder="1"/>
    <xf numFmtId="4" fontId="9" fillId="2" borderId="22" xfId="0" applyNumberFormat="1" applyFont="1" applyFill="1" applyBorder="1"/>
    <xf numFmtId="0" fontId="6" fillId="0" borderId="12" xfId="12" quotePrefix="1" applyFont="1" applyBorder="1" applyAlignment="1">
      <alignment horizontal="center"/>
    </xf>
    <xf numFmtId="4" fontId="8" fillId="0" borderId="5" xfId="13" quotePrefix="1" applyNumberFormat="1" applyFont="1" applyBorder="1" applyAlignment="1">
      <alignment horizontal="center"/>
    </xf>
    <xf numFmtId="0" fontId="0" fillId="0" borderId="1" xfId="0" applyBorder="1"/>
    <xf numFmtId="0" fontId="0" fillId="0" borderId="23" xfId="0" applyBorder="1"/>
    <xf numFmtId="0" fontId="0" fillId="0" borderId="2" xfId="0" applyBorder="1"/>
    <xf numFmtId="0" fontId="3" fillId="0" borderId="24" xfId="0" applyFont="1" applyBorder="1"/>
    <xf numFmtId="0" fontId="0" fillId="0" borderId="24" xfId="0" applyBorder="1"/>
    <xf numFmtId="0" fontId="0" fillId="0" borderId="25" xfId="0" applyBorder="1"/>
    <xf numFmtId="0" fontId="3" fillId="0" borderId="26" xfId="0" applyFont="1" applyBorder="1"/>
    <xf numFmtId="0" fontId="0" fillId="0" borderId="27" xfId="0" applyBorder="1"/>
    <xf numFmtId="0" fontId="0" fillId="0" borderId="26" xfId="0" applyBorder="1"/>
    <xf numFmtId="0" fontId="7" fillId="0" borderId="28" xfId="0" applyFont="1" applyBorder="1"/>
    <xf numFmtId="0" fontId="0" fillId="0" borderId="29" xfId="0" applyBorder="1"/>
    <xf numFmtId="0" fontId="7" fillId="0" borderId="14" xfId="0" applyFont="1" applyBorder="1"/>
    <xf numFmtId="0" fontId="0" fillId="0" borderId="30" xfId="0" applyBorder="1"/>
    <xf numFmtId="0" fontId="7" fillId="0" borderId="31" xfId="0" applyFont="1" applyBorder="1"/>
    <xf numFmtId="0" fontId="0" fillId="0" borderId="33" xfId="0" applyBorder="1"/>
    <xf numFmtId="0" fontId="0" fillId="0" borderId="34" xfId="0" applyBorder="1"/>
    <xf numFmtId="0" fontId="0" fillId="0" borderId="22" xfId="0" applyBorder="1"/>
    <xf numFmtId="0" fontId="35" fillId="0" borderId="33" xfId="0" applyFont="1" applyBorder="1"/>
    <xf numFmtId="0" fontId="35" fillId="0" borderId="34" xfId="0" applyFont="1" applyBorder="1"/>
    <xf numFmtId="0" fontId="35" fillId="0" borderId="22" xfId="0" applyFont="1" applyBorder="1"/>
    <xf numFmtId="0" fontId="0" fillId="0" borderId="36" xfId="0" applyBorder="1"/>
    <xf numFmtId="0" fontId="0" fillId="0" borderId="37" xfId="0" applyBorder="1"/>
    <xf numFmtId="0" fontId="35" fillId="0" borderId="26" xfId="0" applyFont="1" applyBorder="1"/>
    <xf numFmtId="4" fontId="35" fillId="0" borderId="27" xfId="0" applyNumberFormat="1" applyFont="1" applyBorder="1" applyProtection="1">
      <protection hidden="1"/>
    </xf>
    <xf numFmtId="0" fontId="35" fillId="0" borderId="26" xfId="0" applyFont="1" applyBorder="1" applyProtection="1">
      <protection hidden="1"/>
    </xf>
    <xf numFmtId="14" fontId="35" fillId="0" borderId="27" xfId="0" applyNumberFormat="1" applyFont="1" applyBorder="1" applyProtection="1">
      <protection hidden="1"/>
    </xf>
    <xf numFmtId="0" fontId="35" fillId="0" borderId="38" xfId="0" applyFont="1" applyBorder="1" applyProtection="1">
      <protection hidden="1"/>
    </xf>
    <xf numFmtId="14" fontId="35" fillId="0" borderId="24" xfId="0" applyNumberFormat="1" applyFont="1" applyBorder="1" applyProtection="1">
      <protection hidden="1"/>
    </xf>
    <xf numFmtId="14" fontId="35" fillId="0" borderId="25" xfId="0" applyNumberFormat="1" applyFont="1" applyBorder="1" applyProtection="1">
      <protection hidden="1"/>
    </xf>
    <xf numFmtId="0" fontId="14" fillId="5" borderId="39" xfId="0" applyFont="1" applyFill="1" applyBorder="1" applyAlignment="1" applyProtection="1">
      <alignment horizontal="center"/>
      <protection hidden="1"/>
    </xf>
    <xf numFmtId="0" fontId="14" fillId="5" borderId="40" xfId="0" applyFont="1" applyFill="1" applyBorder="1" applyAlignment="1" applyProtection="1">
      <alignment horizontal="center"/>
      <protection hidden="1"/>
    </xf>
    <xf numFmtId="0" fontId="14" fillId="5" borderId="41" xfId="0" applyFont="1" applyFill="1" applyBorder="1" applyAlignment="1" applyProtection="1">
      <alignment horizontal="center"/>
      <protection hidden="1"/>
    </xf>
    <xf numFmtId="0" fontId="14" fillId="5" borderId="42" xfId="0" applyFont="1" applyFill="1" applyBorder="1" applyAlignment="1" applyProtection="1">
      <alignment horizontal="center"/>
      <protection hidden="1"/>
    </xf>
    <xf numFmtId="0" fontId="14" fillId="5" borderId="39" xfId="0" applyFont="1" applyFill="1" applyBorder="1" applyAlignment="1">
      <alignment horizontal="center"/>
    </xf>
    <xf numFmtId="0" fontId="14" fillId="5" borderId="40" xfId="0" applyFont="1" applyFill="1" applyBorder="1" applyAlignment="1">
      <alignment horizontal="center"/>
    </xf>
    <xf numFmtId="0" fontId="0" fillId="5" borderId="40" xfId="0" applyFill="1" applyBorder="1" applyAlignment="1">
      <alignment horizontal="center"/>
    </xf>
    <xf numFmtId="0" fontId="14" fillId="5" borderId="41" xfId="0" applyFont="1" applyFill="1" applyBorder="1" applyAlignment="1">
      <alignment horizontal="center"/>
    </xf>
    <xf numFmtId="0" fontId="3" fillId="0" borderId="38" xfId="0" applyFont="1" applyBorder="1"/>
    <xf numFmtId="0" fontId="3" fillId="0" borderId="26" xfId="0" applyFont="1" applyBorder="1" applyProtection="1">
      <protection hidden="1"/>
    </xf>
    <xf numFmtId="0" fontId="0" fillId="0" borderId="24" xfId="0" applyBorder="1" applyAlignment="1">
      <alignment horizontal="center"/>
    </xf>
    <xf numFmtId="0" fontId="3" fillId="0" borderId="24" xfId="0" applyFont="1" applyBorder="1" applyAlignment="1">
      <alignment horizontal="center"/>
    </xf>
    <xf numFmtId="0" fontId="8" fillId="0" borderId="18" xfId="0" applyFont="1" applyBorder="1" applyAlignment="1">
      <alignment horizontal="center" vertical="center" wrapText="1"/>
    </xf>
    <xf numFmtId="0" fontId="3" fillId="0" borderId="1" xfId="0" applyFont="1" applyBorder="1"/>
    <xf numFmtId="0" fontId="8" fillId="0" borderId="5" xfId="0" applyFont="1" applyBorder="1" applyAlignment="1">
      <alignment horizontal="center" vertical="center" wrapText="1"/>
    </xf>
    <xf numFmtId="0" fontId="8" fillId="0" borderId="26" xfId="0" applyFont="1" applyBorder="1" applyAlignment="1">
      <alignment horizontal="center" vertical="center" wrapText="1"/>
    </xf>
    <xf numFmtId="0" fontId="8" fillId="6" borderId="0" xfId="0" applyFont="1" applyFill="1" applyProtection="1">
      <protection hidden="1"/>
    </xf>
    <xf numFmtId="0" fontId="9" fillId="6" borderId="0" xfId="0" applyFont="1" applyFill="1"/>
    <xf numFmtId="4" fontId="8" fillId="6" borderId="0" xfId="4" quotePrefix="1" applyNumberFormat="1" applyFont="1" applyFill="1" applyAlignment="1" applyProtection="1">
      <alignment horizontal="right"/>
      <protection hidden="1"/>
    </xf>
    <xf numFmtId="0" fontId="8" fillId="0" borderId="5" xfId="0" applyFont="1" applyBorder="1" applyAlignment="1">
      <alignment vertical="center" wrapText="1"/>
    </xf>
    <xf numFmtId="0" fontId="6" fillId="0" borderId="18" xfId="0" applyFont="1" applyBorder="1" applyAlignment="1">
      <alignment horizontal="center"/>
    </xf>
    <xf numFmtId="0" fontId="6" fillId="0" borderId="43" xfId="0" applyFont="1" applyBorder="1" applyAlignment="1">
      <alignment horizontal="center"/>
    </xf>
    <xf numFmtId="0" fontId="6" fillId="0" borderId="20" xfId="0" applyFont="1" applyBorder="1" applyAlignment="1">
      <alignment horizontal="center"/>
    </xf>
    <xf numFmtId="0" fontId="9" fillId="0" borderId="3" xfId="0" applyFont="1" applyBorder="1" applyProtection="1">
      <protection locked="0"/>
    </xf>
    <xf numFmtId="14" fontId="9" fillId="0" borderId="3" xfId="0" applyNumberFormat="1" applyFont="1" applyBorder="1" applyAlignment="1" applyProtection="1">
      <alignment horizontal="center"/>
      <protection locked="0"/>
    </xf>
    <xf numFmtId="4" fontId="9" fillId="0" borderId="3" xfId="0" applyNumberFormat="1" applyFont="1" applyBorder="1" applyProtection="1">
      <protection locked="0"/>
    </xf>
    <xf numFmtId="0" fontId="7" fillId="0" borderId="0" xfId="0" applyFont="1" applyProtection="1">
      <protection locked="0"/>
    </xf>
    <xf numFmtId="0" fontId="0" fillId="0" borderId="0" xfId="0" applyAlignment="1" applyProtection="1">
      <alignment horizontal="left"/>
      <protection locked="0"/>
    </xf>
    <xf numFmtId="4" fontId="0" fillId="0" borderId="0" xfId="0" applyNumberFormat="1" applyProtection="1">
      <protection locked="0"/>
    </xf>
    <xf numFmtId="0" fontId="0" fillId="0" borderId="0" xfId="0" applyProtection="1">
      <protection locked="0"/>
    </xf>
    <xf numFmtId="0" fontId="26" fillId="0" borderId="0" xfId="0" applyFont="1" applyProtection="1">
      <protection locked="0"/>
    </xf>
    <xf numFmtId="0" fontId="7" fillId="0" borderId="3" xfId="9" quotePrefix="1" applyFont="1" applyBorder="1" applyAlignment="1" applyProtection="1">
      <alignment horizontal="left" indent="3"/>
      <protection locked="0"/>
    </xf>
    <xf numFmtId="0" fontId="7" fillId="0" borderId="3" xfId="9" applyFont="1" applyBorder="1" applyAlignment="1" applyProtection="1">
      <alignment horizontal="left" indent="3"/>
      <protection locked="0"/>
    </xf>
    <xf numFmtId="4" fontId="8" fillId="0" borderId="23" xfId="9" applyNumberFormat="1" applyFont="1" applyBorder="1" applyProtection="1">
      <protection locked="0"/>
    </xf>
    <xf numFmtId="4" fontId="8" fillId="0" borderId="44" xfId="9" applyNumberFormat="1" applyFont="1" applyBorder="1" applyProtection="1">
      <protection locked="0"/>
    </xf>
    <xf numFmtId="4" fontId="9" fillId="0" borderId="4" xfId="9" applyNumberFormat="1" applyFont="1" applyBorder="1" applyProtection="1">
      <protection locked="0"/>
    </xf>
    <xf numFmtId="4" fontId="8" fillId="0" borderId="2" xfId="9" applyNumberFormat="1" applyFont="1" applyBorder="1" applyProtection="1">
      <protection locked="0"/>
    </xf>
    <xf numFmtId="4" fontId="8" fillId="0" borderId="45" xfId="9" applyNumberFormat="1" applyFont="1" applyBorder="1" applyProtection="1">
      <protection locked="0"/>
    </xf>
    <xf numFmtId="0" fontId="7" fillId="0" borderId="4" xfId="9" applyFont="1" applyBorder="1" applyAlignment="1" applyProtection="1">
      <alignment horizontal="left" indent="3"/>
      <protection locked="0"/>
    </xf>
    <xf numFmtId="4" fontId="9" fillId="7" borderId="2" xfId="7" applyNumberFormat="1" applyFont="1" applyFill="1" applyBorder="1" applyProtection="1">
      <protection locked="0"/>
    </xf>
    <xf numFmtId="4" fontId="6" fillId="0" borderId="18" xfId="0" applyNumberFormat="1" applyFont="1" applyBorder="1" applyAlignment="1">
      <alignment horizontal="center"/>
    </xf>
    <xf numFmtId="4" fontId="6" fillId="0" borderId="20" xfId="0" applyNumberFormat="1" applyFont="1" applyBorder="1" applyAlignment="1">
      <alignment horizontal="center"/>
    </xf>
    <xf numFmtId="0" fontId="3" fillId="0" borderId="33" xfId="0" applyFont="1" applyBorder="1"/>
    <xf numFmtId="4" fontId="9" fillId="7" borderId="6" xfId="19" applyNumberFormat="1" applyFont="1" applyFill="1" applyBorder="1" applyProtection="1">
      <protection locked="0"/>
    </xf>
    <xf numFmtId="4" fontId="9" fillId="7" borderId="46" xfId="19" applyNumberFormat="1" applyFont="1" applyFill="1" applyBorder="1" applyProtection="1">
      <protection locked="0"/>
    </xf>
    <xf numFmtId="4" fontId="9" fillId="7" borderId="3" xfId="19" applyNumberFormat="1" applyFont="1" applyFill="1" applyBorder="1" applyProtection="1">
      <protection locked="0"/>
    </xf>
    <xf numFmtId="4" fontId="9" fillId="7" borderId="47" xfId="19" applyNumberFormat="1" applyFont="1" applyFill="1" applyBorder="1" applyProtection="1">
      <protection locked="0"/>
    </xf>
    <xf numFmtId="4" fontId="9" fillId="7" borderId="4" xfId="19" applyNumberFormat="1" applyFont="1" applyFill="1" applyBorder="1" applyProtection="1">
      <protection locked="0"/>
    </xf>
    <xf numFmtId="4" fontId="9" fillId="7" borderId="48" xfId="19" applyNumberFormat="1" applyFont="1" applyFill="1" applyBorder="1" applyProtection="1">
      <protection locked="0"/>
    </xf>
    <xf numFmtId="4" fontId="9" fillId="7" borderId="49" xfId="19" applyNumberFormat="1" applyFont="1" applyFill="1" applyBorder="1" applyProtection="1">
      <protection locked="0"/>
    </xf>
    <xf numFmtId="4" fontId="9" fillId="7" borderId="50" xfId="19" applyNumberFormat="1" applyFont="1" applyFill="1" applyBorder="1" applyProtection="1">
      <protection locked="0"/>
    </xf>
    <xf numFmtId="0" fontId="7" fillId="7" borderId="49" xfId="19" quotePrefix="1" applyFont="1" applyFill="1" applyBorder="1" applyAlignment="1" applyProtection="1">
      <alignment horizontal="left" indent="1"/>
      <protection locked="0"/>
    </xf>
    <xf numFmtId="4" fontId="9" fillId="7" borderId="6" xfId="0" applyNumberFormat="1" applyFont="1" applyFill="1" applyBorder="1" applyProtection="1">
      <protection locked="0"/>
    </xf>
    <xf numFmtId="4" fontId="9" fillId="7" borderId="3" xfId="0" applyNumberFormat="1" applyFont="1" applyFill="1" applyBorder="1" applyProtection="1">
      <protection locked="0"/>
    </xf>
    <xf numFmtId="4" fontId="9" fillId="7" borderId="4" xfId="0" applyNumberFormat="1" applyFont="1" applyFill="1" applyBorder="1" applyProtection="1">
      <protection locked="0"/>
    </xf>
    <xf numFmtId="0" fontId="7" fillId="0" borderId="3" xfId="15" applyFont="1" applyBorder="1" applyProtection="1">
      <protection locked="0"/>
    </xf>
    <xf numFmtId="14" fontId="9" fillId="0" borderId="3" xfId="15" applyNumberFormat="1" applyFont="1" applyBorder="1" applyAlignment="1" applyProtection="1">
      <alignment horizontal="center"/>
      <protection locked="0"/>
    </xf>
    <xf numFmtId="4" fontId="9" fillId="0" borderId="3" xfId="15" applyNumberFormat="1" applyFont="1" applyBorder="1" applyProtection="1">
      <protection locked="0"/>
    </xf>
    <xf numFmtId="4" fontId="9" fillId="0" borderId="3" xfId="15" quotePrefix="1" applyNumberFormat="1" applyFont="1" applyBorder="1" applyProtection="1">
      <protection locked="0"/>
    </xf>
    <xf numFmtId="10" fontId="9" fillId="0" borderId="3" xfId="22" applyNumberFormat="1" applyFont="1" applyFill="1" applyBorder="1" applyAlignment="1" applyProtection="1">
      <protection locked="0"/>
    </xf>
    <xf numFmtId="3" fontId="9" fillId="0" borderId="3" xfId="15" applyNumberFormat="1" applyFont="1" applyBorder="1" applyProtection="1">
      <protection locked="0"/>
    </xf>
    <xf numFmtId="1" fontId="9" fillId="0" borderId="3" xfId="0" applyNumberFormat="1" applyFont="1" applyBorder="1" applyAlignment="1" applyProtection="1">
      <alignment horizontal="center"/>
      <protection locked="0"/>
    </xf>
    <xf numFmtId="10" fontId="9" fillId="0" borderId="3" xfId="22" applyNumberFormat="1" applyFont="1" applyBorder="1" applyProtection="1">
      <protection locked="0"/>
    </xf>
    <xf numFmtId="4" fontId="9" fillId="7" borderId="6" xfId="10" applyNumberFormat="1" applyFont="1" applyFill="1" applyBorder="1" applyProtection="1">
      <protection locked="0"/>
    </xf>
    <xf numFmtId="4" fontId="9" fillId="7" borderId="0" xfId="3" applyNumberFormat="1" applyFont="1" applyFill="1" applyProtection="1">
      <protection locked="0"/>
    </xf>
    <xf numFmtId="4" fontId="9" fillId="7" borderId="4" xfId="10" applyNumberFormat="1" applyFont="1" applyFill="1" applyBorder="1" applyProtection="1">
      <protection locked="0"/>
    </xf>
    <xf numFmtId="4" fontId="8" fillId="7" borderId="5" xfId="10" applyNumberFormat="1" applyFont="1" applyFill="1" applyBorder="1" applyProtection="1">
      <protection locked="0"/>
    </xf>
    <xf numFmtId="4" fontId="8" fillId="7" borderId="0" xfId="3" applyNumberFormat="1" applyFont="1" applyFill="1" applyProtection="1">
      <protection locked="0"/>
    </xf>
    <xf numFmtId="4" fontId="46" fillId="7" borderId="5" xfId="10" applyNumberFormat="1" applyFont="1" applyFill="1" applyBorder="1" applyProtection="1">
      <protection locked="0"/>
    </xf>
    <xf numFmtId="0" fontId="9" fillId="0" borderId="3" xfId="18" applyFont="1" applyBorder="1" applyProtection="1">
      <protection locked="0"/>
    </xf>
    <xf numFmtId="0" fontId="9" fillId="0" borderId="3" xfId="18" applyFont="1" applyBorder="1" applyAlignment="1" applyProtection="1">
      <alignment horizontal="left"/>
      <protection locked="0"/>
    </xf>
    <xf numFmtId="3" fontId="9" fillId="0" borderId="3" xfId="18" applyNumberFormat="1" applyFont="1" applyBorder="1" applyProtection="1">
      <protection locked="0"/>
    </xf>
    <xf numFmtId="4" fontId="9" fillId="0" borderId="3" xfId="18" applyNumberFormat="1" applyFont="1" applyBorder="1" applyProtection="1">
      <protection locked="0"/>
    </xf>
    <xf numFmtId="0" fontId="7" fillId="0" borderId="0" xfId="18" applyFont="1" applyProtection="1">
      <protection locked="0"/>
    </xf>
    <xf numFmtId="0" fontId="9" fillId="0" borderId="0" xfId="0" applyFont="1" applyProtection="1">
      <protection locked="0"/>
    </xf>
    <xf numFmtId="4" fontId="9" fillId="0" borderId="6" xfId="14" applyNumberFormat="1" applyFont="1" applyBorder="1" applyProtection="1">
      <protection locked="0"/>
    </xf>
    <xf numFmtId="4" fontId="9" fillId="0" borderId="3" xfId="14" applyNumberFormat="1" applyFont="1" applyBorder="1" applyProtection="1">
      <protection locked="0"/>
    </xf>
    <xf numFmtId="4" fontId="8" fillId="0" borderId="3" xfId="14" applyNumberFormat="1" applyFont="1" applyBorder="1" applyAlignment="1" applyProtection="1">
      <alignment horizontal="center"/>
      <protection locked="0"/>
    </xf>
    <xf numFmtId="4" fontId="9" fillId="0" borderId="4" xfId="14" applyNumberFormat="1" applyFont="1" applyBorder="1" applyProtection="1">
      <protection locked="0"/>
    </xf>
    <xf numFmtId="0" fontId="9" fillId="0" borderId="3" xfId="13" applyFont="1" applyBorder="1" applyAlignment="1" applyProtection="1">
      <alignment vertical="top" wrapText="1"/>
      <protection locked="0"/>
    </xf>
    <xf numFmtId="0" fontId="9" fillId="0" borderId="3" xfId="18" applyFont="1" applyBorder="1" applyAlignment="1" applyProtection="1">
      <alignment vertical="top" wrapText="1"/>
      <protection locked="0"/>
    </xf>
    <xf numFmtId="4" fontId="9" fillId="0" borderId="3" xfId="13" applyNumberFormat="1" applyFont="1" applyBorder="1" applyAlignment="1" applyProtection="1">
      <alignment vertical="top" wrapText="1"/>
      <protection locked="0"/>
    </xf>
    <xf numFmtId="14" fontId="9" fillId="0" borderId="3" xfId="13" applyNumberFormat="1" applyFont="1" applyBorder="1" applyAlignment="1" applyProtection="1">
      <alignment vertical="top" wrapText="1"/>
      <protection locked="0"/>
    </xf>
    <xf numFmtId="0" fontId="9" fillId="0" borderId="3" xfId="13" applyFont="1" applyBorder="1" applyAlignment="1" applyProtection="1">
      <alignment horizontal="center" vertical="top" wrapText="1"/>
      <protection locked="0"/>
    </xf>
    <xf numFmtId="10" fontId="9" fillId="0" borderId="3" xfId="13" applyNumberFormat="1" applyFont="1" applyBorder="1" applyAlignment="1" applyProtection="1">
      <alignment vertical="top" wrapText="1"/>
      <protection locked="0"/>
    </xf>
    <xf numFmtId="0" fontId="7" fillId="0" borderId="0" xfId="13" applyFont="1" applyAlignment="1" applyProtection="1">
      <alignment vertical="top" wrapText="1"/>
      <protection locked="0"/>
    </xf>
    <xf numFmtId="0" fontId="9" fillId="0" borderId="6" xfId="12" applyFont="1" applyBorder="1" applyAlignment="1" applyProtection="1">
      <alignment vertical="top" wrapText="1"/>
      <protection locked="0"/>
    </xf>
    <xf numFmtId="0" fontId="9" fillId="0" borderId="6" xfId="12" applyFont="1" applyBorder="1" applyAlignment="1" applyProtection="1">
      <alignment horizontal="left" vertical="top" wrapText="1"/>
      <protection locked="0"/>
    </xf>
    <xf numFmtId="14" fontId="9" fillId="0" borderId="1" xfId="12" applyNumberFormat="1" applyFont="1" applyBorder="1" applyAlignment="1" applyProtection="1">
      <alignment horizontal="center" vertical="top" wrapText="1"/>
      <protection locked="0"/>
    </xf>
    <xf numFmtId="4" fontId="9" fillId="0" borderId="6" xfId="12" applyNumberFormat="1" applyFont="1" applyBorder="1" applyAlignment="1" applyProtection="1">
      <alignment vertical="top" wrapText="1"/>
      <protection locked="0"/>
    </xf>
    <xf numFmtId="0" fontId="9" fillId="0" borderId="6" xfId="12" applyFont="1" applyBorder="1" applyAlignment="1" applyProtection="1">
      <alignment horizontal="center" vertical="top" wrapText="1"/>
      <protection locked="0"/>
    </xf>
    <xf numFmtId="0" fontId="9" fillId="0" borderId="6" xfId="12" applyFont="1" applyBorder="1" applyAlignment="1" applyProtection="1">
      <alignment horizontal="right" vertical="top" wrapText="1"/>
      <protection locked="0"/>
    </xf>
    <xf numFmtId="0" fontId="7" fillId="0" borderId="0" xfId="0" applyFont="1" applyAlignment="1" applyProtection="1">
      <alignment vertical="top" wrapText="1"/>
      <protection locked="0"/>
    </xf>
    <xf numFmtId="0" fontId="9" fillId="0" borderId="3" xfId="12" applyFont="1" applyBorder="1" applyAlignment="1" applyProtection="1">
      <alignment vertical="top" wrapText="1"/>
      <protection locked="0"/>
    </xf>
    <xf numFmtId="0" fontId="9" fillId="0" borderId="3" xfId="12" applyFont="1" applyBorder="1" applyAlignment="1" applyProtection="1">
      <alignment horizontal="left" vertical="top" wrapText="1"/>
      <protection locked="0"/>
    </xf>
    <xf numFmtId="14" fontId="9" fillId="0" borderId="3" xfId="12" applyNumberFormat="1" applyFont="1" applyBorder="1" applyAlignment="1" applyProtection="1">
      <alignment horizontal="center" vertical="top" wrapText="1"/>
      <protection locked="0"/>
    </xf>
    <xf numFmtId="4" fontId="9" fillId="0" borderId="3" xfId="12" applyNumberFormat="1" applyFont="1" applyBorder="1" applyAlignment="1" applyProtection="1">
      <alignment vertical="top" wrapText="1"/>
      <protection locked="0"/>
    </xf>
    <xf numFmtId="0" fontId="9" fillId="0" borderId="3" xfId="12" quotePrefix="1" applyFont="1" applyBorder="1" applyAlignment="1" applyProtection="1">
      <alignment horizontal="left" vertical="top" wrapText="1"/>
      <protection locked="0"/>
    </xf>
    <xf numFmtId="14" fontId="9" fillId="0" borderId="3" xfId="12" applyNumberFormat="1" applyFont="1" applyBorder="1" applyAlignment="1" applyProtection="1">
      <alignment vertical="top" wrapText="1"/>
      <protection locked="0"/>
    </xf>
    <xf numFmtId="0" fontId="7" fillId="7" borderId="3" xfId="9" applyFont="1" applyFill="1" applyBorder="1" applyAlignment="1" applyProtection="1">
      <alignment horizontal="left" indent="3"/>
      <protection locked="0"/>
    </xf>
    <xf numFmtId="4" fontId="9" fillId="7" borderId="3" xfId="9" applyNumberFormat="1" applyFont="1" applyFill="1" applyBorder="1" applyProtection="1">
      <protection locked="0"/>
    </xf>
    <xf numFmtId="0" fontId="7" fillId="7" borderId="3" xfId="9" quotePrefix="1" applyFont="1" applyFill="1" applyBorder="1" applyAlignment="1" applyProtection="1">
      <alignment horizontal="left" indent="3"/>
      <protection locked="0"/>
    </xf>
    <xf numFmtId="4" fontId="9" fillId="7" borderId="51" xfId="9" applyNumberFormat="1" applyFont="1" applyFill="1" applyBorder="1" applyProtection="1">
      <protection locked="0"/>
    </xf>
    <xf numFmtId="4" fontId="9" fillId="7" borderId="1" xfId="9" applyNumberFormat="1" applyFont="1" applyFill="1" applyBorder="1" applyProtection="1">
      <protection locked="0"/>
    </xf>
    <xf numFmtId="4" fontId="9" fillId="7" borderId="44" xfId="9" applyNumberFormat="1" applyFont="1" applyFill="1" applyBorder="1" applyProtection="1">
      <protection locked="0"/>
    </xf>
    <xf numFmtId="4" fontId="9" fillId="7" borderId="2" xfId="9" applyNumberFormat="1" applyFont="1" applyFill="1" applyBorder="1" applyProtection="1">
      <protection locked="0"/>
    </xf>
    <xf numFmtId="4" fontId="8" fillId="7" borderId="23" xfId="9" applyNumberFormat="1" applyFont="1" applyFill="1" applyBorder="1" applyProtection="1">
      <protection locked="0"/>
    </xf>
    <xf numFmtId="4" fontId="9" fillId="7" borderId="23" xfId="9" applyNumberFormat="1" applyFont="1" applyFill="1" applyBorder="1" applyProtection="1">
      <protection locked="0"/>
    </xf>
    <xf numFmtId="4" fontId="9" fillId="7" borderId="52" xfId="9" applyNumberFormat="1" applyFont="1" applyFill="1" applyBorder="1" applyProtection="1">
      <protection locked="0"/>
    </xf>
    <xf numFmtId="0" fontId="6" fillId="0" borderId="3" xfId="9" applyFont="1" applyBorder="1" applyAlignment="1">
      <alignment horizontal="left" indent="1"/>
    </xf>
    <xf numFmtId="0" fontId="6" fillId="0" borderId="12" xfId="19" applyFont="1" applyBorder="1"/>
    <xf numFmtId="4" fontId="8" fillId="0" borderId="2" xfId="19" applyNumberFormat="1" applyFont="1" applyBorder="1"/>
    <xf numFmtId="4" fontId="8" fillId="0" borderId="13" xfId="19" applyNumberFormat="1" applyFont="1" applyBorder="1"/>
    <xf numFmtId="0" fontId="6" fillId="0" borderId="5" xfId="19" applyFont="1" applyBorder="1"/>
    <xf numFmtId="4" fontId="8" fillId="0" borderId="5" xfId="19" applyNumberFormat="1" applyFont="1" applyBorder="1"/>
    <xf numFmtId="0" fontId="6" fillId="0" borderId="5" xfId="19" applyFont="1" applyBorder="1" applyAlignment="1">
      <alignment horizontal="right"/>
    </xf>
    <xf numFmtId="4" fontId="9" fillId="0" borderId="6" xfId="19" applyNumberFormat="1" applyFont="1" applyBorder="1"/>
    <xf numFmtId="4" fontId="9" fillId="0" borderId="3" xfId="19" applyNumberFormat="1" applyFont="1" applyBorder="1"/>
    <xf numFmtId="4" fontId="9" fillId="0" borderId="4" xfId="19" applyNumberFormat="1" applyFont="1" applyBorder="1"/>
    <xf numFmtId="0" fontId="7" fillId="0" borderId="53" xfId="19" quotePrefix="1" applyFont="1" applyBorder="1" applyAlignment="1">
      <alignment horizontal="left" indent="1"/>
    </xf>
    <xf numFmtId="0" fontId="7" fillId="0" borderId="49" xfId="19" quotePrefix="1" applyFont="1" applyBorder="1" applyAlignment="1">
      <alignment horizontal="left" indent="1"/>
    </xf>
    <xf numFmtId="0" fontId="7" fillId="0" borderId="54" xfId="19" quotePrefix="1" applyFont="1" applyBorder="1" applyAlignment="1">
      <alignment horizontal="left" indent="1"/>
    </xf>
    <xf numFmtId="0" fontId="8" fillId="0" borderId="0" xfId="0" applyFont="1"/>
    <xf numFmtId="4" fontId="7" fillId="0" borderId="0" xfId="4" applyNumberFormat="1" applyFont="1"/>
    <xf numFmtId="4" fontId="6" fillId="0" borderId="0" xfId="4" quotePrefix="1" applyNumberFormat="1" applyFont="1" applyAlignment="1">
      <alignment horizontal="left"/>
    </xf>
    <xf numFmtId="4" fontId="6" fillId="0" borderId="0" xfId="4" applyNumberFormat="1" applyFont="1"/>
    <xf numFmtId="0" fontId="8" fillId="0" borderId="0" xfId="0" applyFont="1" applyAlignment="1">
      <alignment horizontal="right"/>
    </xf>
    <xf numFmtId="4" fontId="6" fillId="0" borderId="1" xfId="4" applyNumberFormat="1" applyFont="1" applyBorder="1" applyAlignment="1">
      <alignment horizontal="center" vertical="center" wrapText="1"/>
    </xf>
    <xf numFmtId="4" fontId="6" fillId="0" borderId="17" xfId="4" applyNumberFormat="1" applyFont="1" applyBorder="1" applyAlignment="1">
      <alignment horizontal="center" vertical="center" wrapText="1"/>
    </xf>
    <xf numFmtId="4" fontId="6" fillId="0" borderId="2" xfId="4" applyNumberFormat="1" applyFont="1" applyBorder="1"/>
    <xf numFmtId="4" fontId="8" fillId="0" borderId="5" xfId="4" applyNumberFormat="1" applyFont="1" applyBorder="1"/>
    <xf numFmtId="4" fontId="8" fillId="0" borderId="18" xfId="4" applyNumberFormat="1" applyFont="1" applyBorder="1"/>
    <xf numFmtId="4" fontId="8" fillId="0" borderId="26" xfId="4" applyNumberFormat="1" applyFont="1" applyBorder="1"/>
    <xf numFmtId="4" fontId="7" fillId="0" borderId="3" xfId="4" applyNumberFormat="1" applyFont="1" applyBorder="1" applyAlignment="1">
      <alignment horizontal="left" indent="1"/>
    </xf>
    <xf numFmtId="4" fontId="9" fillId="0" borderId="3" xfId="4" quotePrefix="1" applyNumberFormat="1" applyFont="1" applyBorder="1"/>
    <xf numFmtId="4" fontId="9" fillId="0" borderId="3" xfId="4" applyNumberFormat="1" applyFont="1" applyBorder="1"/>
    <xf numFmtId="4" fontId="9" fillId="0" borderId="49" xfId="4" applyNumberFormat="1" applyFont="1" applyBorder="1" applyAlignment="1">
      <alignment horizontal="right"/>
    </xf>
    <xf numFmtId="4" fontId="9" fillId="0" borderId="55" xfId="4" applyNumberFormat="1" applyFont="1" applyBorder="1"/>
    <xf numFmtId="4" fontId="7" fillId="0" borderId="4" xfId="4" applyNumberFormat="1" applyFont="1" applyBorder="1" applyAlignment="1">
      <alignment horizontal="left" indent="1"/>
    </xf>
    <xf numFmtId="4" fontId="9" fillId="0" borderId="4" xfId="4" applyNumberFormat="1" applyFont="1" applyBorder="1"/>
    <xf numFmtId="4" fontId="9" fillId="0" borderId="54" xfId="4" applyNumberFormat="1" applyFont="1" applyBorder="1" applyAlignment="1">
      <alignment horizontal="right"/>
    </xf>
    <xf numFmtId="4" fontId="9" fillId="0" borderId="56" xfId="4" applyNumberFormat="1" applyFont="1" applyBorder="1"/>
    <xf numFmtId="4" fontId="6" fillId="0" borderId="5" xfId="4" applyNumberFormat="1" applyFont="1" applyBorder="1"/>
    <xf numFmtId="4" fontId="7" fillId="0" borderId="19" xfId="4" applyNumberFormat="1" applyFont="1" applyBorder="1" applyAlignment="1">
      <alignment horizontal="left" indent="1"/>
    </xf>
    <xf numFmtId="4" fontId="9" fillId="0" borderId="19" xfId="4" applyNumberFormat="1" applyFont="1" applyBorder="1"/>
    <xf numFmtId="4" fontId="9" fillId="0" borderId="57" xfId="4" applyNumberFormat="1" applyFont="1" applyBorder="1" applyAlignment="1">
      <alignment horizontal="right"/>
    </xf>
    <xf numFmtId="4" fontId="9" fillId="0" borderId="58" xfId="4" applyNumberFormat="1" applyFont="1" applyBorder="1"/>
    <xf numFmtId="4" fontId="9" fillId="0" borderId="51" xfId="4" applyNumberFormat="1" applyFont="1" applyBorder="1"/>
    <xf numFmtId="4" fontId="9" fillId="3" borderId="5" xfId="4" applyNumberFormat="1" applyFont="1" applyFill="1" applyBorder="1"/>
    <xf numFmtId="4" fontId="8" fillId="0" borderId="27" xfId="4" applyNumberFormat="1" applyFont="1" applyBorder="1"/>
    <xf numFmtId="4" fontId="7" fillId="0" borderId="6" xfId="4" applyNumberFormat="1" applyFont="1" applyBorder="1" applyAlignment="1">
      <alignment horizontal="left" indent="1"/>
    </xf>
    <xf numFmtId="4" fontId="9" fillId="0" borderId="53" xfId="4" applyNumberFormat="1" applyFont="1" applyBorder="1"/>
    <xf numFmtId="4" fontId="9" fillId="3" borderId="6" xfId="4" applyNumberFormat="1" applyFont="1" applyFill="1" applyBorder="1"/>
    <xf numFmtId="4" fontId="9" fillId="0" borderId="59" xfId="4" applyNumberFormat="1" applyFont="1" applyBorder="1" applyAlignment="1">
      <alignment horizontal="right"/>
    </xf>
    <xf numFmtId="4" fontId="9" fillId="0" borderId="21" xfId="4" applyNumberFormat="1" applyFont="1" applyBorder="1"/>
    <xf numFmtId="4" fontId="9" fillId="0" borderId="54" xfId="4" applyNumberFormat="1" applyFont="1" applyBorder="1"/>
    <xf numFmtId="4" fontId="9" fillId="3" borderId="2" xfId="4" applyNumberFormat="1" applyFont="1" applyFill="1" applyBorder="1"/>
    <xf numFmtId="4" fontId="9" fillId="0" borderId="60" xfId="4" applyNumberFormat="1" applyFont="1" applyBorder="1" applyAlignment="1">
      <alignment horizontal="right"/>
    </xf>
    <xf numFmtId="4" fontId="6" fillId="0" borderId="61" xfId="4" applyNumberFormat="1" applyFont="1" applyBorder="1" applyAlignment="1">
      <alignment horizontal="right"/>
    </xf>
    <xf numFmtId="4" fontId="8" fillId="0" borderId="61" xfId="4" applyNumberFormat="1" applyFont="1" applyBorder="1"/>
    <xf numFmtId="4" fontId="8" fillId="0" borderId="62" xfId="4" applyNumberFormat="1" applyFont="1" applyBorder="1"/>
    <xf numFmtId="4" fontId="8" fillId="0" borderId="63" xfId="4" applyNumberFormat="1" applyFont="1" applyBorder="1"/>
    <xf numFmtId="4" fontId="6" fillId="0" borderId="64" xfId="4" applyNumberFormat="1" applyFont="1" applyBorder="1"/>
    <xf numFmtId="4" fontId="8" fillId="0" borderId="64" xfId="4" applyNumberFormat="1" applyFont="1" applyBorder="1"/>
    <xf numFmtId="4" fontId="8" fillId="0" borderId="65" xfId="4" applyNumberFormat="1" applyFont="1" applyBorder="1"/>
    <xf numFmtId="4" fontId="8" fillId="0" borderId="66" xfId="4" applyNumberFormat="1" applyFont="1" applyBorder="1"/>
    <xf numFmtId="4" fontId="7" fillId="0" borderId="4" xfId="4" quotePrefix="1" applyNumberFormat="1" applyFont="1" applyBorder="1" applyAlignment="1">
      <alignment horizontal="left" indent="1"/>
    </xf>
    <xf numFmtId="4" fontId="6" fillId="0" borderId="5" xfId="4" applyNumberFormat="1" applyFont="1" applyBorder="1" applyAlignment="1">
      <alignment horizontal="left"/>
    </xf>
    <xf numFmtId="4" fontId="6" fillId="0" borderId="1" xfId="4" applyNumberFormat="1" applyFont="1" applyBorder="1"/>
    <xf numFmtId="4" fontId="8" fillId="0" borderId="1" xfId="4" applyNumberFormat="1" applyFont="1" applyBorder="1"/>
    <xf numFmtId="4" fontId="8" fillId="0" borderId="17" xfId="4" applyNumberFormat="1" applyFont="1" applyBorder="1" applyAlignment="1">
      <alignment horizontal="right"/>
    </xf>
    <xf numFmtId="4" fontId="8" fillId="0" borderId="33" xfId="4" applyNumberFormat="1" applyFont="1" applyBorder="1"/>
    <xf numFmtId="4" fontId="8" fillId="0" borderId="18" xfId="4" applyNumberFormat="1" applyFont="1" applyBorder="1" applyAlignment="1">
      <alignment horizontal="right"/>
    </xf>
    <xf numFmtId="4" fontId="6" fillId="0" borderId="23" xfId="4" applyNumberFormat="1" applyFont="1" applyBorder="1"/>
    <xf numFmtId="4" fontId="8" fillId="0" borderId="23" xfId="4" applyNumberFormat="1" applyFont="1" applyBorder="1"/>
    <xf numFmtId="4" fontId="8" fillId="0" borderId="9" xfId="4" applyNumberFormat="1" applyFont="1" applyBorder="1"/>
    <xf numFmtId="4" fontId="8" fillId="0" borderId="34" xfId="4" applyNumberFormat="1" applyFont="1" applyBorder="1"/>
    <xf numFmtId="4" fontId="9" fillId="0" borderId="6" xfId="4" applyNumberFormat="1" applyFont="1" applyBorder="1"/>
    <xf numFmtId="4" fontId="9" fillId="0" borderId="53" xfId="4" applyNumberFormat="1" applyFont="1" applyBorder="1" applyAlignment="1">
      <alignment horizontal="right"/>
    </xf>
    <xf numFmtId="4" fontId="8" fillId="0" borderId="2" xfId="4" applyNumberFormat="1" applyFont="1" applyBorder="1"/>
    <xf numFmtId="4" fontId="8" fillId="0" borderId="12" xfId="4" applyNumberFormat="1" applyFont="1" applyBorder="1"/>
    <xf numFmtId="4" fontId="8" fillId="0" borderId="22" xfId="4" applyNumberFormat="1" applyFont="1" applyBorder="1"/>
    <xf numFmtId="0" fontId="5" fillId="0" borderId="0" xfId="4" applyFont="1"/>
    <xf numFmtId="4" fontId="5" fillId="0" borderId="0" xfId="4" applyNumberFormat="1" applyFont="1"/>
    <xf numFmtId="4" fontId="6" fillId="0" borderId="29" xfId="8" applyNumberFormat="1" applyFont="1" applyBorder="1" applyAlignment="1">
      <alignment horizontal="center" vertical="center" wrapText="1"/>
    </xf>
    <xf numFmtId="4" fontId="6" fillId="0" borderId="33" xfId="8" applyNumberFormat="1" applyFont="1" applyBorder="1" applyAlignment="1">
      <alignment horizontal="center" vertical="center" wrapText="1"/>
    </xf>
    <xf numFmtId="4" fontId="8" fillId="0" borderId="27" xfId="8" applyNumberFormat="1" applyFont="1" applyBorder="1"/>
    <xf numFmtId="4" fontId="8" fillId="0" borderId="26" xfId="8" applyNumberFormat="1" applyFont="1" applyBorder="1"/>
    <xf numFmtId="4" fontId="9" fillId="0" borderId="30" xfId="8" applyNumberFormat="1" applyFont="1" applyBorder="1"/>
    <xf numFmtId="4" fontId="9" fillId="0" borderId="55" xfId="8" applyNumberFormat="1" applyFont="1" applyBorder="1"/>
    <xf numFmtId="4" fontId="9" fillId="0" borderId="67" xfId="8" applyNumberFormat="1" applyFont="1" applyBorder="1"/>
    <xf numFmtId="4" fontId="9" fillId="0" borderId="34" xfId="8" applyNumberFormat="1" applyFont="1" applyBorder="1"/>
    <xf numFmtId="4" fontId="9" fillId="0" borderId="22" xfId="8" applyNumberFormat="1" applyFont="1" applyBorder="1"/>
    <xf numFmtId="4" fontId="9" fillId="0" borderId="32" xfId="8" applyNumberFormat="1" applyFont="1" applyBorder="1"/>
    <xf numFmtId="4" fontId="9" fillId="0" borderId="60" xfId="8" applyNumberFormat="1" applyFont="1" applyBorder="1"/>
    <xf numFmtId="4" fontId="8" fillId="0" borderId="68" xfId="8" applyNumberFormat="1" applyFont="1" applyBorder="1"/>
    <xf numFmtId="4" fontId="8" fillId="0" borderId="63" xfId="8" applyNumberFormat="1" applyFont="1" applyBorder="1"/>
    <xf numFmtId="4" fontId="8" fillId="0" borderId="32" xfId="8" applyNumberFormat="1" applyFont="1" applyBorder="1"/>
    <xf numFmtId="4" fontId="8" fillId="0" borderId="22" xfId="8" applyNumberFormat="1" applyFont="1" applyBorder="1"/>
    <xf numFmtId="4" fontId="8" fillId="0" borderId="69" xfId="8" applyNumberFormat="1" applyFont="1" applyBorder="1"/>
    <xf numFmtId="4" fontId="8" fillId="0" borderId="70" xfId="8" applyNumberFormat="1" applyFont="1" applyBorder="1"/>
    <xf numFmtId="0" fontId="4" fillId="0" borderId="0" xfId="4"/>
    <xf numFmtId="0" fontId="7" fillId="0" borderId="0" xfId="8" quotePrefix="1" applyFont="1" applyAlignment="1">
      <alignment horizontal="left"/>
    </xf>
    <xf numFmtId="0" fontId="7" fillId="0" borderId="0" xfId="8" applyFont="1"/>
    <xf numFmtId="4" fontId="7" fillId="0" borderId="0" xfId="8" applyNumberFormat="1" applyFont="1"/>
    <xf numFmtId="4" fontId="6" fillId="0" borderId="5" xfId="6" applyNumberFormat="1" applyFont="1" applyBorder="1" applyAlignment="1">
      <alignment horizontal="center" vertical="center" wrapText="1"/>
    </xf>
    <xf numFmtId="1" fontId="17" fillId="0" borderId="2" xfId="6" quotePrefix="1" applyNumberFormat="1" applyFont="1" applyBorder="1" applyAlignment="1">
      <alignment horizontal="center"/>
    </xf>
    <xf numFmtId="1" fontId="17" fillId="0" borderId="12" xfId="6" quotePrefix="1" applyNumberFormat="1" applyFont="1" applyBorder="1" applyAlignment="1">
      <alignment horizontal="center"/>
    </xf>
    <xf numFmtId="1" fontId="17" fillId="0" borderId="22" xfId="6" quotePrefix="1" applyNumberFormat="1" applyFont="1" applyBorder="1" applyAlignment="1">
      <alignment horizontal="center"/>
    </xf>
    <xf numFmtId="4" fontId="6" fillId="0" borderId="1" xfId="6" applyNumberFormat="1" applyFont="1" applyBorder="1" applyAlignment="1">
      <alignment horizontal="center"/>
    </xf>
    <xf numFmtId="3" fontId="6" fillId="0" borderId="9" xfId="6" applyNumberFormat="1" applyFont="1" applyBorder="1" applyAlignment="1">
      <alignment horizontal="left"/>
    </xf>
    <xf numFmtId="4" fontId="53" fillId="0" borderId="23" xfId="6" applyNumberFormat="1" applyFont="1" applyBorder="1"/>
    <xf numFmtId="4" fontId="53" fillId="0" borderId="9" xfId="6" applyNumberFormat="1" applyFont="1" applyBorder="1"/>
    <xf numFmtId="4" fontId="53" fillId="0" borderId="34" xfId="6" applyNumberFormat="1" applyFont="1" applyBorder="1"/>
    <xf numFmtId="4" fontId="6" fillId="0" borderId="23" xfId="6" applyNumberFormat="1" applyFont="1" applyBorder="1" applyAlignment="1">
      <alignment horizontal="center"/>
    </xf>
    <xf numFmtId="0" fontId="7" fillId="0" borderId="49" xfId="6" applyFont="1" applyBorder="1" applyAlignment="1">
      <alignment horizontal="left"/>
    </xf>
    <xf numFmtId="4" fontId="9" fillId="0" borderId="3" xfId="8" applyNumberFormat="1" applyFont="1" applyBorder="1"/>
    <xf numFmtId="4" fontId="9" fillId="0" borderId="3" xfId="6" applyNumberFormat="1" applyFont="1" applyBorder="1"/>
    <xf numFmtId="4" fontId="9" fillId="0" borderId="49" xfId="6" applyNumberFormat="1" applyFont="1" applyBorder="1"/>
    <xf numFmtId="4" fontId="9" fillId="0" borderId="55" xfId="6" applyNumberFormat="1" applyFont="1" applyBorder="1"/>
    <xf numFmtId="4" fontId="13" fillId="0" borderId="49" xfId="6" applyNumberFormat="1" applyFont="1" applyBorder="1" applyAlignment="1">
      <alignment horizontal="right"/>
    </xf>
    <xf numFmtId="4" fontId="18" fillId="0" borderId="3" xfId="6" applyNumberFormat="1" applyFont="1" applyBorder="1"/>
    <xf numFmtId="4" fontId="18" fillId="0" borderId="49" xfId="6" applyNumberFormat="1" applyFont="1" applyBorder="1"/>
    <xf numFmtId="4" fontId="18" fillId="0" borderId="55" xfId="6" applyNumberFormat="1" applyFont="1" applyBorder="1"/>
    <xf numFmtId="0" fontId="7" fillId="0" borderId="12" xfId="6" applyFont="1" applyBorder="1" applyAlignment="1">
      <alignment horizontal="left"/>
    </xf>
    <xf numFmtId="4" fontId="9" fillId="0" borderId="12" xfId="6" applyNumberFormat="1" applyFont="1" applyBorder="1"/>
    <xf numFmtId="4" fontId="9" fillId="0" borderId="22" xfId="6" applyNumberFormat="1" applyFont="1" applyBorder="1"/>
    <xf numFmtId="4" fontId="6" fillId="0" borderId="12" xfId="6" applyNumberFormat="1" applyFont="1" applyBorder="1" applyAlignment="1">
      <alignment horizontal="left" indent="13"/>
    </xf>
    <xf numFmtId="4" fontId="8" fillId="0" borderId="5" xfId="6" applyNumberFormat="1" applyFont="1" applyBorder="1"/>
    <xf numFmtId="4" fontId="8" fillId="0" borderId="18" xfId="6" applyNumberFormat="1" applyFont="1" applyBorder="1"/>
    <xf numFmtId="4" fontId="8" fillId="0" borderId="26" xfId="6" applyNumberFormat="1" applyFont="1" applyBorder="1"/>
    <xf numFmtId="0" fontId="7" fillId="0" borderId="49" xfId="6" quotePrefix="1" applyFont="1" applyBorder="1" applyAlignment="1">
      <alignment horizontal="left"/>
    </xf>
    <xf numFmtId="4" fontId="9" fillId="0" borderId="51" xfId="8" applyNumberFormat="1" applyFont="1" applyBorder="1"/>
    <xf numFmtId="4" fontId="9" fillId="0" borderId="51" xfId="6" applyNumberFormat="1" applyFont="1" applyBorder="1"/>
    <xf numFmtId="4" fontId="8" fillId="0" borderId="12" xfId="6" applyNumberFormat="1" applyFont="1" applyBorder="1"/>
    <xf numFmtId="4" fontId="8" fillId="0" borderId="22" xfId="6" applyNumberFormat="1" applyFont="1" applyBorder="1"/>
    <xf numFmtId="4" fontId="6" fillId="0" borderId="2" xfId="6" applyNumberFormat="1" applyFont="1" applyBorder="1" applyAlignment="1">
      <alignment horizontal="center"/>
    </xf>
    <xf numFmtId="3" fontId="6" fillId="0" borderId="12" xfId="6" applyNumberFormat="1" applyFont="1" applyBorder="1" applyAlignment="1">
      <alignment horizontal="left"/>
    </xf>
    <xf numFmtId="4" fontId="9" fillId="4" borderId="2" xfId="6" applyNumberFormat="1" applyFont="1" applyFill="1" applyBorder="1"/>
    <xf numFmtId="4" fontId="6" fillId="0" borderId="9" xfId="6" applyNumberFormat="1" applyFont="1" applyBorder="1" applyAlignment="1">
      <alignment horizontal="center"/>
    </xf>
    <xf numFmtId="4" fontId="9" fillId="0" borderId="4" xfId="8" applyNumberFormat="1" applyFont="1" applyBorder="1"/>
    <xf numFmtId="4" fontId="9" fillId="0" borderId="4" xfId="6" applyNumberFormat="1" applyFont="1" applyBorder="1"/>
    <xf numFmtId="4" fontId="9" fillId="0" borderId="54" xfId="6" applyNumberFormat="1" applyFont="1" applyBorder="1"/>
    <xf numFmtId="4" fontId="8" fillId="0" borderId="2" xfId="6" applyNumberFormat="1" applyFont="1" applyBorder="1"/>
    <xf numFmtId="4" fontId="7" fillId="0" borderId="2" xfId="6" applyNumberFormat="1" applyFont="1" applyBorder="1" applyAlignment="1">
      <alignment horizontal="center"/>
    </xf>
    <xf numFmtId="4" fontId="6" fillId="0" borderId="12" xfId="6" applyNumberFormat="1" applyFont="1" applyBorder="1" applyAlignment="1">
      <alignment horizontal="center"/>
    </xf>
    <xf numFmtId="0" fontId="7" fillId="0" borderId="0" xfId="5" applyFont="1"/>
    <xf numFmtId="4" fontId="7" fillId="0" borderId="49" xfId="6" applyNumberFormat="1" applyFont="1" applyBorder="1"/>
    <xf numFmtId="4" fontId="7" fillId="0" borderId="49" xfId="6" applyNumberFormat="1" applyFont="1" applyBorder="1" applyAlignment="1">
      <alignment horizontal="left"/>
    </xf>
    <xf numFmtId="4" fontId="7" fillId="0" borderId="12" xfId="6" applyNumberFormat="1" applyFont="1" applyBorder="1"/>
    <xf numFmtId="4" fontId="9" fillId="0" borderId="2" xfId="6" applyNumberFormat="1" applyFont="1" applyBorder="1"/>
    <xf numFmtId="4" fontId="6" fillId="0" borderId="12" xfId="6" applyNumberFormat="1" applyFont="1" applyBorder="1" applyAlignment="1">
      <alignment horizontal="right"/>
    </xf>
    <xf numFmtId="4" fontId="53" fillId="0" borderId="1" xfId="6" applyNumberFormat="1" applyFont="1" applyBorder="1"/>
    <xf numFmtId="4" fontId="53" fillId="0" borderId="17" xfId="6" applyNumberFormat="1" applyFont="1" applyBorder="1"/>
    <xf numFmtId="4" fontId="53" fillId="0" borderId="33" xfId="6" applyNumberFormat="1" applyFont="1" applyBorder="1"/>
    <xf numFmtId="4" fontId="7" fillId="0" borderId="12" xfId="6" quotePrefix="1" applyNumberFormat="1" applyFont="1" applyBorder="1" applyAlignment="1">
      <alignment horizontal="left"/>
    </xf>
    <xf numFmtId="4" fontId="9" fillId="4" borderId="5" xfId="6" applyNumberFormat="1" applyFont="1" applyFill="1" applyBorder="1"/>
    <xf numFmtId="0" fontId="11" fillId="0" borderId="0" xfId="5" applyFont="1"/>
    <xf numFmtId="0" fontId="16" fillId="0" borderId="0" xfId="5" applyFont="1"/>
    <xf numFmtId="4" fontId="11" fillId="0" borderId="0" xfId="5" applyNumberFormat="1" applyFont="1"/>
    <xf numFmtId="4" fontId="7" fillId="0" borderId="5" xfId="6" applyNumberFormat="1" applyFont="1" applyBorder="1" applyAlignment="1">
      <alignment horizontal="center"/>
    </xf>
    <xf numFmtId="4" fontId="6" fillId="0" borderId="5" xfId="6" applyNumberFormat="1" applyFont="1" applyBorder="1" applyAlignment="1">
      <alignment horizontal="center"/>
    </xf>
    <xf numFmtId="3" fontId="6" fillId="0" borderId="5" xfId="6" applyNumberFormat="1" applyFont="1" applyBorder="1" applyAlignment="1">
      <alignment horizontal="left"/>
    </xf>
    <xf numFmtId="0" fontId="11" fillId="0" borderId="0" xfId="6" applyFont="1"/>
    <xf numFmtId="0" fontId="16" fillId="0" borderId="0" xfId="6" applyFont="1"/>
    <xf numFmtId="4" fontId="9" fillId="0" borderId="0" xfId="7" applyNumberFormat="1" applyFont="1"/>
    <xf numFmtId="4" fontId="8" fillId="0" borderId="0" xfId="7" quotePrefix="1" applyNumberFormat="1" applyFont="1" applyAlignment="1">
      <alignment horizontal="center"/>
    </xf>
    <xf numFmtId="4" fontId="8" fillId="0" borderId="0" xfId="7" applyNumberFormat="1" applyFont="1"/>
    <xf numFmtId="4" fontId="8" fillId="0" borderId="0" xfId="7" applyNumberFormat="1" applyFont="1" applyAlignment="1">
      <alignment horizontal="right"/>
    </xf>
    <xf numFmtId="4" fontId="6" fillId="0" borderId="0" xfId="7" applyNumberFormat="1" applyFont="1"/>
    <xf numFmtId="4" fontId="6" fillId="0" borderId="71" xfId="7" applyNumberFormat="1" applyFont="1" applyBorder="1" applyAlignment="1">
      <alignment horizontal="center" vertical="center" wrapText="1"/>
    </xf>
    <xf numFmtId="4" fontId="6" fillId="0" borderId="20" xfId="7" applyNumberFormat="1" applyFont="1" applyBorder="1" applyAlignment="1">
      <alignment horizontal="center" vertical="center" wrapText="1"/>
    </xf>
    <xf numFmtId="1" fontId="7" fillId="0" borderId="23" xfId="7" applyNumberFormat="1" applyFont="1" applyBorder="1"/>
    <xf numFmtId="1" fontId="12" fillId="0" borderId="23" xfId="7" applyNumberFormat="1" applyFont="1" applyBorder="1"/>
    <xf numFmtId="4" fontId="7" fillId="0" borderId="57" xfId="7" quotePrefix="1" applyNumberFormat="1" applyFont="1" applyBorder="1" applyAlignment="1">
      <alignment horizontal="left"/>
    </xf>
    <xf numFmtId="4" fontId="9" fillId="0" borderId="72" xfId="7" applyNumberFormat="1" applyFont="1" applyBorder="1"/>
    <xf numFmtId="4" fontId="9" fillId="0" borderId="19" xfId="7" applyNumberFormat="1" applyFont="1" applyBorder="1"/>
    <xf numFmtId="1" fontId="7" fillId="0" borderId="2" xfId="7" applyNumberFormat="1" applyFont="1" applyBorder="1"/>
    <xf numFmtId="1" fontId="7" fillId="0" borderId="2" xfId="7" applyNumberFormat="1" applyFont="1" applyBorder="1" applyAlignment="1">
      <alignment horizontal="center"/>
    </xf>
    <xf numFmtId="4" fontId="7" fillId="0" borderId="12" xfId="7" applyNumberFormat="1" applyFont="1" applyBorder="1"/>
    <xf numFmtId="4" fontId="9" fillId="0" borderId="32" xfId="7" applyNumberFormat="1" applyFont="1" applyBorder="1"/>
    <xf numFmtId="4" fontId="9" fillId="0" borderId="2" xfId="7" applyNumberFormat="1" applyFont="1" applyBorder="1"/>
    <xf numFmtId="4" fontId="6" fillId="0" borderId="12" xfId="7" applyNumberFormat="1" applyFont="1" applyBorder="1" applyAlignment="1">
      <alignment horizontal="left" indent="2"/>
    </xf>
    <xf numFmtId="4" fontId="8" fillId="0" borderId="32" xfId="7" applyNumberFormat="1" applyFont="1" applyBorder="1"/>
    <xf numFmtId="4" fontId="8" fillId="0" borderId="2" xfId="7" applyNumberFormat="1" applyFont="1" applyBorder="1"/>
    <xf numFmtId="1" fontId="7" fillId="0" borderId="23" xfId="7" applyNumberFormat="1" applyFont="1" applyBorder="1" applyAlignment="1">
      <alignment horizontal="center"/>
    </xf>
    <xf numFmtId="4" fontId="7" fillId="0" borderId="49" xfId="7" applyNumberFormat="1" applyFont="1" applyBorder="1"/>
    <xf numFmtId="4" fontId="9" fillId="0" borderId="67" xfId="7" applyNumberFormat="1" applyFont="1" applyBorder="1"/>
    <xf numFmtId="4" fontId="9" fillId="0" borderId="3" xfId="7" applyNumberFormat="1" applyFont="1" applyBorder="1"/>
    <xf numFmtId="4" fontId="7" fillId="0" borderId="49" xfId="7" quotePrefix="1" applyNumberFormat="1" applyFont="1" applyBorder="1" applyAlignment="1">
      <alignment horizontal="left"/>
    </xf>
    <xf numFmtId="1" fontId="7" fillId="0" borderId="2" xfId="7" quotePrefix="1" applyNumberFormat="1" applyFont="1" applyBorder="1" applyAlignment="1">
      <alignment horizontal="left"/>
    </xf>
    <xf numFmtId="1" fontId="7" fillId="0" borderId="5" xfId="7" applyNumberFormat="1" applyFont="1" applyBorder="1"/>
    <xf numFmtId="1" fontId="7" fillId="0" borderId="5" xfId="7" applyNumberFormat="1" applyFont="1" applyBorder="1" applyAlignment="1">
      <alignment horizontal="center"/>
    </xf>
    <xf numFmtId="4" fontId="6" fillId="0" borderId="18" xfId="7" applyNumberFormat="1" applyFont="1" applyBorder="1" applyAlignment="1">
      <alignment horizontal="left" indent="2"/>
    </xf>
    <xf numFmtId="4" fontId="8" fillId="0" borderId="27" xfId="7" applyNumberFormat="1" applyFont="1" applyBorder="1"/>
    <xf numFmtId="4" fontId="8" fillId="0" borderId="5" xfId="7" applyNumberFormat="1" applyFont="1" applyBorder="1"/>
    <xf numFmtId="4" fontId="7" fillId="0" borderId="57" xfId="7" applyNumberFormat="1" applyFont="1" applyBorder="1"/>
    <xf numFmtId="4" fontId="7" fillId="0" borderId="12" xfId="7" quotePrefix="1" applyNumberFormat="1" applyFont="1" applyBorder="1" applyAlignment="1">
      <alignment horizontal="left"/>
    </xf>
    <xf numFmtId="0" fontId="7" fillId="0" borderId="0" xfId="7" applyFont="1"/>
    <xf numFmtId="0" fontId="9" fillId="0" borderId="0" xfId="7" applyFont="1"/>
    <xf numFmtId="4" fontId="7" fillId="0" borderId="0" xfId="7" applyNumberFormat="1" applyFont="1"/>
    <xf numFmtId="1" fontId="7" fillId="0" borderId="1" xfId="7" applyNumberFormat="1" applyFont="1" applyBorder="1"/>
    <xf numFmtId="3" fontId="6" fillId="0" borderId="6" xfId="7" applyNumberFormat="1" applyFont="1" applyBorder="1" applyAlignment="1">
      <alignment horizontal="left" indent="2"/>
    </xf>
    <xf numFmtId="4" fontId="53" fillId="0" borderId="59" xfId="7" applyNumberFormat="1" applyFont="1" applyBorder="1"/>
    <xf numFmtId="4" fontId="53" fillId="0" borderId="6" xfId="7" applyNumberFormat="1" applyFont="1" applyBorder="1"/>
    <xf numFmtId="0" fontId="13" fillId="0" borderId="49" xfId="7" quotePrefix="1" applyFont="1" applyBorder="1" applyAlignment="1">
      <alignment horizontal="left" indent="15"/>
    </xf>
    <xf numFmtId="4" fontId="19" fillId="0" borderId="67" xfId="7" applyNumberFormat="1" applyFont="1" applyBorder="1"/>
    <xf numFmtId="4" fontId="19" fillId="0" borderId="3" xfId="7" applyNumberFormat="1" applyFont="1" applyBorder="1"/>
    <xf numFmtId="0" fontId="13" fillId="0" borderId="54" xfId="7" quotePrefix="1" applyFont="1" applyBorder="1" applyAlignment="1">
      <alignment horizontal="left" indent="15"/>
    </xf>
    <xf numFmtId="4" fontId="19" fillId="0" borderId="60" xfId="7" applyNumberFormat="1" applyFont="1" applyBorder="1"/>
    <xf numFmtId="4" fontId="19" fillId="0" borderId="4" xfId="7" applyNumberFormat="1" applyFont="1" applyBorder="1"/>
    <xf numFmtId="4" fontId="7" fillId="0" borderId="53" xfId="7" applyNumberFormat="1" applyFont="1" applyBorder="1"/>
    <xf numFmtId="4" fontId="9" fillId="0" borderId="59" xfId="7" applyNumberFormat="1" applyFont="1" applyBorder="1"/>
    <xf numFmtId="4" fontId="9" fillId="0" borderId="6" xfId="7" applyNumberFormat="1" applyFont="1" applyBorder="1"/>
    <xf numFmtId="4" fontId="7" fillId="0" borderId="54" xfId="7" applyNumberFormat="1" applyFont="1" applyBorder="1"/>
    <xf numFmtId="4" fontId="9" fillId="0" borderId="60" xfId="7" applyNumberFormat="1" applyFont="1" applyBorder="1"/>
    <xf numFmtId="4" fontId="9" fillId="0" borderId="4" xfId="7" applyNumberFormat="1" applyFont="1" applyBorder="1"/>
    <xf numFmtId="4" fontId="7" fillId="0" borderId="54" xfId="7" quotePrefix="1" applyNumberFormat="1" applyFont="1" applyBorder="1" applyAlignment="1">
      <alignment horizontal="left"/>
    </xf>
    <xf numFmtId="1" fontId="6" fillId="0" borderId="2" xfId="7" applyNumberFormat="1" applyFont="1" applyBorder="1" applyAlignment="1">
      <alignment horizontal="center"/>
    </xf>
    <xf numFmtId="0" fontId="7" fillId="0" borderId="0" xfId="21" applyFont="1"/>
    <xf numFmtId="0" fontId="7" fillId="0" borderId="1" xfId="0" applyFont="1" applyBorder="1"/>
    <xf numFmtId="0" fontId="6" fillId="0" borderId="5" xfId="21" applyFont="1" applyBorder="1"/>
    <xf numFmtId="4" fontId="9" fillId="0" borderId="27" xfId="21" applyNumberFormat="1" applyFont="1" applyBorder="1"/>
    <xf numFmtId="4" fontId="9" fillId="0" borderId="5" xfId="21" applyNumberFormat="1" applyFont="1" applyBorder="1"/>
    <xf numFmtId="0" fontId="7" fillId="0" borderId="23" xfId="21" applyFont="1" applyBorder="1" applyAlignment="1">
      <alignment horizontal="center"/>
    </xf>
    <xf numFmtId="0" fontId="34" fillId="0" borderId="19" xfId="21" applyFont="1" applyBorder="1" applyAlignment="1">
      <alignment horizontal="left" indent="1"/>
    </xf>
    <xf numFmtId="4" fontId="53" fillId="0" borderId="72" xfId="21" applyNumberFormat="1" applyFont="1" applyBorder="1"/>
    <xf numFmtId="4" fontId="53" fillId="0" borderId="19" xfId="21" applyNumberFormat="1" applyFont="1" applyBorder="1"/>
    <xf numFmtId="0" fontId="7" fillId="0" borderId="3" xfId="21" quotePrefix="1" applyFont="1" applyBorder="1" applyAlignment="1">
      <alignment horizontal="left" indent="3"/>
    </xf>
    <xf numFmtId="4" fontId="9" fillId="0" borderId="67" xfId="21" applyNumberFormat="1" applyFont="1" applyBorder="1"/>
    <xf numFmtId="4" fontId="9" fillId="0" borderId="3" xfId="21" applyNumberFormat="1" applyFont="1" applyBorder="1"/>
    <xf numFmtId="0" fontId="7" fillId="0" borderId="51" xfId="21" quotePrefix="1" applyFont="1" applyBorder="1" applyAlignment="1">
      <alignment horizontal="left" indent="3"/>
    </xf>
    <xf numFmtId="4" fontId="9" fillId="0" borderId="73" xfId="21" applyNumberFormat="1" applyFont="1" applyBorder="1"/>
    <xf numFmtId="4" fontId="9" fillId="0" borderId="51" xfId="21" applyNumberFormat="1" applyFont="1" applyBorder="1"/>
    <xf numFmtId="0" fontId="6" fillId="0" borderId="5" xfId="21" applyFont="1" applyBorder="1" applyAlignment="1">
      <alignment horizontal="right"/>
    </xf>
    <xf numFmtId="4" fontId="8" fillId="0" borderId="27" xfId="21" applyNumberFormat="1" applyFont="1" applyBorder="1"/>
    <xf numFmtId="4" fontId="8" fillId="0" borderId="5" xfId="21" applyNumberFormat="1" applyFont="1" applyBorder="1"/>
    <xf numFmtId="0" fontId="34" fillId="0" borderId="3" xfId="21" applyFont="1" applyBorder="1" applyAlignment="1">
      <alignment horizontal="left" indent="1"/>
    </xf>
    <xf numFmtId="4" fontId="53" fillId="0" borderId="67" xfId="21" applyNumberFormat="1" applyFont="1" applyBorder="1"/>
    <xf numFmtId="4" fontId="53" fillId="0" borderId="3" xfId="21" applyNumberFormat="1" applyFont="1" applyBorder="1"/>
    <xf numFmtId="4" fontId="9" fillId="0" borderId="60" xfId="21" applyNumberFormat="1" applyFont="1" applyBorder="1"/>
    <xf numFmtId="4" fontId="9" fillId="0" borderId="4" xfId="21" applyNumberFormat="1" applyFont="1" applyBorder="1"/>
    <xf numFmtId="0" fontId="7" fillId="0" borderId="2" xfId="21" applyFont="1" applyBorder="1" applyAlignment="1">
      <alignment horizontal="center"/>
    </xf>
    <xf numFmtId="0" fontId="7" fillId="0" borderId="1" xfId="21" applyFont="1" applyBorder="1" applyAlignment="1">
      <alignment horizontal="center"/>
    </xf>
    <xf numFmtId="0" fontId="34" fillId="0" borderId="0" xfId="21" applyFont="1" applyAlignment="1">
      <alignment horizontal="left" indent="1"/>
    </xf>
    <xf numFmtId="4" fontId="9" fillId="0" borderId="6" xfId="0" applyNumberFormat="1" applyFont="1" applyBorder="1" applyProtection="1">
      <protection locked="0"/>
    </xf>
    <xf numFmtId="4" fontId="9" fillId="0" borderId="4" xfId="0" applyNumberFormat="1" applyFont="1" applyBorder="1" applyProtection="1">
      <protection locked="0"/>
    </xf>
    <xf numFmtId="4" fontId="38" fillId="0" borderId="3" xfId="0" applyNumberFormat="1" applyFont="1" applyBorder="1" applyProtection="1">
      <protection locked="0"/>
    </xf>
    <xf numFmtId="0" fontId="7" fillId="0" borderId="0" xfId="0" applyFont="1" applyAlignment="1">
      <alignment horizontal="left"/>
    </xf>
    <xf numFmtId="0" fontId="9" fillId="0" borderId="0" xfId="0" applyFont="1" applyAlignment="1">
      <alignment horizontal="left"/>
    </xf>
    <xf numFmtId="0" fontId="7" fillId="0" borderId="53" xfId="0" applyFont="1" applyBorder="1"/>
    <xf numFmtId="0" fontId="7" fillId="0" borderId="49" xfId="0" applyFont="1" applyBorder="1"/>
    <xf numFmtId="0" fontId="7" fillId="0" borderId="54" xfId="0" applyFont="1" applyBorder="1"/>
    <xf numFmtId="0" fontId="6" fillId="0" borderId="5" xfId="0" applyFont="1" applyBorder="1" applyAlignment="1">
      <alignment horizontal="right"/>
    </xf>
    <xf numFmtId="0" fontId="23" fillId="0" borderId="49" xfId="0" quotePrefix="1" applyFont="1" applyBorder="1" applyAlignment="1">
      <alignment horizontal="left" indent="2"/>
    </xf>
    <xf numFmtId="0" fontId="23" fillId="0" borderId="0" xfId="0" applyFont="1" applyAlignment="1">
      <alignment horizontal="left"/>
    </xf>
    <xf numFmtId="0" fontId="23" fillId="0" borderId="0" xfId="0" applyFont="1"/>
    <xf numFmtId="0" fontId="6" fillId="0" borderId="12" xfId="0" applyFont="1" applyBorder="1" applyAlignment="1">
      <alignment horizontal="right"/>
    </xf>
    <xf numFmtId="4" fontId="9" fillId="0" borderId="6" xfId="11" applyNumberFormat="1" applyFont="1" applyBorder="1" applyProtection="1">
      <protection locked="0"/>
    </xf>
    <xf numFmtId="4" fontId="9" fillId="0" borderId="53" xfId="11" applyNumberFormat="1" applyFont="1" applyBorder="1" applyProtection="1">
      <protection locked="0"/>
    </xf>
    <xf numFmtId="4" fontId="9" fillId="0" borderId="21" xfId="11" applyNumberFormat="1" applyFont="1" applyBorder="1" applyProtection="1">
      <protection locked="0"/>
    </xf>
    <xf numFmtId="4" fontId="9" fillId="0" borderId="59" xfId="11" applyNumberFormat="1" applyFont="1" applyBorder="1" applyProtection="1">
      <protection locked="0"/>
    </xf>
    <xf numFmtId="4" fontId="9" fillId="0" borderId="74" xfId="11" applyNumberFormat="1" applyFont="1" applyBorder="1" applyProtection="1">
      <protection locked="0"/>
    </xf>
    <xf numFmtId="4" fontId="9" fillId="0" borderId="3" xfId="11" quotePrefix="1" applyNumberFormat="1" applyFont="1" applyBorder="1" applyProtection="1">
      <protection locked="0"/>
    </xf>
    <xf numFmtId="4" fontId="9" fillId="0" borderId="3" xfId="11" applyNumberFormat="1" applyFont="1" applyBorder="1" applyProtection="1">
      <protection locked="0"/>
    </xf>
    <xf numFmtId="4" fontId="9" fillId="0" borderId="49" xfId="11" applyNumberFormat="1" applyFont="1" applyBorder="1" applyProtection="1">
      <protection locked="0"/>
    </xf>
    <xf numFmtId="4" fontId="9" fillId="0" borderId="55" xfId="11" applyNumberFormat="1" applyFont="1" applyBorder="1" applyProtection="1">
      <protection locked="0"/>
    </xf>
    <xf numFmtId="4" fontId="9" fillId="0" borderId="67" xfId="11" applyNumberFormat="1" applyFont="1" applyBorder="1" applyProtection="1">
      <protection locked="0"/>
    </xf>
    <xf numFmtId="4" fontId="9" fillId="0" borderId="50" xfId="11" applyNumberFormat="1" applyFont="1" applyBorder="1" applyProtection="1">
      <protection locked="0"/>
    </xf>
    <xf numFmtId="4" fontId="9" fillId="0" borderId="49" xfId="11" quotePrefix="1" applyNumberFormat="1" applyFont="1" applyBorder="1" applyProtection="1">
      <protection locked="0"/>
    </xf>
    <xf numFmtId="4" fontId="9" fillId="0" borderId="55" xfId="11" quotePrefix="1" applyNumberFormat="1" applyFont="1" applyBorder="1" applyProtection="1">
      <protection locked="0"/>
    </xf>
    <xf numFmtId="4" fontId="9" fillId="0" borderId="67" xfId="11" quotePrefix="1" applyNumberFormat="1" applyFont="1" applyBorder="1" applyProtection="1">
      <protection locked="0"/>
    </xf>
    <xf numFmtId="4" fontId="9" fillId="0" borderId="50" xfId="11" quotePrefix="1" applyNumberFormat="1" applyFont="1" applyBorder="1" applyProtection="1">
      <protection locked="0"/>
    </xf>
    <xf numFmtId="4" fontId="9" fillId="0" borderId="4" xfId="11" applyNumberFormat="1" applyFont="1" applyBorder="1" applyProtection="1">
      <protection locked="0"/>
    </xf>
    <xf numFmtId="4" fontId="9" fillId="0" borderId="54" xfId="11" applyNumberFormat="1" applyFont="1" applyBorder="1" applyProtection="1">
      <protection locked="0"/>
    </xf>
    <xf numFmtId="4" fontId="9" fillId="0" borderId="56" xfId="11" applyNumberFormat="1" applyFont="1" applyBorder="1" applyProtection="1">
      <protection locked="0"/>
    </xf>
    <xf numFmtId="4" fontId="9" fillId="0" borderId="60" xfId="11" applyNumberFormat="1" applyFont="1" applyBorder="1" applyProtection="1">
      <protection locked="0"/>
    </xf>
    <xf numFmtId="4" fontId="9" fillId="0" borderId="75" xfId="11" applyNumberFormat="1" applyFont="1" applyBorder="1" applyProtection="1">
      <protection locked="0"/>
    </xf>
    <xf numFmtId="4" fontId="8" fillId="0" borderId="2" xfId="11" applyNumberFormat="1" applyFont="1" applyBorder="1" applyProtection="1">
      <protection locked="0"/>
    </xf>
    <xf numFmtId="4" fontId="8" fillId="0" borderId="12" xfId="11" applyNumberFormat="1" applyFont="1" applyBorder="1" applyProtection="1">
      <protection locked="0"/>
    </xf>
    <xf numFmtId="4" fontId="8" fillId="0" borderId="22" xfId="11" applyNumberFormat="1" applyFont="1" applyBorder="1" applyProtection="1">
      <protection locked="0"/>
    </xf>
    <xf numFmtId="4" fontId="8" fillId="0" borderId="32" xfId="11" applyNumberFormat="1" applyFont="1" applyBorder="1" applyProtection="1">
      <protection locked="0"/>
    </xf>
    <xf numFmtId="4" fontId="8" fillId="0" borderId="13" xfId="11" applyNumberFormat="1" applyFont="1" applyBorder="1" applyProtection="1">
      <protection locked="0"/>
    </xf>
    <xf numFmtId="4" fontId="9" fillId="0" borderId="51" xfId="11" applyNumberFormat="1" applyFont="1" applyBorder="1" applyProtection="1">
      <protection locked="0"/>
    </xf>
    <xf numFmtId="4" fontId="8" fillId="0" borderId="5" xfId="11" applyNumberFormat="1" applyFont="1" applyBorder="1" applyProtection="1">
      <protection locked="0"/>
    </xf>
    <xf numFmtId="4" fontId="8" fillId="0" borderId="18" xfId="11" applyNumberFormat="1" applyFont="1" applyBorder="1" applyProtection="1">
      <protection locked="0"/>
    </xf>
    <xf numFmtId="4" fontId="8" fillId="0" borderId="26" xfId="11" applyNumberFormat="1" applyFont="1" applyBorder="1" applyProtection="1">
      <protection locked="0"/>
    </xf>
    <xf numFmtId="4" fontId="8" fillId="0" borderId="27" xfId="11" applyNumberFormat="1" applyFont="1" applyBorder="1" applyProtection="1">
      <protection locked="0"/>
    </xf>
    <xf numFmtId="4" fontId="8" fillId="0" borderId="20" xfId="11" applyNumberFormat="1" applyFont="1" applyBorder="1" applyProtection="1">
      <protection locked="0"/>
    </xf>
    <xf numFmtId="0" fontId="7" fillId="0" borderId="0" xfId="11" applyFont="1"/>
    <xf numFmtId="4" fontId="6" fillId="0" borderId="0" xfId="8" quotePrefix="1" applyNumberFormat="1" applyFont="1" applyAlignment="1">
      <alignment horizontal="right"/>
    </xf>
    <xf numFmtId="0" fontId="6" fillId="0" borderId="0" xfId="11" applyFont="1"/>
    <xf numFmtId="0" fontId="6" fillId="0" borderId="17" xfId="11" applyFont="1" applyBorder="1" applyAlignment="1">
      <alignment horizontal="center" vertical="top" wrapText="1"/>
    </xf>
    <xf numFmtId="0" fontId="6" fillId="0" borderId="28" xfId="11" applyFont="1" applyBorder="1" applyAlignment="1">
      <alignment horizontal="center" vertical="top" wrapText="1"/>
    </xf>
    <xf numFmtId="0" fontId="6" fillId="0" borderId="29" xfId="11" applyFont="1" applyBorder="1" applyAlignment="1">
      <alignment horizontal="center" vertical="top" wrapText="1"/>
    </xf>
    <xf numFmtId="0" fontId="17" fillId="0" borderId="12" xfId="11" quotePrefix="1" applyFont="1" applyBorder="1" applyAlignment="1">
      <alignment horizontal="center"/>
    </xf>
    <xf numFmtId="0" fontId="17" fillId="0" borderId="31" xfId="11" quotePrefix="1" applyFont="1" applyBorder="1" applyAlignment="1">
      <alignment horizontal="center"/>
    </xf>
    <xf numFmtId="0" fontId="17" fillId="0" borderId="32" xfId="11" quotePrefix="1" applyFont="1" applyBorder="1" applyAlignment="1">
      <alignment horizontal="center"/>
    </xf>
    <xf numFmtId="0" fontId="17" fillId="0" borderId="13" xfId="11" quotePrefix="1" applyFont="1" applyBorder="1" applyAlignment="1">
      <alignment horizontal="center"/>
    </xf>
    <xf numFmtId="0" fontId="6" fillId="0" borderId="6" xfId="11" applyFont="1" applyBorder="1"/>
    <xf numFmtId="0" fontId="17" fillId="0" borderId="6" xfId="11" applyFont="1" applyBorder="1"/>
    <xf numFmtId="0" fontId="7" fillId="0" borderId="3" xfId="11" quotePrefix="1" applyFont="1" applyBorder="1"/>
    <xf numFmtId="0" fontId="17" fillId="0" borderId="3" xfId="11" applyFont="1" applyBorder="1"/>
    <xf numFmtId="0" fontId="7" fillId="0" borderId="3" xfId="11" applyFont="1" applyBorder="1" applyAlignment="1">
      <alignment horizontal="left" indent="2"/>
    </xf>
    <xf numFmtId="0" fontId="17" fillId="0" borderId="3" xfId="11" applyFont="1" applyBorder="1" applyAlignment="1">
      <alignment horizontal="center"/>
    </xf>
    <xf numFmtId="0" fontId="7" fillId="0" borderId="4" xfId="11" applyFont="1" applyBorder="1" applyAlignment="1">
      <alignment horizontal="left" indent="2"/>
    </xf>
    <xf numFmtId="0" fontId="17" fillId="0" borderId="4" xfId="11" applyFont="1" applyBorder="1" applyAlignment="1">
      <alignment horizontal="center"/>
    </xf>
    <xf numFmtId="0" fontId="6" fillId="0" borderId="2" xfId="11" applyFont="1" applyBorder="1" applyAlignment="1">
      <alignment horizontal="right"/>
    </xf>
    <xf numFmtId="0" fontId="17" fillId="0" borderId="2" xfId="11" applyFont="1" applyBorder="1" applyAlignment="1">
      <alignment horizontal="center"/>
    </xf>
    <xf numFmtId="0" fontId="17" fillId="0" borderId="6" xfId="11" applyFont="1" applyBorder="1" applyAlignment="1">
      <alignment horizontal="center"/>
    </xf>
    <xf numFmtId="0" fontId="7" fillId="0" borderId="4" xfId="11" quotePrefix="1" applyFont="1" applyBorder="1"/>
    <xf numFmtId="0" fontId="6" fillId="0" borderId="5" xfId="11" applyFont="1" applyBorder="1" applyAlignment="1">
      <alignment horizontal="right"/>
    </xf>
    <xf numFmtId="0" fontId="17" fillId="0" borderId="5" xfId="11" applyFont="1" applyBorder="1" applyAlignment="1">
      <alignment horizontal="center"/>
    </xf>
    <xf numFmtId="4" fontId="8" fillId="0" borderId="11" xfId="8" applyNumberFormat="1" applyFont="1" applyBorder="1"/>
    <xf numFmtId="0" fontId="9" fillId="0" borderId="0" xfId="15" applyFont="1"/>
    <xf numFmtId="0" fontId="8" fillId="0" borderId="0" xfId="0" applyFont="1" applyAlignment="1">
      <alignment horizontal="left"/>
    </xf>
    <xf numFmtId="0" fontId="7" fillId="0" borderId="5" xfId="15" applyFont="1" applyBorder="1" applyAlignment="1">
      <alignment horizontal="center"/>
    </xf>
    <xf numFmtId="0" fontId="7" fillId="0" borderId="18" xfId="15" applyFont="1" applyBorder="1"/>
    <xf numFmtId="0" fontId="7" fillId="0" borderId="43" xfId="15" applyFont="1" applyBorder="1"/>
    <xf numFmtId="0" fontId="6" fillId="0" borderId="43" xfId="15" applyFont="1" applyBorder="1"/>
    <xf numFmtId="4" fontId="7" fillId="0" borderId="43" xfId="15" applyNumberFormat="1" applyFont="1" applyBorder="1"/>
    <xf numFmtId="0" fontId="6" fillId="0" borderId="43" xfId="15" applyFont="1" applyBorder="1" applyAlignment="1">
      <alignment horizontal="right"/>
    </xf>
    <xf numFmtId="0" fontId="7" fillId="0" borderId="20" xfId="15" applyFont="1" applyBorder="1"/>
    <xf numFmtId="0" fontId="6" fillId="0" borderId="2" xfId="15" quotePrefix="1" applyFont="1" applyBorder="1" applyAlignment="1">
      <alignment horizontal="center"/>
    </xf>
    <xf numFmtId="0" fontId="6" fillId="0" borderId="18" xfId="15" applyFont="1" applyBorder="1" applyAlignment="1">
      <alignment horizontal="center"/>
    </xf>
    <xf numFmtId="4" fontId="8" fillId="0" borderId="5" xfId="15" quotePrefix="1" applyNumberFormat="1" applyFont="1" applyBorder="1" applyAlignment="1">
      <alignment horizontal="center"/>
    </xf>
    <xf numFmtId="4" fontId="8" fillId="0" borderId="5" xfId="15" applyNumberFormat="1" applyFont="1" applyBorder="1"/>
    <xf numFmtId="0" fontId="36" fillId="0" borderId="0" xfId="0" applyFont="1"/>
    <xf numFmtId="0" fontId="35" fillId="0" borderId="0" xfId="0" applyFont="1"/>
    <xf numFmtId="1" fontId="9" fillId="0" borderId="6" xfId="0" applyNumberFormat="1" applyFont="1" applyBorder="1"/>
    <xf numFmtId="1" fontId="9" fillId="0" borderId="2" xfId="0" applyNumberFormat="1" applyFont="1" applyBorder="1"/>
    <xf numFmtId="0" fontId="0" fillId="0" borderId="24" xfId="0" applyBorder="1" applyProtection="1">
      <protection locked="0"/>
    </xf>
    <xf numFmtId="0" fontId="0" fillId="0" borderId="38" xfId="0" applyBorder="1" applyProtection="1">
      <protection locked="0"/>
    </xf>
    <xf numFmtId="0" fontId="0" fillId="0" borderId="5" xfId="0" applyBorder="1" applyProtection="1">
      <protection locked="0"/>
    </xf>
    <xf numFmtId="4" fontId="9" fillId="0" borderId="6" xfId="17" applyNumberFormat="1" applyFont="1" applyBorder="1" applyProtection="1">
      <protection locked="0"/>
    </xf>
    <xf numFmtId="4" fontId="9" fillId="7" borderId="3" xfId="17" applyNumberFormat="1" applyFont="1" applyFill="1" applyBorder="1" applyProtection="1">
      <protection locked="0"/>
    </xf>
    <xf numFmtId="4" fontId="9" fillId="7" borderId="4" xfId="17" applyNumberFormat="1" applyFont="1" applyFill="1" applyBorder="1" applyProtection="1">
      <protection locked="0"/>
    </xf>
    <xf numFmtId="4" fontId="9" fillId="7" borderId="4" xfId="17" applyNumberFormat="1" applyFont="1" applyFill="1" applyBorder="1" applyAlignment="1" applyProtection="1">
      <alignment horizontal="right"/>
      <protection locked="0"/>
    </xf>
    <xf numFmtId="0" fontId="7" fillId="7" borderId="3" xfId="17" quotePrefix="1" applyFont="1" applyFill="1" applyBorder="1" applyAlignment="1" applyProtection="1">
      <alignment horizontal="left"/>
      <protection locked="0"/>
    </xf>
    <xf numFmtId="0" fontId="0" fillId="0" borderId="1" xfId="0" applyBorder="1" applyProtection="1">
      <protection locked="0"/>
    </xf>
    <xf numFmtId="0" fontId="3" fillId="0" borderId="0" xfId="0" applyFont="1" applyAlignment="1" applyProtection="1">
      <alignment horizontal="left"/>
      <protection locked="0"/>
    </xf>
    <xf numFmtId="49" fontId="14" fillId="0" borderId="5" xfId="0" applyNumberFormat="1" applyFont="1" applyBorder="1" applyAlignment="1">
      <alignment wrapText="1"/>
    </xf>
    <xf numFmtId="49" fontId="0" fillId="0" borderId="0" xfId="0" applyNumberFormat="1"/>
    <xf numFmtId="0" fontId="3" fillId="0" borderId="0" xfId="0" applyFont="1"/>
    <xf numFmtId="0" fontId="6" fillId="0" borderId="1" xfId="10" applyFont="1" applyBorder="1" applyAlignment="1">
      <alignment horizontal="center" vertical="top" wrapText="1"/>
    </xf>
    <xf numFmtId="0" fontId="17" fillId="0" borderId="2" xfId="10" quotePrefix="1" applyFont="1" applyBorder="1" applyAlignment="1">
      <alignment horizontal="center"/>
    </xf>
    <xf numFmtId="0" fontId="6" fillId="0" borderId="5" xfId="10" applyFont="1" applyBorder="1"/>
    <xf numFmtId="4" fontId="8" fillId="0" borderId="2" xfId="10" applyNumberFormat="1" applyFont="1" applyBorder="1"/>
    <xf numFmtId="4" fontId="8" fillId="0" borderId="5" xfId="10" applyNumberFormat="1" applyFont="1" applyBorder="1"/>
    <xf numFmtId="0" fontId="7" fillId="0" borderId="6" xfId="10" quotePrefix="1" applyFont="1" applyBorder="1" applyAlignment="1">
      <alignment horizontal="left" indent="2"/>
    </xf>
    <xf numFmtId="4" fontId="9" fillId="0" borderId="6" xfId="10" applyNumberFormat="1" applyFont="1" applyBorder="1"/>
    <xf numFmtId="0" fontId="7" fillId="0" borderId="4" xfId="10" quotePrefix="1" applyFont="1" applyBorder="1" applyAlignment="1">
      <alignment horizontal="left" indent="2"/>
    </xf>
    <xf numFmtId="4" fontId="9" fillId="0" borderId="4" xfId="10" applyNumberFormat="1" applyFont="1" applyBorder="1"/>
    <xf numFmtId="0" fontId="45" fillId="8" borderId="5" xfId="10" applyFont="1" applyFill="1" applyBorder="1" applyAlignment="1">
      <alignment horizontal="center" vertical="top" wrapText="1"/>
    </xf>
    <xf numFmtId="0" fontId="45" fillId="8" borderId="5" xfId="0" applyFont="1" applyFill="1" applyBorder="1" applyAlignment="1">
      <alignment horizontal="center" vertical="top" wrapText="1"/>
    </xf>
    <xf numFmtId="0" fontId="45" fillId="0" borderId="5" xfId="10" applyFont="1" applyBorder="1"/>
    <xf numFmtId="4" fontId="46" fillId="0" borderId="5" xfId="0" applyNumberFormat="1" applyFont="1" applyBorder="1"/>
    <xf numFmtId="4" fontId="45" fillId="8" borderId="5" xfId="10" applyNumberFormat="1" applyFont="1" applyFill="1" applyBorder="1"/>
    <xf numFmtId="4" fontId="9" fillId="0" borderId="3" xfId="9" applyNumberFormat="1" applyFont="1" applyBorder="1" applyProtection="1">
      <protection locked="0"/>
    </xf>
    <xf numFmtId="4" fontId="9" fillId="0" borderId="19" xfId="9" applyNumberFormat="1" applyFont="1" applyBorder="1" applyProtection="1">
      <protection locked="0"/>
    </xf>
    <xf numFmtId="0" fontId="0" fillId="0" borderId="25" xfId="0" applyBorder="1" applyAlignment="1">
      <alignment horizontal="center"/>
    </xf>
    <xf numFmtId="0" fontId="50" fillId="0" borderId="0" xfId="1" applyAlignment="1" applyProtection="1"/>
    <xf numFmtId="0" fontId="55" fillId="0" borderId="7" xfId="0" applyFont="1" applyBorder="1"/>
    <xf numFmtId="0" fontId="55" fillId="0" borderId="0" xfId="0" applyFont="1" applyAlignment="1">
      <alignment vertical="top"/>
    </xf>
    <xf numFmtId="0" fontId="3" fillId="0" borderId="22" xfId="0" applyFont="1" applyBorder="1" applyProtection="1">
      <protection hidden="1"/>
    </xf>
    <xf numFmtId="0" fontId="3" fillId="0" borderId="2" xfId="0" applyFont="1" applyBorder="1" applyAlignment="1" applyProtection="1">
      <alignment horizontal="left"/>
      <protection hidden="1"/>
    </xf>
    <xf numFmtId="0" fontId="14" fillId="0" borderId="2" xfId="0" applyFont="1" applyBorder="1" applyAlignment="1" applyProtection="1">
      <alignment horizontal="center"/>
      <protection hidden="1"/>
    </xf>
    <xf numFmtId="0" fontId="14" fillId="0" borderId="32" xfId="0" applyFont="1" applyBorder="1" applyAlignment="1" applyProtection="1">
      <alignment horizontal="center"/>
      <protection hidden="1"/>
    </xf>
    <xf numFmtId="0" fontId="3" fillId="0" borderId="38" xfId="0" applyFont="1" applyBorder="1" applyProtection="1">
      <protection hidden="1"/>
    </xf>
    <xf numFmtId="0" fontId="3" fillId="0" borderId="24" xfId="0" applyFont="1" applyBorder="1" applyAlignment="1" applyProtection="1">
      <alignment horizontal="left"/>
      <protection hidden="1"/>
    </xf>
    <xf numFmtId="0" fontId="14" fillId="0" borderId="24" xfId="0" applyFont="1" applyBorder="1" applyAlignment="1" applyProtection="1">
      <alignment horizontal="center"/>
      <protection hidden="1"/>
    </xf>
    <xf numFmtId="0" fontId="14" fillId="0" borderId="25" xfId="0" applyFont="1" applyBorder="1" applyAlignment="1" applyProtection="1">
      <alignment horizontal="center"/>
      <protection hidden="1"/>
    </xf>
    <xf numFmtId="0" fontId="0" fillId="0" borderId="32" xfId="0" applyBorder="1"/>
    <xf numFmtId="0" fontId="7" fillId="0" borderId="17" xfId="15" applyFont="1" applyBorder="1"/>
    <xf numFmtId="0" fontId="7" fillId="0" borderId="7" xfId="15" applyFont="1" applyBorder="1"/>
    <xf numFmtId="4" fontId="7" fillId="0" borderId="7" xfId="15" applyNumberFormat="1" applyFont="1" applyBorder="1"/>
    <xf numFmtId="0" fontId="6" fillId="0" borderId="7" xfId="15" applyFont="1" applyBorder="1"/>
    <xf numFmtId="0" fontId="7" fillId="0" borderId="8" xfId="15" applyFont="1" applyBorder="1"/>
    <xf numFmtId="0" fontId="7" fillId="0" borderId="12" xfId="15" applyFont="1" applyBorder="1"/>
    <xf numFmtId="0" fontId="7" fillId="0" borderId="11" xfId="15" applyFont="1" applyBorder="1"/>
    <xf numFmtId="0" fontId="7" fillId="0" borderId="13" xfId="15" applyFont="1" applyBorder="1"/>
    <xf numFmtId="0" fontId="7" fillId="0" borderId="7" xfId="15" quotePrefix="1" applyFont="1" applyBorder="1" applyAlignment="1">
      <alignment horizontal="left"/>
    </xf>
    <xf numFmtId="0" fontId="8" fillId="0" borderId="7" xfId="15" applyFont="1" applyBorder="1" applyAlignment="1">
      <alignment horizontal="left"/>
    </xf>
    <xf numFmtId="0" fontId="8" fillId="0" borderId="11" xfId="15" applyFont="1" applyBorder="1"/>
    <xf numFmtId="4" fontId="8" fillId="0" borderId="0" xfId="8" applyNumberFormat="1" applyFont="1"/>
    <xf numFmtId="14" fontId="9" fillId="0" borderId="6" xfId="15" applyNumberFormat="1" applyFont="1" applyBorder="1" applyAlignment="1">
      <alignment horizontal="center"/>
    </xf>
    <xf numFmtId="14" fontId="9" fillId="0" borderId="3" xfId="15" applyNumberFormat="1" applyFont="1" applyBorder="1" applyAlignment="1">
      <alignment horizontal="center"/>
    </xf>
    <xf numFmtId="4" fontId="9" fillId="0" borderId="3" xfId="15" applyNumberFormat="1" applyFont="1" applyBorder="1"/>
    <xf numFmtId="10" fontId="9" fillId="0" borderId="3" xfId="22" applyNumberFormat="1" applyFont="1" applyFill="1" applyBorder="1" applyAlignment="1"/>
    <xf numFmtId="4" fontId="8" fillId="0" borderId="5" xfId="15" applyNumberFormat="1" applyFont="1" applyBorder="1" applyAlignment="1">
      <alignment horizontal="center"/>
    </xf>
    <xf numFmtId="0" fontId="6" fillId="0" borderId="18" xfId="15" applyFont="1" applyBorder="1"/>
    <xf numFmtId="0" fontId="9" fillId="0" borderId="8" xfId="0" applyFont="1" applyBorder="1"/>
    <xf numFmtId="0" fontId="7" fillId="0" borderId="11" xfId="0" applyFont="1" applyBorder="1"/>
    <xf numFmtId="0" fontId="9" fillId="0" borderId="7" xfId="0" applyFont="1" applyBorder="1"/>
    <xf numFmtId="0" fontId="9" fillId="0" borderId="0" xfId="0" quotePrefix="1" applyFont="1"/>
    <xf numFmtId="4" fontId="9" fillId="0" borderId="1" xfId="15" applyNumberFormat="1" applyFont="1" applyBorder="1"/>
    <xf numFmtId="4" fontId="9" fillId="0" borderId="1" xfId="15" quotePrefix="1" applyNumberFormat="1" applyFont="1" applyBorder="1"/>
    <xf numFmtId="10" fontId="9" fillId="0" borderId="1" xfId="22" applyNumberFormat="1" applyFont="1" applyFill="1" applyBorder="1" applyAlignment="1"/>
    <xf numFmtId="4" fontId="9" fillId="0" borderId="3" xfId="15" quotePrefix="1" applyNumberFormat="1" applyFont="1" applyBorder="1"/>
    <xf numFmtId="0" fontId="63" fillId="0" borderId="5" xfId="15" applyFont="1" applyBorder="1" applyAlignment="1">
      <alignment horizontal="left"/>
    </xf>
    <xf numFmtId="0" fontId="14" fillId="5" borderId="105" xfId="0" applyFont="1" applyFill="1" applyBorder="1" applyAlignment="1">
      <alignment horizontal="center"/>
    </xf>
    <xf numFmtId="4" fontId="8" fillId="0" borderId="5" xfId="10" applyNumberFormat="1" applyFont="1" applyBorder="1" applyProtection="1">
      <protection locked="0"/>
    </xf>
    <xf numFmtId="4" fontId="8" fillId="0" borderId="0" xfId="3" applyNumberFormat="1" applyFont="1" applyProtection="1">
      <protection locked="0"/>
    </xf>
    <xf numFmtId="4" fontId="9" fillId="0" borderId="6" xfId="10" applyNumberFormat="1" applyFont="1" applyBorder="1" applyProtection="1">
      <protection locked="0"/>
    </xf>
    <xf numFmtId="4" fontId="9" fillId="0" borderId="0" xfId="3" applyNumberFormat="1" applyFont="1" applyProtection="1">
      <protection locked="0"/>
    </xf>
    <xf numFmtId="4" fontId="9" fillId="0" borderId="4" xfId="10" applyNumberFormat="1" applyFont="1" applyBorder="1" applyProtection="1">
      <protection locked="0"/>
    </xf>
    <xf numFmtId="0" fontId="7" fillId="0" borderId="79" xfId="0" applyFont="1" applyBorder="1"/>
    <xf numFmtId="49" fontId="14" fillId="0" borderId="5" xfId="0" applyNumberFormat="1" applyFont="1" applyBorder="1" applyAlignment="1">
      <alignment horizontal="center" vertical="center" wrapText="1"/>
    </xf>
    <xf numFmtId="49" fontId="14" fillId="0" borderId="5" xfId="0" applyNumberFormat="1" applyFont="1" applyBorder="1" applyAlignment="1">
      <alignment vertical="center" wrapText="1"/>
    </xf>
    <xf numFmtId="3" fontId="9" fillId="0" borderId="6" xfId="0" applyNumberFormat="1" applyFont="1" applyBorder="1"/>
    <xf numFmtId="3" fontId="9" fillId="0" borderId="2" xfId="0" applyNumberFormat="1" applyFont="1" applyBorder="1"/>
    <xf numFmtId="4" fontId="9" fillId="0" borderId="6" xfId="23" applyNumberFormat="1" applyFont="1" applyBorder="1"/>
    <xf numFmtId="0" fontId="9" fillId="0" borderId="2" xfId="23" applyFont="1" applyBorder="1"/>
    <xf numFmtId="4" fontId="9" fillId="0" borderId="2" xfId="23" applyNumberFormat="1" applyFont="1" applyBorder="1"/>
    <xf numFmtId="0" fontId="9" fillId="0" borderId="6" xfId="23" applyFont="1" applyBorder="1"/>
    <xf numFmtId="4" fontId="9" fillId="0" borderId="21" xfId="23" applyNumberFormat="1" applyFont="1" applyBorder="1"/>
    <xf numFmtId="4" fontId="9" fillId="0" borderId="22" xfId="23" applyNumberFormat="1" applyFont="1" applyBorder="1"/>
    <xf numFmtId="164" fontId="9" fillId="0" borderId="1" xfId="15" applyNumberFormat="1" applyFont="1" applyBorder="1"/>
    <xf numFmtId="164" fontId="9" fillId="0" borderId="3" xfId="15" applyNumberFormat="1" applyFont="1" applyBorder="1"/>
    <xf numFmtId="4" fontId="35" fillId="0" borderId="2" xfId="0" applyNumberFormat="1" applyFont="1" applyBorder="1" applyProtection="1">
      <protection hidden="1"/>
    </xf>
    <xf numFmtId="4" fontId="35" fillId="0" borderId="32" xfId="0" applyNumberFormat="1" applyFont="1" applyBorder="1" applyProtection="1">
      <protection hidden="1"/>
    </xf>
    <xf numFmtId="0" fontId="3" fillId="0" borderId="106" xfId="0" applyFont="1" applyBorder="1" applyProtection="1">
      <protection hidden="1"/>
    </xf>
    <xf numFmtId="0" fontId="3" fillId="0" borderId="107" xfId="0" applyFont="1" applyBorder="1" applyAlignment="1" applyProtection="1">
      <alignment horizontal="left"/>
      <protection hidden="1"/>
    </xf>
    <xf numFmtId="0" fontId="14" fillId="0" borderId="107" xfId="0" applyFont="1" applyBorder="1" applyAlignment="1" applyProtection="1">
      <alignment horizontal="center"/>
      <protection hidden="1"/>
    </xf>
    <xf numFmtId="0" fontId="14" fillId="0" borderId="108" xfId="0" applyFont="1" applyBorder="1" applyAlignment="1" applyProtection="1">
      <alignment horizontal="center"/>
      <protection hidden="1"/>
    </xf>
    <xf numFmtId="0" fontId="6" fillId="0" borderId="20" xfId="13" applyFont="1" applyBorder="1" applyAlignment="1">
      <alignment horizontal="center"/>
    </xf>
    <xf numFmtId="4" fontId="9" fillId="0" borderId="23" xfId="9" applyNumberFormat="1" applyFont="1" applyBorder="1"/>
    <xf numFmtId="4" fontId="8" fillId="0" borderId="23" xfId="9" applyNumberFormat="1" applyFont="1" applyBorder="1"/>
    <xf numFmtId="4" fontId="9" fillId="0" borderId="5" xfId="9" applyNumberFormat="1" applyFont="1" applyBorder="1"/>
    <xf numFmtId="0" fontId="6" fillId="0" borderId="5" xfId="16" applyFont="1" applyBorder="1" applyAlignment="1">
      <alignment horizontal="center"/>
    </xf>
    <xf numFmtId="0" fontId="6" fillId="0" borderId="6" xfId="16" applyFont="1" applyBorder="1" applyAlignment="1">
      <alignment horizontal="center"/>
    </xf>
    <xf numFmtId="0" fontId="6" fillId="0" borderId="3" xfId="16" applyFont="1" applyBorder="1" applyAlignment="1">
      <alignment horizontal="center"/>
    </xf>
    <xf numFmtId="4" fontId="6" fillId="0" borderId="43" xfId="0" applyNumberFormat="1" applyFont="1" applyBorder="1" applyAlignment="1">
      <alignment horizontal="center"/>
    </xf>
    <xf numFmtId="0" fontId="9" fillId="0" borderId="3" xfId="18" quotePrefix="1" applyFont="1" applyBorder="1" applyAlignment="1" applyProtection="1">
      <alignment horizontal="left"/>
      <protection locked="0"/>
    </xf>
    <xf numFmtId="0" fontId="9" fillId="0" borderId="1" xfId="12" applyFont="1" applyBorder="1" applyAlignment="1" applyProtection="1">
      <alignment vertical="top" wrapText="1"/>
      <protection locked="0"/>
    </xf>
    <xf numFmtId="0" fontId="9" fillId="0" borderId="0" xfId="25" applyFont="1"/>
    <xf numFmtId="0" fontId="8" fillId="0" borderId="0" xfId="25" applyFont="1"/>
    <xf numFmtId="0" fontId="6" fillId="0" borderId="0" xfId="25" applyFont="1"/>
    <xf numFmtId="4" fontId="8" fillId="0" borderId="0" xfId="26" quotePrefix="1" applyNumberFormat="1" applyFont="1" applyAlignment="1">
      <alignment horizontal="right"/>
    </xf>
    <xf numFmtId="165" fontId="8" fillId="0" borderId="0" xfId="26" applyNumberFormat="1" applyFont="1" applyAlignment="1">
      <alignment horizontal="center"/>
    </xf>
    <xf numFmtId="4" fontId="8" fillId="0" borderId="0" xfId="27" applyNumberFormat="1" applyFont="1" applyAlignment="1">
      <alignment horizontal="right"/>
    </xf>
    <xf numFmtId="0" fontId="6" fillId="0" borderId="1" xfId="25" applyFont="1" applyBorder="1" applyAlignment="1">
      <alignment horizontal="center"/>
    </xf>
    <xf numFmtId="0" fontId="6" fillId="0" borderId="2" xfId="25" applyFont="1" applyBorder="1" applyAlignment="1">
      <alignment horizontal="center"/>
    </xf>
    <xf numFmtId="0" fontId="9" fillId="0" borderId="6" xfId="25" applyFont="1" applyBorder="1"/>
    <xf numFmtId="0" fontId="7" fillId="0" borderId="6" xfId="25" applyFont="1" applyBorder="1"/>
    <xf numFmtId="4" fontId="9" fillId="0" borderId="6" xfId="28" applyNumberFormat="1" applyFont="1" applyBorder="1" applyAlignment="1"/>
    <xf numFmtId="0" fontId="9" fillId="0" borderId="4" xfId="25" applyFont="1" applyBorder="1"/>
    <xf numFmtId="0" fontId="7" fillId="0" borderId="4" xfId="25" applyFont="1" applyBorder="1"/>
    <xf numFmtId="4" fontId="9" fillId="0" borderId="4" xfId="28" applyNumberFormat="1" applyFont="1" applyBorder="1" applyAlignment="1"/>
    <xf numFmtId="0" fontId="9" fillId="0" borderId="5" xfId="25" applyFont="1" applyBorder="1"/>
    <xf numFmtId="0" fontId="6" fillId="0" borderId="5" xfId="25" applyFont="1" applyBorder="1"/>
    <xf numFmtId="4" fontId="8" fillId="0" borderId="5" xfId="28" applyNumberFormat="1" applyFont="1" applyFill="1" applyBorder="1" applyAlignment="1"/>
    <xf numFmtId="4" fontId="8" fillId="0" borderId="5" xfId="28" applyNumberFormat="1" applyFont="1" applyBorder="1" applyAlignment="1"/>
    <xf numFmtId="0" fontId="7" fillId="0" borderId="0" xfId="25" applyFont="1"/>
    <xf numFmtId="4" fontId="9" fillId="0" borderId="0" xfId="29" applyNumberFormat="1" applyFont="1" applyBorder="1" applyAlignment="1"/>
    <xf numFmtId="0" fontId="7" fillId="0" borderId="17" xfId="25" applyFont="1" applyBorder="1"/>
    <xf numFmtId="0" fontId="7" fillId="0" borderId="8" xfId="25" applyFont="1" applyBorder="1"/>
    <xf numFmtId="0" fontId="7" fillId="0" borderId="12" xfId="25" applyFont="1" applyBorder="1"/>
    <xf numFmtId="0" fontId="7" fillId="0" borderId="13" xfId="25" applyFont="1" applyBorder="1"/>
    <xf numFmtId="4" fontId="6" fillId="0" borderId="5" xfId="29" applyNumberFormat="1" applyFont="1" applyBorder="1" applyAlignment="1">
      <alignment horizontal="center"/>
    </xf>
    <xf numFmtId="4" fontId="8" fillId="0" borderId="0" xfId="28" applyNumberFormat="1" applyFont="1" applyBorder="1" applyAlignment="1"/>
    <xf numFmtId="0" fontId="6" fillId="0" borderId="1" xfId="25" applyFont="1" applyBorder="1"/>
    <xf numFmtId="0" fontId="6" fillId="0" borderId="18" xfId="25" applyFont="1" applyBorder="1"/>
    <xf numFmtId="4" fontId="9" fillId="0" borderId="43" xfId="28" applyNumberFormat="1" applyFont="1" applyBorder="1" applyAlignment="1"/>
    <xf numFmtId="4" fontId="9" fillId="0" borderId="20" xfId="28" applyNumberFormat="1" applyFont="1" applyBorder="1" applyAlignment="1"/>
    <xf numFmtId="0" fontId="9" fillId="0" borderId="18" xfId="25" applyFont="1" applyBorder="1"/>
    <xf numFmtId="0" fontId="6" fillId="0" borderId="20" xfId="25" applyFont="1" applyBorder="1"/>
    <xf numFmtId="0" fontId="9" fillId="0" borderId="57" xfId="25" applyFont="1" applyBorder="1"/>
    <xf numFmtId="0" fontId="7" fillId="0" borderId="110" xfId="25" quotePrefix="1" applyFont="1" applyBorder="1" applyAlignment="1">
      <alignment horizontal="left" indent="3"/>
    </xf>
    <xf numFmtId="0" fontId="9" fillId="0" borderId="54" xfId="25" applyFont="1" applyBorder="1"/>
    <xf numFmtId="0" fontId="7" fillId="0" borderId="75" xfId="25" quotePrefix="1" applyFont="1" applyBorder="1" applyAlignment="1">
      <alignment horizontal="left" indent="3"/>
    </xf>
    <xf numFmtId="0" fontId="9" fillId="0" borderId="49" xfId="25" applyFont="1" applyBorder="1"/>
    <xf numFmtId="0" fontId="7" fillId="0" borderId="50" xfId="25" quotePrefix="1" applyFont="1" applyBorder="1" applyAlignment="1">
      <alignment horizontal="left" indent="3"/>
    </xf>
    <xf numFmtId="0" fontId="8" fillId="0" borderId="18" xfId="25" applyFont="1" applyBorder="1"/>
    <xf numFmtId="0" fontId="6" fillId="0" borderId="43" xfId="25" applyFont="1" applyBorder="1"/>
    <xf numFmtId="0" fontId="7" fillId="0" borderId="0" xfId="30" applyFont="1"/>
    <xf numFmtId="0" fontId="6" fillId="0" borderId="0" xfId="30" applyFont="1"/>
    <xf numFmtId="0" fontId="6" fillId="0" borderId="0" xfId="32" applyFont="1"/>
    <xf numFmtId="0" fontId="7" fillId="0" borderId="0" xfId="32" applyFont="1"/>
    <xf numFmtId="0" fontId="6" fillId="0" borderId="5" xfId="32" applyFont="1" applyBorder="1" applyAlignment="1">
      <alignment horizontal="center" vertical="top" wrapText="1"/>
    </xf>
    <xf numFmtId="0" fontId="9" fillId="0" borderId="0" xfId="33" applyFont="1"/>
    <xf numFmtId="0" fontId="8" fillId="0" borderId="0" xfId="33" applyFont="1"/>
    <xf numFmtId="0" fontId="6" fillId="0" borderId="5" xfId="33" applyFont="1" applyBorder="1" applyAlignment="1">
      <alignment horizontal="center" vertical="center" wrapText="1"/>
    </xf>
    <xf numFmtId="168" fontId="8" fillId="0" borderId="20" xfId="29" applyNumberFormat="1" applyFont="1" applyBorder="1" applyAlignment="1"/>
    <xf numFmtId="168" fontId="8" fillId="0" borderId="5" xfId="29" applyNumberFormat="1" applyFont="1" applyBorder="1" applyAlignment="1"/>
    <xf numFmtId="10" fontId="8" fillId="2" borderId="6" xfId="22" quotePrefix="1" applyNumberFormat="1" applyFont="1" applyFill="1" applyBorder="1" applyAlignment="1" applyProtection="1">
      <alignment horizontal="center"/>
    </xf>
    <xf numFmtId="4" fontId="9" fillId="7" borderId="5" xfId="16" applyNumberFormat="1" applyFont="1" applyFill="1" applyBorder="1" applyProtection="1">
      <protection locked="0"/>
    </xf>
    <xf numFmtId="10" fontId="9" fillId="7" borderId="3" xfId="22" applyNumberFormat="1" applyFont="1" applyFill="1" applyBorder="1" applyProtection="1">
      <protection locked="0"/>
    </xf>
    <xf numFmtId="10" fontId="8" fillId="2" borderId="3" xfId="22" quotePrefix="1" applyNumberFormat="1" applyFont="1" applyFill="1" applyBorder="1" applyAlignment="1" applyProtection="1">
      <alignment horizontal="center"/>
    </xf>
    <xf numFmtId="4" fontId="9" fillId="7" borderId="3" xfId="16" applyNumberFormat="1" applyFont="1" applyFill="1" applyBorder="1" applyProtection="1">
      <protection locked="0"/>
    </xf>
    <xf numFmtId="4" fontId="9" fillId="7" borderId="4" xfId="16" quotePrefix="1" applyNumberFormat="1" applyFont="1" applyFill="1" applyBorder="1" applyProtection="1">
      <protection locked="0"/>
    </xf>
    <xf numFmtId="4" fontId="8" fillId="0" borderId="5" xfId="16" applyNumberFormat="1" applyFont="1" applyBorder="1"/>
    <xf numFmtId="10" fontId="8" fillId="2" borderId="5" xfId="22" quotePrefix="1" applyNumberFormat="1" applyFont="1" applyFill="1" applyBorder="1" applyAlignment="1" applyProtection="1">
      <alignment horizontal="center"/>
    </xf>
    <xf numFmtId="0" fontId="7" fillId="0" borderId="19" xfId="33" quotePrefix="1" applyFont="1" applyBorder="1" applyAlignment="1">
      <alignment horizontal="left"/>
    </xf>
    <xf numFmtId="0" fontId="9" fillId="0" borderId="110" xfId="30" applyFont="1" applyBorder="1" applyAlignment="1">
      <alignment vertical="top" wrapText="1"/>
    </xf>
    <xf numFmtId="0" fontId="26" fillId="0" borderId="57" xfId="30" applyFont="1" applyBorder="1" applyAlignment="1">
      <alignment vertical="top" wrapText="1"/>
    </xf>
    <xf numFmtId="0" fontId="8" fillId="0" borderId="110" xfId="30" applyFont="1" applyBorder="1" applyAlignment="1">
      <alignment vertical="top" wrapText="1"/>
    </xf>
    <xf numFmtId="0" fontId="27" fillId="0" borderId="57" xfId="30" applyFont="1" applyBorder="1" applyAlignment="1">
      <alignment horizontal="left" vertical="top" wrapText="1" indent="2"/>
    </xf>
    <xf numFmtId="0" fontId="26" fillId="0" borderId="53" xfId="30" applyFont="1" applyBorder="1" applyAlignment="1">
      <alignment vertical="top" wrapText="1"/>
    </xf>
    <xf numFmtId="0" fontId="9" fillId="0" borderId="74" xfId="30" applyFont="1" applyBorder="1" applyAlignment="1">
      <alignment vertical="top" wrapText="1"/>
    </xf>
    <xf numFmtId="0" fontId="6" fillId="0" borderId="5" xfId="33" applyFont="1" applyBorder="1" applyAlignment="1">
      <alignment horizontal="right"/>
    </xf>
    <xf numFmtId="0" fontId="9" fillId="0" borderId="6" xfId="32" applyFont="1" applyBorder="1" applyAlignment="1">
      <alignment vertical="top" wrapText="1"/>
    </xf>
    <xf numFmtId="0" fontId="9" fillId="0" borderId="3" xfId="32" applyFont="1" applyBorder="1" applyAlignment="1">
      <alignment vertical="top" wrapText="1"/>
    </xf>
    <xf numFmtId="0" fontId="9" fillId="0" borderId="4" xfId="32" applyFont="1" applyBorder="1" applyAlignment="1">
      <alignment vertical="top" wrapText="1"/>
    </xf>
    <xf numFmtId="0" fontId="27" fillId="0" borderId="6" xfId="32" applyFont="1" applyBorder="1" applyAlignment="1">
      <alignment vertical="top" wrapText="1"/>
    </xf>
    <xf numFmtId="0" fontId="9" fillId="0" borderId="74" xfId="32" applyFont="1" applyBorder="1"/>
    <xf numFmtId="0" fontId="27" fillId="0" borderId="3" xfId="32" applyFont="1" applyBorder="1" applyAlignment="1">
      <alignment vertical="top" wrapText="1"/>
    </xf>
    <xf numFmtId="0" fontId="9" fillId="0" borderId="50" xfId="32" applyFont="1" applyBorder="1"/>
    <xf numFmtId="0" fontId="8" fillId="0" borderId="5" xfId="16" applyFont="1" applyBorder="1"/>
    <xf numFmtId="0" fontId="8" fillId="0" borderId="6" xfId="16" applyFont="1" applyBorder="1"/>
    <xf numFmtId="0" fontId="9" fillId="7" borderId="3" xfId="16" applyFont="1" applyFill="1" applyBorder="1" applyAlignment="1" applyProtection="1">
      <alignment horizontal="left" indent="2"/>
      <protection locked="0"/>
    </xf>
    <xf numFmtId="0" fontId="9" fillId="0" borderId="3" xfId="16" applyFont="1" applyBorder="1" applyAlignment="1">
      <alignment horizontal="left" indent="2"/>
    </xf>
    <xf numFmtId="4" fontId="9" fillId="0" borderId="32" xfId="7" applyNumberFormat="1" applyFont="1" applyBorder="1" applyProtection="1">
      <protection locked="0"/>
    </xf>
    <xf numFmtId="1" fontId="9" fillId="0" borderId="3" xfId="0" quotePrefix="1" applyNumberFormat="1" applyFont="1" applyBorder="1" applyAlignment="1" applyProtection="1">
      <alignment horizontal="center"/>
      <protection locked="0"/>
    </xf>
    <xf numFmtId="4" fontId="6" fillId="0" borderId="18" xfId="29" applyNumberFormat="1" applyFont="1" applyBorder="1" applyAlignment="1">
      <alignment horizontal="center"/>
    </xf>
    <xf numFmtId="4" fontId="6" fillId="0" borderId="26" xfId="29" applyNumberFormat="1" applyFont="1" applyBorder="1" applyAlignment="1">
      <alignment horizontal="center"/>
    </xf>
    <xf numFmtId="4" fontId="9" fillId="0" borderId="95" xfId="28" applyNumberFormat="1" applyFont="1" applyBorder="1" applyAlignment="1"/>
    <xf numFmtId="0" fontId="69" fillId="0" borderId="34" xfId="0" applyFont="1" applyBorder="1"/>
    <xf numFmtId="0" fontId="3" fillId="0" borderId="34" xfId="0" applyFont="1" applyBorder="1"/>
    <xf numFmtId="0" fontId="3" fillId="0" borderId="22" xfId="0" applyFont="1" applyBorder="1"/>
    <xf numFmtId="0" fontId="3" fillId="0" borderId="35" xfId="0" applyFont="1" applyBorder="1"/>
    <xf numFmtId="168" fontId="9" fillId="7" borderId="110" xfId="29" applyNumberFormat="1" applyFont="1" applyFill="1" applyBorder="1" applyAlignment="1" applyProtection="1">
      <protection locked="0"/>
    </xf>
    <xf numFmtId="4" fontId="9" fillId="0" borderId="5" xfId="28" applyNumberFormat="1" applyFont="1" applyBorder="1" applyAlignment="1" applyProtection="1">
      <protection locked="0"/>
    </xf>
    <xf numFmtId="4" fontId="8" fillId="0" borderId="18" xfId="28" applyNumberFormat="1" applyFont="1" applyBorder="1" applyAlignment="1" applyProtection="1">
      <protection locked="0"/>
    </xf>
    <xf numFmtId="4" fontId="9" fillId="0" borderId="26" xfId="28" applyNumberFormat="1" applyFont="1" applyBorder="1" applyAlignment="1" applyProtection="1">
      <protection locked="0"/>
    </xf>
    <xf numFmtId="4" fontId="8" fillId="0" borderId="5" xfId="28" applyNumberFormat="1" applyFont="1" applyBorder="1" applyAlignment="1" applyProtection="1">
      <protection locked="0"/>
    </xf>
    <xf numFmtId="4" fontId="9" fillId="0" borderId="19" xfId="28" applyNumberFormat="1" applyFont="1" applyBorder="1" applyAlignment="1" applyProtection="1">
      <protection locked="0"/>
    </xf>
    <xf numFmtId="4" fontId="9" fillId="0" borderId="57" xfId="28" applyNumberFormat="1" applyFont="1" applyBorder="1" applyAlignment="1" applyProtection="1">
      <protection locked="0"/>
    </xf>
    <xf numFmtId="4" fontId="9" fillId="0" borderId="58" xfId="28" applyNumberFormat="1" applyFont="1" applyBorder="1" applyAlignment="1" applyProtection="1">
      <protection locked="0"/>
    </xf>
    <xf numFmtId="4" fontId="9" fillId="0" borderId="4" xfId="28" applyNumberFormat="1" applyFont="1" applyBorder="1" applyAlignment="1" applyProtection="1">
      <protection locked="0"/>
    </xf>
    <xf numFmtId="4" fontId="9" fillId="0" borderId="54" xfId="28" applyNumberFormat="1" applyFont="1" applyBorder="1" applyAlignment="1" applyProtection="1">
      <protection locked="0"/>
    </xf>
    <xf numFmtId="4" fontId="9" fillId="0" borderId="56" xfId="28" applyNumberFormat="1" applyFont="1" applyBorder="1" applyAlignment="1" applyProtection="1">
      <protection locked="0"/>
    </xf>
    <xf numFmtId="4" fontId="9" fillId="0" borderId="3" xfId="28" applyNumberFormat="1" applyFont="1" applyBorder="1" applyAlignment="1" applyProtection="1">
      <protection locked="0"/>
    </xf>
    <xf numFmtId="4" fontId="9" fillId="0" borderId="49" xfId="28" applyNumberFormat="1" applyFont="1" applyBorder="1" applyAlignment="1" applyProtection="1">
      <protection locked="0"/>
    </xf>
    <xf numFmtId="4" fontId="9" fillId="0" borderId="55" xfId="28" applyNumberFormat="1" applyFont="1" applyBorder="1" applyAlignment="1" applyProtection="1">
      <protection locked="0"/>
    </xf>
    <xf numFmtId="4" fontId="9" fillId="7" borderId="54" xfId="28" applyNumberFormat="1" applyFont="1" applyFill="1" applyBorder="1" applyAlignment="1" applyProtection="1">
      <protection locked="0"/>
    </xf>
    <xf numFmtId="4" fontId="9" fillId="7" borderId="4" xfId="28" applyNumberFormat="1" applyFont="1" applyFill="1" applyBorder="1" applyAlignment="1" applyProtection="1">
      <protection locked="0"/>
    </xf>
    <xf numFmtId="4" fontId="9" fillId="7" borderId="19" xfId="28" applyNumberFormat="1" applyFont="1" applyFill="1" applyBorder="1" applyAlignment="1" applyProtection="1">
      <protection locked="0"/>
    </xf>
    <xf numFmtId="4" fontId="8" fillId="7" borderId="18" xfId="28" applyNumberFormat="1" applyFont="1" applyFill="1" applyBorder="1" applyAlignment="1" applyProtection="1">
      <protection locked="0"/>
    </xf>
    <xf numFmtId="4" fontId="8" fillId="0" borderId="26" xfId="28" applyNumberFormat="1" applyFont="1" applyBorder="1" applyAlignment="1" applyProtection="1">
      <protection locked="0"/>
    </xf>
    <xf numFmtId="4" fontId="8" fillId="7" borderId="5" xfId="28" applyNumberFormat="1" applyFont="1" applyFill="1" applyBorder="1" applyAlignment="1" applyProtection="1">
      <protection locked="0"/>
    </xf>
    <xf numFmtId="4" fontId="9" fillId="7" borderId="58" xfId="28" applyNumberFormat="1" applyFont="1" applyFill="1" applyBorder="1" applyAlignment="1" applyProtection="1">
      <protection locked="0"/>
    </xf>
    <xf numFmtId="4" fontId="9" fillId="7" borderId="55" xfId="28" applyNumberFormat="1" applyFont="1" applyFill="1" applyBorder="1" applyAlignment="1" applyProtection="1">
      <protection locked="0"/>
    </xf>
    <xf numFmtId="4" fontId="9" fillId="7" borderId="3" xfId="28" applyNumberFormat="1" applyFont="1" applyFill="1" applyBorder="1" applyAlignment="1" applyProtection="1">
      <protection locked="0"/>
    </xf>
    <xf numFmtId="4" fontId="9" fillId="7" borderId="56" xfId="28" applyNumberFormat="1" applyFont="1" applyFill="1" applyBorder="1" applyAlignment="1" applyProtection="1">
      <protection locked="0"/>
    </xf>
    <xf numFmtId="4" fontId="8" fillId="7" borderId="26" xfId="28" applyNumberFormat="1" applyFont="1" applyFill="1" applyBorder="1" applyAlignment="1" applyProtection="1">
      <protection locked="0"/>
    </xf>
    <xf numFmtId="0" fontId="9" fillId="7" borderId="50" xfId="30" applyFont="1" applyFill="1" applyBorder="1" applyAlignment="1" applyProtection="1">
      <alignment vertical="top" wrapText="1"/>
      <protection locked="0"/>
    </xf>
    <xf numFmtId="0" fontId="9" fillId="7" borderId="75" xfId="30" applyFont="1" applyFill="1" applyBorder="1" applyAlignment="1" applyProtection="1">
      <alignment vertical="top" wrapText="1"/>
      <protection locked="0"/>
    </xf>
    <xf numFmtId="0" fontId="9" fillId="7" borderId="6" xfId="32" applyFont="1" applyFill="1" applyBorder="1" applyAlignment="1" applyProtection="1">
      <alignment vertical="top" wrapText="1"/>
      <protection locked="0"/>
    </xf>
    <xf numFmtId="0" fontId="9" fillId="7" borderId="3" xfId="32" applyFont="1" applyFill="1" applyBorder="1" applyAlignment="1" applyProtection="1">
      <alignment vertical="top" wrapText="1"/>
      <protection locked="0"/>
    </xf>
    <xf numFmtId="0" fontId="9" fillId="7" borderId="4" xfId="32" applyFont="1" applyFill="1" applyBorder="1" applyAlignment="1" applyProtection="1">
      <alignment vertical="top" wrapText="1"/>
      <protection locked="0"/>
    </xf>
    <xf numFmtId="0" fontId="9" fillId="7" borderId="3" xfId="30" applyFont="1" applyFill="1" applyBorder="1" applyProtection="1">
      <protection locked="0"/>
    </xf>
    <xf numFmtId="0" fontId="9" fillId="7" borderId="50" xfId="32" applyFont="1" applyFill="1" applyBorder="1" applyProtection="1">
      <protection locked="0"/>
    </xf>
    <xf numFmtId="0" fontId="7" fillId="0" borderId="0" xfId="32" applyFont="1" applyProtection="1">
      <protection locked="0"/>
    </xf>
    <xf numFmtId="0" fontId="9" fillId="7" borderId="3" xfId="32" applyFont="1" applyFill="1" applyBorder="1" applyProtection="1">
      <protection locked="0"/>
    </xf>
    <xf numFmtId="0" fontId="9" fillId="7" borderId="4" xfId="32" applyFont="1" applyFill="1" applyBorder="1" applyProtection="1">
      <protection locked="0"/>
    </xf>
    <xf numFmtId="0" fontId="9" fillId="7" borderId="75" xfId="32" applyFont="1" applyFill="1" applyBorder="1" applyProtection="1">
      <protection locked="0"/>
    </xf>
    <xf numFmtId="0" fontId="37" fillId="0" borderId="0" xfId="0" applyFont="1"/>
    <xf numFmtId="0" fontId="7" fillId="0" borderId="0" xfId="16" applyFont="1"/>
    <xf numFmtId="0" fontId="6" fillId="0" borderId="8" xfId="16" applyFont="1" applyBorder="1" applyAlignment="1">
      <alignment horizontal="center" vertical="top" wrapText="1"/>
    </xf>
    <xf numFmtId="0" fontId="6" fillId="0" borderId="1" xfId="16" applyFont="1" applyBorder="1" applyAlignment="1">
      <alignment horizontal="center" vertical="top" wrapText="1"/>
    </xf>
    <xf numFmtId="0" fontId="17" fillId="0" borderId="2" xfId="16" quotePrefix="1" applyFont="1" applyBorder="1" applyAlignment="1">
      <alignment horizontal="center"/>
    </xf>
    <xf numFmtId="0" fontId="6" fillId="0" borderId="3" xfId="16" applyFont="1" applyBorder="1" applyAlignment="1" applyProtection="1">
      <alignment horizontal="center"/>
      <protection locked="0"/>
    </xf>
    <xf numFmtId="0" fontId="6" fillId="0" borderId="4" xfId="16" applyFont="1" applyBorder="1" applyAlignment="1" applyProtection="1">
      <alignment horizontal="center"/>
      <protection locked="0"/>
    </xf>
    <xf numFmtId="4" fontId="8" fillId="7" borderId="6" xfId="22" quotePrefix="1" applyNumberFormat="1" applyFont="1" applyFill="1" applyBorder="1" applyAlignment="1" applyProtection="1"/>
    <xf numFmtId="10" fontId="8" fillId="2" borderId="3" xfId="22" quotePrefix="1" applyNumberFormat="1" applyFont="1" applyFill="1" applyBorder="1" applyAlignment="1" applyProtection="1">
      <alignment horizontal="center"/>
      <protection locked="0"/>
    </xf>
    <xf numFmtId="10" fontId="8" fillId="2" borderId="4" xfId="22" quotePrefix="1" applyNumberFormat="1" applyFont="1" applyFill="1" applyBorder="1" applyAlignment="1" applyProtection="1">
      <alignment horizontal="center"/>
      <protection locked="0"/>
    </xf>
    <xf numFmtId="0" fontId="7" fillId="0" borderId="49" xfId="30" applyFont="1" applyBorder="1" applyAlignment="1">
      <alignment horizontal="left" vertical="top" wrapText="1" indent="4"/>
    </xf>
    <xf numFmtId="0" fontId="7" fillId="0" borderId="54" xfId="30" applyFont="1" applyBorder="1" applyAlignment="1">
      <alignment horizontal="left" vertical="top" wrapText="1" indent="4"/>
    </xf>
    <xf numFmtId="0" fontId="39" fillId="6" borderId="0" xfId="0" applyFont="1" applyFill="1" applyProtection="1">
      <protection hidden="1"/>
    </xf>
    <xf numFmtId="0" fontId="41" fillId="6" borderId="0" xfId="0" applyFont="1" applyFill="1" applyProtection="1">
      <protection hidden="1"/>
    </xf>
    <xf numFmtId="0" fontId="54" fillId="6" borderId="0" xfId="0" applyFont="1" applyFill="1" applyAlignment="1" applyProtection="1">
      <alignment vertical="center"/>
      <protection hidden="1"/>
    </xf>
    <xf numFmtId="0" fontId="40" fillId="6" borderId="0" xfId="0" applyFont="1" applyFill="1" applyAlignment="1" applyProtection="1">
      <alignment vertical="center"/>
      <protection hidden="1"/>
    </xf>
    <xf numFmtId="0" fontId="39" fillId="6" borderId="99" xfId="0" applyFont="1" applyFill="1" applyBorder="1" applyProtection="1">
      <protection hidden="1"/>
    </xf>
    <xf numFmtId="0" fontId="40" fillId="6" borderId="99" xfId="0" applyFont="1" applyFill="1" applyBorder="1" applyAlignment="1" applyProtection="1">
      <alignment horizontal="center" vertical="center"/>
      <protection hidden="1"/>
    </xf>
    <xf numFmtId="0" fontId="40" fillId="6" borderId="99" xfId="0" applyFont="1" applyFill="1" applyBorder="1" applyAlignment="1" applyProtection="1">
      <alignment vertical="center"/>
      <protection hidden="1"/>
    </xf>
    <xf numFmtId="0" fontId="62" fillId="6" borderId="0" xfId="0" applyFont="1" applyFill="1" applyProtection="1">
      <protection locked="0" hidden="1"/>
    </xf>
    <xf numFmtId="0" fontId="42" fillId="6" borderId="0" xfId="0" applyFont="1" applyFill="1" applyProtection="1">
      <protection hidden="1"/>
    </xf>
    <xf numFmtId="0" fontId="52" fillId="6" borderId="101" xfId="0" applyFont="1" applyFill="1" applyBorder="1" applyProtection="1">
      <protection hidden="1"/>
    </xf>
    <xf numFmtId="0" fontId="51" fillId="6" borderId="0" xfId="0" applyFont="1" applyFill="1" applyProtection="1">
      <protection hidden="1"/>
    </xf>
    <xf numFmtId="0" fontId="42" fillId="6" borderId="0" xfId="0" applyFont="1" applyFill="1" applyAlignment="1" applyProtection="1">
      <alignment horizontal="left"/>
      <protection hidden="1"/>
    </xf>
    <xf numFmtId="0" fontId="58" fillId="6" borderId="0" xfId="0" applyFont="1" applyFill="1" applyProtection="1">
      <protection hidden="1"/>
    </xf>
    <xf numFmtId="0" fontId="59" fillId="6" borderId="0" xfId="0" applyFont="1" applyFill="1" applyAlignment="1" applyProtection="1">
      <alignment horizontal="left"/>
      <protection hidden="1"/>
    </xf>
    <xf numFmtId="0" fontId="60" fillId="6" borderId="0" xfId="0" applyFont="1" applyFill="1" applyProtection="1">
      <protection hidden="1"/>
    </xf>
    <xf numFmtId="0" fontId="56" fillId="6" borderId="101" xfId="0" applyFont="1" applyFill="1" applyBorder="1" applyAlignment="1" applyProtection="1">
      <alignment vertical="top"/>
      <protection hidden="1"/>
    </xf>
    <xf numFmtId="0" fontId="56" fillId="6" borderId="101" xfId="0" applyFont="1" applyFill="1" applyBorder="1" applyProtection="1">
      <protection hidden="1"/>
    </xf>
    <xf numFmtId="0" fontId="43" fillId="6" borderId="0" xfId="0" applyFont="1" applyFill="1" applyProtection="1">
      <protection hidden="1"/>
    </xf>
    <xf numFmtId="0" fontId="25" fillId="6" borderId="0" xfId="0" applyFont="1" applyFill="1" applyProtection="1">
      <protection hidden="1"/>
    </xf>
    <xf numFmtId="0" fontId="71" fillId="6" borderId="100" xfId="0" applyFont="1" applyFill="1" applyBorder="1" applyProtection="1">
      <protection hidden="1"/>
    </xf>
    <xf numFmtId="0" fontId="71" fillId="6" borderId="100" xfId="0" applyFont="1" applyFill="1" applyBorder="1" applyAlignment="1" applyProtection="1">
      <alignment vertical="top"/>
      <protection hidden="1"/>
    </xf>
    <xf numFmtId="0" fontId="37" fillId="0" borderId="0" xfId="23" applyFont="1"/>
    <xf numFmtId="0" fontId="8" fillId="0" borderId="0" xfId="23" applyFont="1" applyProtection="1">
      <protection hidden="1"/>
    </xf>
    <xf numFmtId="0" fontId="6" fillId="0" borderId="0" xfId="23" applyFont="1" applyAlignment="1">
      <alignment horizontal="left"/>
    </xf>
    <xf numFmtId="0" fontId="8" fillId="0" borderId="0" xfId="23" applyFont="1" applyAlignment="1" applyProtection="1">
      <alignment horizontal="right"/>
      <protection hidden="1"/>
    </xf>
    <xf numFmtId="0" fontId="7" fillId="0" borderId="0" xfId="23" applyFont="1"/>
    <xf numFmtId="0" fontId="7" fillId="0" borderId="6" xfId="16" applyFont="1" applyBorder="1" applyAlignment="1">
      <alignment horizontal="center"/>
    </xf>
    <xf numFmtId="0" fontId="6" fillId="0" borderId="6" xfId="16" applyFont="1" applyBorder="1"/>
    <xf numFmtId="4" fontId="7" fillId="0" borderId="6" xfId="16" applyNumberFormat="1" applyFont="1" applyBorder="1" applyProtection="1">
      <protection locked="0"/>
    </xf>
    <xf numFmtId="0" fontId="7" fillId="0" borderId="3" xfId="16" applyFont="1" applyBorder="1" applyAlignment="1">
      <alignment horizontal="center"/>
    </xf>
    <xf numFmtId="0" fontId="7" fillId="0" borderId="3" xfId="16" applyFont="1" applyBorder="1"/>
    <xf numFmtId="4" fontId="7" fillId="0" borderId="3" xfId="16" applyNumberFormat="1" applyFont="1" applyBorder="1" applyProtection="1">
      <protection locked="0"/>
    </xf>
    <xf numFmtId="0" fontId="7" fillId="0" borderId="4" xfId="16" applyFont="1" applyBorder="1" applyAlignment="1">
      <alignment horizontal="center"/>
    </xf>
    <xf numFmtId="0" fontId="7" fillId="0" borderId="4" xfId="16" applyFont="1" applyBorder="1"/>
    <xf numFmtId="4" fontId="7" fillId="0" borderId="4" xfId="16" applyNumberFormat="1" applyFont="1" applyBorder="1" applyProtection="1">
      <protection locked="0"/>
    </xf>
    <xf numFmtId="4" fontId="7" fillId="0" borderId="4" xfId="16" quotePrefix="1" applyNumberFormat="1" applyFont="1" applyBorder="1" applyAlignment="1" applyProtection="1">
      <alignment horizontal="right"/>
      <protection locked="0"/>
    </xf>
    <xf numFmtId="0" fontId="7" fillId="0" borderId="0" xfId="23" quotePrefix="1" applyFont="1" applyAlignment="1">
      <alignment horizontal="left"/>
    </xf>
    <xf numFmtId="4" fontId="7" fillId="0" borderId="6" xfId="16" applyNumberFormat="1" applyFont="1" applyBorder="1" applyAlignment="1" applyProtection="1">
      <alignment horizontal="right"/>
      <protection locked="0"/>
    </xf>
    <xf numFmtId="4" fontId="7" fillId="0" borderId="3" xfId="16" applyNumberFormat="1" applyFont="1" applyBorder="1" applyAlignment="1" applyProtection="1">
      <alignment horizontal="right"/>
      <protection locked="0"/>
    </xf>
    <xf numFmtId="0" fontId="7" fillId="0" borderId="0" xfId="23" quotePrefix="1" applyFont="1"/>
    <xf numFmtId="0" fontId="7" fillId="0" borderId="5" xfId="16" applyFont="1" applyBorder="1" applyAlignment="1">
      <alignment horizontal="center"/>
    </xf>
    <xf numFmtId="0" fontId="6" fillId="0" borderId="20" xfId="16" applyFont="1" applyBorder="1"/>
    <xf numFmtId="4" fontId="6" fillId="0" borderId="23" xfId="16" applyNumberFormat="1" applyFont="1" applyBorder="1" applyProtection="1">
      <protection locked="0"/>
    </xf>
    <xf numFmtId="0" fontId="7" fillId="0" borderId="6" xfId="16" applyFont="1" applyBorder="1"/>
    <xf numFmtId="4" fontId="6" fillId="0" borderId="2" xfId="16" applyNumberFormat="1" applyFont="1" applyBorder="1" applyProtection="1">
      <protection locked="0"/>
    </xf>
    <xf numFmtId="0" fontId="23" fillId="0" borderId="0" xfId="16" applyFont="1"/>
    <xf numFmtId="10" fontId="7" fillId="0" borderId="0" xfId="22" applyNumberFormat="1" applyFont="1" applyFill="1"/>
    <xf numFmtId="0" fontId="14" fillId="0" borderId="5" xfId="0" applyFont="1" applyBorder="1" applyAlignment="1">
      <alignment horizontal="left" wrapText="1"/>
    </xf>
    <xf numFmtId="0" fontId="54" fillId="6" borderId="0" xfId="0" applyFont="1" applyFill="1" applyAlignment="1" applyProtection="1">
      <alignment vertical="center"/>
      <protection hidden="1"/>
    </xf>
    <xf numFmtId="0" fontId="61" fillId="6" borderId="0" xfId="1" applyFont="1" applyFill="1" applyBorder="1" applyAlignment="1" applyProtection="1">
      <alignment horizontal="right" vertical="center"/>
      <protection hidden="1"/>
    </xf>
    <xf numFmtId="0" fontId="57" fillId="6" borderId="102" xfId="0" applyFont="1" applyFill="1" applyBorder="1" applyAlignment="1" applyProtection="1">
      <alignment horizontal="left" vertical="top" wrapText="1"/>
      <protection locked="0"/>
    </xf>
    <xf numFmtId="0" fontId="57" fillId="6" borderId="103" xfId="0" quotePrefix="1" applyFont="1" applyFill="1" applyBorder="1" applyAlignment="1" applyProtection="1">
      <alignment horizontal="left" vertical="top" wrapText="1"/>
      <protection locked="0"/>
    </xf>
    <xf numFmtId="0" fontId="57" fillId="6" borderId="104" xfId="0" quotePrefix="1" applyFont="1" applyFill="1" applyBorder="1" applyAlignment="1" applyProtection="1">
      <alignment horizontal="left" vertical="top" wrapText="1"/>
      <protection locked="0"/>
    </xf>
    <xf numFmtId="0" fontId="57" fillId="6" borderId="102" xfId="0" applyFont="1" applyFill="1" applyBorder="1" applyAlignment="1" applyProtection="1">
      <alignment horizontal="left"/>
      <protection locked="0"/>
    </xf>
    <xf numFmtId="0" fontId="57" fillId="6" borderId="103" xfId="0" quotePrefix="1" applyFont="1" applyFill="1" applyBorder="1" applyAlignment="1" applyProtection="1">
      <alignment horizontal="left"/>
      <protection locked="0"/>
    </xf>
    <xf numFmtId="0" fontId="57" fillId="6" borderId="104" xfId="0" quotePrefix="1" applyFont="1" applyFill="1" applyBorder="1" applyAlignment="1" applyProtection="1">
      <alignment horizontal="left"/>
      <protection locked="0"/>
    </xf>
    <xf numFmtId="14" fontId="25" fillId="6" borderId="102" xfId="0" applyNumberFormat="1" applyFont="1" applyFill="1" applyBorder="1" applyAlignment="1" applyProtection="1">
      <alignment horizontal="left"/>
      <protection locked="0"/>
    </xf>
    <xf numFmtId="14" fontId="25" fillId="6" borderId="103" xfId="0" applyNumberFormat="1" applyFont="1" applyFill="1" applyBorder="1" applyAlignment="1" applyProtection="1">
      <alignment horizontal="left"/>
      <protection locked="0"/>
    </xf>
    <xf numFmtId="14" fontId="25" fillId="6" borderId="104" xfId="0" applyNumberFormat="1" applyFont="1" applyFill="1" applyBorder="1" applyAlignment="1" applyProtection="1">
      <alignment horizontal="left"/>
      <protection locked="0"/>
    </xf>
    <xf numFmtId="0" fontId="70" fillId="6" borderId="0" xfId="0" applyFont="1" applyFill="1" applyAlignment="1" applyProtection="1">
      <alignment vertical="center"/>
      <protection hidden="1"/>
    </xf>
    <xf numFmtId="0" fontId="25" fillId="6" borderId="102" xfId="0" applyFont="1" applyFill="1" applyBorder="1" applyAlignment="1" applyProtection="1">
      <alignment horizontal="left"/>
      <protection locked="0"/>
    </xf>
    <xf numFmtId="0" fontId="25" fillId="6" borderId="103" xfId="0" quotePrefix="1" applyFont="1" applyFill="1" applyBorder="1" applyAlignment="1" applyProtection="1">
      <alignment horizontal="left"/>
      <protection locked="0"/>
    </xf>
    <xf numFmtId="0" fontId="25" fillId="6" borderId="104" xfId="0" quotePrefix="1" applyFont="1" applyFill="1" applyBorder="1" applyAlignment="1" applyProtection="1">
      <alignment horizontal="left"/>
      <protection locked="0"/>
    </xf>
    <xf numFmtId="0" fontId="25" fillId="6" borderId="102" xfId="0" quotePrefix="1" applyFont="1" applyFill="1" applyBorder="1" applyAlignment="1" applyProtection="1">
      <alignment horizontal="left"/>
      <protection locked="0"/>
    </xf>
    <xf numFmtId="49" fontId="25" fillId="6" borderId="102" xfId="0" applyNumberFormat="1" applyFont="1" applyFill="1" applyBorder="1" applyAlignment="1" applyProtection="1">
      <alignment horizontal="left"/>
      <protection locked="0"/>
    </xf>
    <xf numFmtId="49" fontId="25" fillId="6" borderId="103" xfId="0" applyNumberFormat="1" applyFont="1" applyFill="1" applyBorder="1" applyAlignment="1" applyProtection="1">
      <alignment horizontal="left"/>
      <protection locked="0"/>
    </xf>
    <xf numFmtId="49" fontId="25" fillId="6" borderId="104" xfId="0" applyNumberFormat="1" applyFont="1" applyFill="1" applyBorder="1" applyAlignment="1" applyProtection="1">
      <alignment horizontal="left"/>
      <protection locked="0"/>
    </xf>
    <xf numFmtId="0" fontId="26" fillId="0" borderId="0" xfId="0" applyFont="1" applyProtection="1">
      <protection hidden="1"/>
    </xf>
    <xf numFmtId="0" fontId="31" fillId="0" borderId="76" xfId="0" applyFont="1" applyBorder="1" applyAlignment="1">
      <alignment horizontal="center"/>
    </xf>
    <xf numFmtId="0" fontId="31" fillId="0" borderId="77" xfId="0" applyFont="1" applyBorder="1" applyAlignment="1">
      <alignment horizontal="center"/>
    </xf>
    <xf numFmtId="0" fontId="31" fillId="0" borderId="78" xfId="0" applyFont="1" applyBorder="1" applyAlignment="1">
      <alignment horizontal="center"/>
    </xf>
    <xf numFmtId="0" fontId="31" fillId="0" borderId="14" xfId="0" applyFont="1" applyBorder="1" applyAlignment="1">
      <alignment horizontal="center"/>
    </xf>
    <xf numFmtId="0" fontId="31" fillId="0" borderId="0" xfId="0" applyFont="1" applyAlignment="1">
      <alignment horizontal="center"/>
    </xf>
    <xf numFmtId="0" fontId="31" fillId="0" borderId="15" xfId="0" applyFont="1" applyBorder="1" applyAlignment="1">
      <alignment horizontal="center"/>
    </xf>
    <xf numFmtId="0" fontId="24" fillId="0" borderId="14" xfId="0" applyFont="1" applyBorder="1" applyAlignment="1" applyProtection="1">
      <alignment horizontal="center"/>
      <protection locked="0"/>
    </xf>
    <xf numFmtId="0" fontId="24" fillId="0" borderId="0" xfId="0" applyFont="1" applyAlignment="1" applyProtection="1">
      <alignment horizontal="center"/>
      <protection locked="0"/>
    </xf>
    <xf numFmtId="0" fontId="24" fillId="0" borderId="15" xfId="0" applyFont="1" applyBorder="1" applyAlignment="1" applyProtection="1">
      <alignment horizontal="center"/>
      <protection locked="0"/>
    </xf>
    <xf numFmtId="0" fontId="25" fillId="0" borderId="14" xfId="0" applyFont="1" applyBorder="1" applyAlignment="1">
      <alignment horizontal="center"/>
    </xf>
    <xf numFmtId="0" fontId="25" fillId="0" borderId="0" xfId="0" applyFont="1" applyAlignment="1">
      <alignment horizontal="center"/>
    </xf>
    <xf numFmtId="0" fontId="25" fillId="0" borderId="15" xfId="0" applyFont="1" applyBorder="1" applyAlignment="1">
      <alignment horizontal="center"/>
    </xf>
    <xf numFmtId="0" fontId="26" fillId="0" borderId="79" xfId="0" applyFont="1" applyBorder="1" applyAlignment="1">
      <alignment horizontal="center"/>
    </xf>
    <xf numFmtId="0" fontId="26" fillId="0" borderId="80" xfId="0" applyFont="1" applyBorder="1" applyAlignment="1">
      <alignment horizontal="center"/>
    </xf>
    <xf numFmtId="0" fontId="26" fillId="0" borderId="81" xfId="0" applyFont="1" applyBorder="1" applyAlignment="1">
      <alignment horizontal="center"/>
    </xf>
    <xf numFmtId="0" fontId="10" fillId="0" borderId="82" xfId="4" applyFont="1"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4" fontId="6" fillId="0" borderId="18" xfId="8" applyNumberFormat="1" applyFont="1" applyBorder="1"/>
    <xf numFmtId="4" fontId="6" fillId="0" borderId="20" xfId="8" applyNumberFormat="1" applyFont="1" applyBorder="1"/>
    <xf numFmtId="4" fontId="7" fillId="0" borderId="49" xfId="8" applyNumberFormat="1" applyFont="1" applyBorder="1" applyAlignment="1">
      <alignment horizontal="left" indent="1"/>
    </xf>
    <xf numFmtId="4" fontId="7" fillId="0" borderId="50" xfId="8" applyNumberFormat="1" applyFont="1" applyBorder="1" applyAlignment="1">
      <alignment horizontal="left" indent="1"/>
    </xf>
    <xf numFmtId="4" fontId="7" fillId="0" borderId="85" xfId="8" applyNumberFormat="1" applyFont="1" applyBorder="1" applyAlignment="1">
      <alignment horizontal="left" indent="1"/>
    </xf>
    <xf numFmtId="4" fontId="7" fillId="0" borderId="86" xfId="8" applyNumberFormat="1" applyFont="1" applyBorder="1" applyAlignment="1">
      <alignment horizontal="left" indent="1"/>
    </xf>
    <xf numFmtId="4" fontId="7" fillId="0" borderId="53" xfId="8" quotePrefix="1" applyNumberFormat="1" applyFont="1" applyBorder="1" applyAlignment="1">
      <alignment horizontal="left" indent="1"/>
    </xf>
    <xf numFmtId="4" fontId="7" fillId="0" borderId="74" xfId="8" quotePrefix="1" applyNumberFormat="1" applyFont="1" applyBorder="1" applyAlignment="1">
      <alignment horizontal="left" indent="1"/>
    </xf>
    <xf numFmtId="4" fontId="6" fillId="0" borderId="87" xfId="8" applyNumberFormat="1" applyFont="1" applyBorder="1" applyAlignment="1">
      <alignment horizontal="center" vertical="center" textRotation="90"/>
    </xf>
    <xf numFmtId="4" fontId="6" fillId="0" borderId="23" xfId="8" applyNumberFormat="1" applyFont="1" applyBorder="1" applyAlignment="1">
      <alignment horizontal="center" vertical="center" textRotation="90"/>
    </xf>
    <xf numFmtId="4" fontId="6" fillId="0" borderId="61" xfId="8" applyNumberFormat="1" applyFont="1" applyBorder="1" applyAlignment="1">
      <alignment horizontal="center" vertical="center" textRotation="90"/>
    </xf>
    <xf numFmtId="4" fontId="6" fillId="0" borderId="65" xfId="8" applyNumberFormat="1" applyFont="1" applyBorder="1" applyAlignment="1">
      <alignment horizontal="right"/>
    </xf>
    <xf numFmtId="4" fontId="6" fillId="0" borderId="90" xfId="8" applyNumberFormat="1" applyFont="1" applyBorder="1" applyAlignment="1">
      <alignment horizontal="right"/>
    </xf>
    <xf numFmtId="4" fontId="6" fillId="0" borderId="88" xfId="8" applyNumberFormat="1" applyFont="1" applyBorder="1" applyAlignment="1">
      <alignment horizontal="left" indent="12"/>
    </xf>
    <xf numFmtId="4" fontId="6" fillId="0" borderId="89" xfId="8" applyNumberFormat="1" applyFont="1" applyBorder="1" applyAlignment="1">
      <alignment horizontal="left" indent="12"/>
    </xf>
    <xf numFmtId="4" fontId="7" fillId="0" borderId="85" xfId="8" quotePrefix="1" applyNumberFormat="1" applyFont="1" applyBorder="1" applyAlignment="1">
      <alignment horizontal="left" indent="1"/>
    </xf>
    <xf numFmtId="4" fontId="6" fillId="0" borderId="18" xfId="8" applyNumberFormat="1" applyFont="1" applyBorder="1" applyAlignment="1">
      <alignment horizontal="center" vertical="center" wrapText="1"/>
    </xf>
    <xf numFmtId="4" fontId="6" fillId="0" borderId="43" xfId="8" applyNumberFormat="1" applyFont="1" applyBorder="1" applyAlignment="1">
      <alignment horizontal="center" vertical="center" wrapText="1"/>
    </xf>
    <xf numFmtId="4" fontId="6" fillId="0" borderId="20" xfId="8" applyNumberFormat="1" applyFont="1" applyBorder="1" applyAlignment="1">
      <alignment horizontal="center" vertical="center" wrapText="1"/>
    </xf>
    <xf numFmtId="0" fontId="10" fillId="0" borderId="91" xfId="0" applyFont="1" applyBorder="1" applyAlignment="1">
      <alignment horizontal="center"/>
    </xf>
    <xf numFmtId="0" fontId="10" fillId="0" borderId="92" xfId="0" applyFont="1" applyBorder="1" applyAlignment="1">
      <alignment horizontal="center"/>
    </xf>
    <xf numFmtId="0" fontId="10" fillId="0" borderId="93" xfId="0" applyFont="1" applyBorder="1" applyAlignment="1">
      <alignment horizontal="center"/>
    </xf>
    <xf numFmtId="4" fontId="6" fillId="0" borderId="1" xfId="8" applyNumberFormat="1" applyFont="1" applyBorder="1" applyAlignment="1">
      <alignment horizontal="center" vertical="center" textRotation="90"/>
    </xf>
    <xf numFmtId="4" fontId="7" fillId="0" borderId="53" xfId="8" applyNumberFormat="1" applyFont="1" applyBorder="1" applyAlignment="1">
      <alignment horizontal="left" indent="1"/>
    </xf>
    <xf numFmtId="4" fontId="7" fillId="0" borderId="49" xfId="8" applyNumberFormat="1" applyFont="1" applyBorder="1" applyAlignment="1">
      <alignment horizontal="left" indent="4"/>
    </xf>
    <xf numFmtId="4" fontId="7" fillId="0" borderId="50" xfId="8" applyNumberFormat="1" applyFont="1" applyBorder="1" applyAlignment="1">
      <alignment horizontal="left" indent="4"/>
    </xf>
    <xf numFmtId="4" fontId="6" fillId="0" borderId="1" xfId="4" applyNumberFormat="1" applyFont="1" applyBorder="1" applyAlignment="1">
      <alignment horizontal="center" vertical="center" textRotation="90"/>
    </xf>
    <xf numFmtId="4" fontId="6" fillId="0" borderId="23" xfId="4" applyNumberFormat="1" applyFont="1" applyBorder="1" applyAlignment="1">
      <alignment horizontal="center" vertical="center" textRotation="90"/>
    </xf>
    <xf numFmtId="4" fontId="6" fillId="0" borderId="61" xfId="4" applyNumberFormat="1" applyFont="1" applyBorder="1" applyAlignment="1">
      <alignment horizontal="center" vertical="center" textRotation="90"/>
    </xf>
    <xf numFmtId="4" fontId="6" fillId="0" borderId="87" xfId="4" applyNumberFormat="1" applyFont="1" applyBorder="1" applyAlignment="1">
      <alignment horizontal="center" vertical="center" textRotation="90"/>
    </xf>
    <xf numFmtId="0" fontId="0" fillId="0" borderId="23" xfId="0" applyBorder="1"/>
    <xf numFmtId="0" fontId="0" fillId="0" borderId="61" xfId="0" applyBorder="1"/>
    <xf numFmtId="4" fontId="6" fillId="0" borderId="33" xfId="4" applyNumberFormat="1" applyFont="1" applyBorder="1" applyAlignment="1">
      <alignment horizontal="center" vertical="center" wrapText="1"/>
    </xf>
    <xf numFmtId="4" fontId="6" fillId="0" borderId="22" xfId="4" quotePrefix="1" applyNumberFormat="1" applyFont="1" applyBorder="1" applyAlignment="1">
      <alignment horizontal="center" vertical="center" wrapText="1"/>
    </xf>
    <xf numFmtId="4" fontId="6" fillId="0" borderId="17" xfId="4" applyNumberFormat="1" applyFont="1" applyBorder="1" applyAlignment="1">
      <alignment horizontal="center" vertical="center"/>
    </xf>
    <xf numFmtId="4" fontId="6" fillId="0" borderId="8" xfId="4" applyNumberFormat="1" applyFont="1" applyBorder="1" applyAlignment="1">
      <alignment horizontal="center" vertical="center"/>
    </xf>
    <xf numFmtId="4" fontId="6" fillId="0" borderId="12" xfId="4" applyNumberFormat="1" applyFont="1" applyBorder="1" applyAlignment="1">
      <alignment horizontal="center" vertical="center"/>
    </xf>
    <xf numFmtId="4" fontId="6" fillId="0" borderId="13" xfId="4" applyNumberFormat="1" applyFont="1" applyBorder="1" applyAlignment="1">
      <alignment horizontal="center" vertical="center"/>
    </xf>
    <xf numFmtId="4" fontId="6" fillId="0" borderId="65" xfId="4" applyNumberFormat="1" applyFont="1" applyBorder="1" applyAlignment="1">
      <alignment horizontal="center"/>
    </xf>
    <xf numFmtId="4" fontId="6" fillId="0" borderId="94" xfId="4" applyNumberFormat="1" applyFont="1" applyBorder="1" applyAlignment="1">
      <alignment horizontal="center"/>
    </xf>
    <xf numFmtId="4" fontId="6" fillId="0" borderId="18" xfId="4" applyNumberFormat="1" applyFont="1" applyBorder="1" applyAlignment="1">
      <alignment horizontal="center" vertical="center" wrapText="1"/>
    </xf>
    <xf numFmtId="4" fontId="6" fillId="0" borderId="43" xfId="4" applyNumberFormat="1" applyFont="1" applyBorder="1" applyAlignment="1">
      <alignment horizontal="center" vertical="center" wrapText="1"/>
    </xf>
    <xf numFmtId="4" fontId="6" fillId="0" borderId="71" xfId="4" applyNumberFormat="1" applyFont="1" applyBorder="1" applyAlignment="1">
      <alignment horizontal="center" vertical="center" wrapText="1"/>
    </xf>
    <xf numFmtId="0" fontId="6" fillId="0" borderId="1" xfId="0" applyFont="1" applyBorder="1" applyAlignment="1">
      <alignment horizontal="center" vertical="center" textRotation="90"/>
    </xf>
    <xf numFmtId="0" fontId="6" fillId="0" borderId="23" xfId="0" applyFont="1" applyBorder="1" applyAlignment="1">
      <alignment horizontal="center" vertical="center" textRotation="90"/>
    </xf>
    <xf numFmtId="0" fontId="6" fillId="0" borderId="2" xfId="0" applyFont="1" applyBorder="1" applyAlignment="1">
      <alignment horizontal="center" vertical="center" textRotation="90"/>
    </xf>
    <xf numFmtId="4" fontId="6" fillId="0" borderId="18" xfId="6" applyNumberFormat="1" applyFont="1" applyBorder="1" applyAlignment="1">
      <alignment horizontal="center"/>
    </xf>
    <xf numFmtId="4" fontId="6" fillId="0" borderId="20" xfId="6" applyNumberFormat="1" applyFont="1" applyBorder="1" applyAlignment="1">
      <alignment horizontal="center"/>
    </xf>
    <xf numFmtId="4" fontId="6" fillId="0" borderId="17" xfId="6" applyNumberFormat="1" applyFont="1" applyBorder="1" applyAlignment="1">
      <alignment horizontal="center" vertical="center"/>
    </xf>
    <xf numFmtId="4" fontId="6" fillId="0" borderId="7" xfId="6" applyNumberFormat="1" applyFont="1" applyBorder="1" applyAlignment="1">
      <alignment horizontal="center" vertical="center"/>
    </xf>
    <xf numFmtId="4" fontId="6" fillId="0" borderId="8" xfId="6" applyNumberFormat="1" applyFont="1" applyBorder="1" applyAlignment="1">
      <alignment horizontal="center" vertical="center"/>
    </xf>
    <xf numFmtId="4" fontId="6" fillId="0" borderId="9" xfId="6" applyNumberFormat="1" applyFont="1" applyBorder="1" applyAlignment="1">
      <alignment horizontal="center" vertical="center"/>
    </xf>
    <xf numFmtId="4" fontId="6" fillId="0" borderId="0" xfId="6" applyNumberFormat="1" applyFont="1" applyBorder="1" applyAlignment="1">
      <alignment horizontal="center" vertical="center"/>
    </xf>
    <xf numFmtId="4" fontId="6" fillId="0" borderId="10" xfId="6" applyNumberFormat="1" applyFont="1" applyBorder="1" applyAlignment="1">
      <alignment horizontal="center" vertical="center"/>
    </xf>
    <xf numFmtId="4" fontId="6" fillId="0" borderId="12" xfId="6" applyNumberFormat="1" applyFont="1" applyBorder="1" applyAlignment="1">
      <alignment horizontal="center" vertical="center"/>
    </xf>
    <xf numFmtId="4" fontId="6" fillId="0" borderId="11" xfId="6" applyNumberFormat="1" applyFont="1" applyBorder="1" applyAlignment="1">
      <alignment horizontal="center" vertical="center"/>
    </xf>
    <xf numFmtId="4" fontId="6" fillId="0" borderId="13" xfId="6" applyNumberFormat="1" applyFont="1" applyBorder="1" applyAlignment="1">
      <alignment horizontal="center" vertical="center"/>
    </xf>
    <xf numFmtId="4" fontId="6" fillId="0" borderId="17" xfId="6" applyNumberFormat="1" applyFont="1" applyBorder="1" applyAlignment="1">
      <alignment horizontal="center" vertical="center" wrapText="1"/>
    </xf>
    <xf numFmtId="4" fontId="6" fillId="0" borderId="12" xfId="6" applyNumberFormat="1" applyFont="1" applyBorder="1" applyAlignment="1">
      <alignment horizontal="center" vertical="center" wrapText="1"/>
    </xf>
    <xf numFmtId="0" fontId="10" fillId="0" borderId="91" xfId="6" applyFont="1" applyBorder="1" applyAlignment="1">
      <alignment horizontal="center"/>
    </xf>
    <xf numFmtId="0" fontId="10" fillId="0" borderId="92" xfId="6" applyFont="1" applyBorder="1" applyAlignment="1">
      <alignment horizontal="center"/>
    </xf>
    <xf numFmtId="0" fontId="10" fillId="0" borderId="93" xfId="6" applyFont="1" applyBorder="1" applyAlignment="1">
      <alignment horizontal="center"/>
    </xf>
    <xf numFmtId="4" fontId="6" fillId="0" borderId="33" xfId="6" applyNumberFormat="1" applyFont="1" applyBorder="1" applyAlignment="1">
      <alignment horizontal="center" vertical="center" wrapText="1"/>
    </xf>
    <xf numFmtId="4" fontId="6" fillId="0" borderId="22" xfId="6" applyNumberFormat="1" applyFont="1" applyBorder="1" applyAlignment="1">
      <alignment horizontal="center" vertical="center" wrapText="1"/>
    </xf>
    <xf numFmtId="0" fontId="10" fillId="0" borderId="82" xfId="9" applyFont="1" applyBorder="1" applyAlignment="1">
      <alignment horizontal="center"/>
    </xf>
    <xf numFmtId="0" fontId="10" fillId="0" borderId="83" xfId="9" applyFont="1" applyBorder="1" applyAlignment="1">
      <alignment horizontal="center"/>
    </xf>
    <xf numFmtId="0" fontId="10" fillId="0" borderId="84" xfId="9" applyFont="1" applyBorder="1" applyAlignment="1">
      <alignment horizontal="center"/>
    </xf>
    <xf numFmtId="0" fontId="10" fillId="0" borderId="82" xfId="19" applyFont="1" applyBorder="1" applyAlignment="1">
      <alignment horizontal="center"/>
    </xf>
    <xf numFmtId="0" fontId="10" fillId="0" borderId="83" xfId="19" applyFont="1" applyBorder="1" applyAlignment="1">
      <alignment horizontal="center"/>
    </xf>
    <xf numFmtId="0" fontId="10" fillId="0" borderId="84" xfId="19" applyFont="1" applyBorder="1" applyAlignment="1">
      <alignment horizontal="center"/>
    </xf>
    <xf numFmtId="0" fontId="6" fillId="0" borderId="1" xfId="19" applyFont="1" applyBorder="1" applyAlignment="1" applyProtection="1">
      <alignment horizontal="center" vertical="center" wrapText="1"/>
      <protection hidden="1"/>
    </xf>
    <xf numFmtId="0" fontId="6" fillId="0" borderId="2" xfId="19" applyFont="1" applyBorder="1" applyAlignment="1" applyProtection="1">
      <alignment horizontal="center" vertical="center" wrapText="1"/>
      <protection hidden="1"/>
    </xf>
    <xf numFmtId="0" fontId="6" fillId="0" borderId="18" xfId="19" applyFont="1" applyBorder="1" applyAlignment="1" applyProtection="1">
      <alignment horizontal="center" vertical="center" wrapText="1"/>
      <protection hidden="1"/>
    </xf>
    <xf numFmtId="0" fontId="6" fillId="0" borderId="43" xfId="19" applyFont="1" applyBorder="1" applyAlignment="1" applyProtection="1">
      <alignment horizontal="center" vertical="center" wrapText="1"/>
      <protection hidden="1"/>
    </xf>
    <xf numFmtId="0" fontId="6" fillId="0" borderId="20" xfId="19" applyFont="1" applyBorder="1" applyAlignment="1" applyProtection="1">
      <alignment horizontal="center" vertical="center" wrapText="1"/>
      <protection hidden="1"/>
    </xf>
    <xf numFmtId="0" fontId="6" fillId="0" borderId="5" xfId="19" applyFont="1" applyBorder="1" applyAlignment="1" applyProtection="1">
      <alignment horizontal="center" vertical="center" wrapText="1"/>
      <protection hidden="1"/>
    </xf>
    <xf numFmtId="0" fontId="10" fillId="0" borderId="82" xfId="6" applyFont="1" applyBorder="1" applyAlignment="1">
      <alignment horizontal="center"/>
    </xf>
    <xf numFmtId="0" fontId="10" fillId="0" borderId="83" xfId="6" applyFont="1" applyBorder="1" applyAlignment="1">
      <alignment horizontal="center"/>
    </xf>
    <xf numFmtId="0" fontId="10" fillId="0" borderId="84" xfId="6" applyFont="1" applyBorder="1" applyAlignment="1">
      <alignment horizontal="center"/>
    </xf>
    <xf numFmtId="4" fontId="6" fillId="0" borderId="5" xfId="7" applyNumberFormat="1" applyFont="1" applyBorder="1" applyAlignment="1">
      <alignment horizontal="center" vertical="center" wrapText="1"/>
    </xf>
    <xf numFmtId="4" fontId="6" fillId="0" borderId="18" xfId="7" applyNumberFormat="1" applyFont="1" applyBorder="1" applyAlignment="1">
      <alignment horizontal="center" vertical="center" wrapText="1"/>
    </xf>
    <xf numFmtId="4" fontId="6" fillId="0" borderId="20" xfId="7" applyNumberFormat="1" applyFont="1" applyBorder="1" applyAlignment="1">
      <alignment horizontal="center" vertical="center" wrapText="1"/>
    </xf>
    <xf numFmtId="0" fontId="6" fillId="0" borderId="1" xfId="0" applyFont="1" applyBorder="1" applyAlignment="1">
      <alignment horizontal="center" vertical="top" wrapText="1"/>
    </xf>
    <xf numFmtId="0" fontId="6" fillId="0" borderId="23" xfId="0" applyFont="1" applyBorder="1" applyAlignment="1">
      <alignment horizontal="center" vertical="top" wrapText="1"/>
    </xf>
    <xf numFmtId="0" fontId="6" fillId="0" borderId="7" xfId="0" applyFont="1" applyBorder="1" applyAlignment="1">
      <alignment horizontal="center"/>
    </xf>
    <xf numFmtId="0" fontId="6" fillId="0" borderId="8" xfId="0" applyFont="1" applyBorder="1" applyAlignment="1">
      <alignment horizontal="center"/>
    </xf>
    <xf numFmtId="0" fontId="10" fillId="0" borderId="82" xfId="0" applyFont="1" applyBorder="1" applyAlignment="1">
      <alignment horizontal="center"/>
    </xf>
    <xf numFmtId="0" fontId="10" fillId="0" borderId="83" xfId="0" applyFont="1" applyBorder="1" applyAlignment="1">
      <alignment horizontal="center"/>
    </xf>
    <xf numFmtId="0" fontId="10" fillId="0" borderId="84" xfId="0" applyFont="1" applyBorder="1" applyAlignment="1">
      <alignment horizontal="center"/>
    </xf>
    <xf numFmtId="0" fontId="6" fillId="0" borderId="5" xfId="0" applyFont="1" applyBorder="1" applyAlignment="1">
      <alignment horizontal="center" vertical="center" wrapText="1"/>
    </xf>
    <xf numFmtId="0" fontId="6" fillId="0" borderId="2" xfId="0" applyFont="1" applyBorder="1" applyAlignment="1">
      <alignment horizontal="center" vertical="top" wrapText="1"/>
    </xf>
    <xf numFmtId="0" fontId="6" fillId="0" borderId="18" xfId="0" applyFont="1" applyBorder="1" applyAlignment="1">
      <alignment horizontal="center"/>
    </xf>
    <xf numFmtId="0" fontId="6" fillId="0" borderId="43" xfId="0" applyFont="1" applyBorder="1" applyAlignment="1">
      <alignment horizontal="center"/>
    </xf>
    <xf numFmtId="0" fontId="6" fillId="0" borderId="20" xfId="0" applyFont="1" applyBorder="1" applyAlignment="1">
      <alignment horizontal="center"/>
    </xf>
    <xf numFmtId="0" fontId="6" fillId="0" borderId="18" xfId="0" applyFont="1" applyBorder="1" applyAlignment="1">
      <alignment horizontal="center" vertical="top" wrapText="1"/>
    </xf>
    <xf numFmtId="0" fontId="6" fillId="0" borderId="43" xfId="0" applyFont="1" applyBorder="1" applyAlignment="1">
      <alignment horizontal="center" vertical="top" wrapText="1"/>
    </xf>
    <xf numFmtId="0" fontId="6" fillId="0" borderId="20" xfId="0" applyFont="1" applyBorder="1" applyAlignment="1">
      <alignment horizontal="center" vertical="top" wrapText="1"/>
    </xf>
    <xf numFmtId="0" fontId="10" fillId="0" borderId="91" xfId="10" applyFont="1" applyBorder="1" applyAlignment="1">
      <alignment horizontal="center"/>
    </xf>
    <xf numFmtId="0" fontId="10" fillId="0" borderId="92" xfId="10" applyFont="1" applyBorder="1" applyAlignment="1">
      <alignment horizontal="center"/>
    </xf>
    <xf numFmtId="0" fontId="10" fillId="0" borderId="93" xfId="10" applyFont="1" applyBorder="1" applyAlignment="1">
      <alignment horizontal="center"/>
    </xf>
    <xf numFmtId="0" fontId="6" fillId="0" borderId="1" xfId="10" applyFont="1" applyBorder="1" applyAlignment="1">
      <alignment horizontal="center" vertical="center"/>
    </xf>
    <xf numFmtId="0" fontId="6" fillId="0" borderId="2" xfId="10" applyFont="1" applyBorder="1" applyAlignment="1">
      <alignment horizontal="center" vertical="center"/>
    </xf>
    <xf numFmtId="0" fontId="15" fillId="8" borderId="18" xfId="10" applyFont="1" applyFill="1" applyBorder="1" applyAlignment="1">
      <alignment horizontal="center" wrapText="1"/>
    </xf>
    <xf numFmtId="0" fontId="15" fillId="8" borderId="43" xfId="10" applyFont="1" applyFill="1" applyBorder="1" applyAlignment="1">
      <alignment horizontal="center" wrapText="1"/>
    </xf>
    <xf numFmtId="0" fontId="15" fillId="8" borderId="20" xfId="10" applyFont="1" applyFill="1" applyBorder="1" applyAlignment="1">
      <alignment horizontal="center" wrapText="1"/>
    </xf>
    <xf numFmtId="0" fontId="6" fillId="0" borderId="18" xfId="18" applyFont="1" applyBorder="1" applyAlignment="1">
      <alignment horizontal="center"/>
    </xf>
    <xf numFmtId="0" fontId="6" fillId="0" borderId="43" xfId="18" applyFont="1" applyBorder="1" applyAlignment="1">
      <alignment horizontal="center"/>
    </xf>
    <xf numFmtId="0" fontId="6" fillId="0" borderId="20" xfId="18" applyFont="1" applyBorder="1" applyAlignment="1">
      <alignment horizontal="center"/>
    </xf>
    <xf numFmtId="0" fontId="10" fillId="0" borderId="91" xfId="18" applyFont="1" applyBorder="1" applyAlignment="1">
      <alignment horizontal="center"/>
    </xf>
    <xf numFmtId="0" fontId="10" fillId="0" borderId="92" xfId="18" applyFont="1" applyBorder="1" applyAlignment="1">
      <alignment horizontal="center"/>
    </xf>
    <xf numFmtId="0" fontId="10" fillId="0" borderId="93" xfId="18" applyFont="1" applyBorder="1" applyAlignment="1">
      <alignment horizontal="center"/>
    </xf>
    <xf numFmtId="0" fontId="6" fillId="0" borderId="1" xfId="18" applyFont="1" applyBorder="1" applyAlignment="1">
      <alignment horizontal="center" vertical="top" wrapText="1"/>
    </xf>
    <xf numFmtId="0" fontId="6" fillId="0" borderId="23" xfId="18" applyFont="1" applyBorder="1" applyAlignment="1">
      <alignment horizontal="center" vertical="top" wrapText="1"/>
    </xf>
    <xf numFmtId="0" fontId="6" fillId="0" borderId="18" xfId="18" applyFont="1" applyBorder="1" applyAlignment="1">
      <alignment horizontal="center" vertical="top" wrapText="1"/>
    </xf>
    <xf numFmtId="0" fontId="6" fillId="0" borderId="20" xfId="18" applyFont="1" applyBorder="1" applyAlignment="1">
      <alignment horizontal="center" vertical="top" wrapText="1"/>
    </xf>
    <xf numFmtId="0" fontId="6" fillId="0" borderId="43" xfId="18" applyFont="1" applyBorder="1" applyAlignment="1">
      <alignment horizontal="center" vertical="top" wrapText="1"/>
    </xf>
    <xf numFmtId="0" fontId="6" fillId="0" borderId="8" xfId="18" applyFont="1" applyBorder="1" applyAlignment="1">
      <alignment horizontal="center" vertical="top" wrapText="1"/>
    </xf>
    <xf numFmtId="0" fontId="6" fillId="0" borderId="10" xfId="18" applyFont="1" applyBorder="1" applyAlignment="1">
      <alignment horizontal="center" vertical="top" wrapText="1"/>
    </xf>
    <xf numFmtId="0" fontId="10" fillId="0" borderId="91" xfId="17" applyFont="1" applyBorder="1" applyAlignment="1">
      <alignment horizontal="center"/>
    </xf>
    <xf numFmtId="0" fontId="10" fillId="0" borderId="92" xfId="17" applyFont="1" applyBorder="1" applyAlignment="1">
      <alignment horizontal="center"/>
    </xf>
    <xf numFmtId="0" fontId="10" fillId="0" borderId="93" xfId="17" applyFont="1" applyBorder="1" applyAlignment="1">
      <alignment horizontal="center"/>
    </xf>
    <xf numFmtId="0" fontId="10" fillId="0" borderId="91" xfId="16" applyFont="1" applyBorder="1" applyAlignment="1">
      <alignment horizontal="center" wrapText="1"/>
    </xf>
    <xf numFmtId="0" fontId="10" fillId="0" borderId="92" xfId="16" applyFont="1" applyBorder="1" applyAlignment="1">
      <alignment horizontal="center" wrapText="1"/>
    </xf>
    <xf numFmtId="0" fontId="10" fillId="0" borderId="93" xfId="16" applyFont="1" applyBorder="1" applyAlignment="1">
      <alignment horizontal="center" wrapText="1"/>
    </xf>
    <xf numFmtId="0" fontId="6" fillId="0" borderId="17" xfId="16" applyFont="1" applyBorder="1" applyAlignment="1">
      <alignment horizontal="center" vertical="top" wrapText="1"/>
    </xf>
    <xf numFmtId="0" fontId="6" fillId="0" borderId="8" xfId="16" applyFont="1" applyBorder="1" applyAlignment="1">
      <alignment horizontal="center" vertical="top" wrapText="1"/>
    </xf>
    <xf numFmtId="0" fontId="17" fillId="0" borderId="12" xfId="16" quotePrefix="1" applyFont="1" applyBorder="1" applyAlignment="1">
      <alignment horizontal="center"/>
    </xf>
    <xf numFmtId="0" fontId="17" fillId="0" borderId="13" xfId="16" applyFont="1" applyBorder="1" applyAlignment="1">
      <alignment horizontal="center"/>
    </xf>
    <xf numFmtId="0" fontId="6" fillId="0" borderId="23" xfId="15" applyFont="1" applyBorder="1" applyAlignment="1">
      <alignment horizontal="center" vertical="top" wrapText="1"/>
    </xf>
    <xf numFmtId="4" fontId="8" fillId="0" borderId="20" xfId="15" applyNumberFormat="1" applyFont="1" applyBorder="1"/>
    <xf numFmtId="4" fontId="8" fillId="0" borderId="18" xfId="15" applyNumberFormat="1" applyFont="1" applyBorder="1"/>
    <xf numFmtId="0" fontId="10" fillId="0" borderId="91" xfId="15" applyFont="1" applyBorder="1" applyAlignment="1">
      <alignment horizontal="center"/>
    </xf>
    <xf numFmtId="0" fontId="10" fillId="0" borderId="92" xfId="15" applyFont="1" applyBorder="1" applyAlignment="1">
      <alignment horizontal="center"/>
    </xf>
    <xf numFmtId="0" fontId="10" fillId="0" borderId="93" xfId="15" applyFont="1" applyBorder="1" applyAlignment="1">
      <alignment horizontal="center"/>
    </xf>
    <xf numFmtId="0" fontId="6" fillId="0" borderId="1" xfId="15" applyFont="1" applyBorder="1" applyAlignment="1">
      <alignment horizontal="center" vertical="top" wrapText="1"/>
    </xf>
    <xf numFmtId="4" fontId="8" fillId="0" borderId="7" xfId="15" applyNumberFormat="1" applyFont="1" applyBorder="1" applyAlignment="1">
      <alignment horizontal="right"/>
    </xf>
    <xf numFmtId="0" fontId="6" fillId="0" borderId="23" xfId="15" applyFont="1" applyBorder="1" applyAlignment="1">
      <alignment horizontal="center" vertical="center" wrapText="1"/>
    </xf>
    <xf numFmtId="0" fontId="6" fillId="0" borderId="12" xfId="15" applyFont="1" applyBorder="1" applyAlignment="1">
      <alignment horizontal="center"/>
    </xf>
    <xf numFmtId="0" fontId="6" fillId="0" borderId="13" xfId="15" applyFont="1" applyBorder="1" applyAlignment="1">
      <alignment horizontal="center"/>
    </xf>
    <xf numFmtId="0" fontId="6" fillId="0" borderId="11" xfId="15" applyFont="1" applyBorder="1" applyAlignment="1">
      <alignment horizontal="center"/>
    </xf>
    <xf numFmtId="0" fontId="6" fillId="0" borderId="23" xfId="0" applyFont="1" applyBorder="1" applyAlignment="1">
      <alignment horizontal="center" vertical="center" wrapText="1"/>
    </xf>
    <xf numFmtId="0" fontId="10" fillId="0" borderId="91" xfId="14" applyFont="1" applyBorder="1" applyAlignment="1">
      <alignment horizontal="center"/>
    </xf>
    <xf numFmtId="0" fontId="10" fillId="0" borderId="92" xfId="14" applyFont="1" applyBorder="1" applyAlignment="1">
      <alignment horizontal="center"/>
    </xf>
    <xf numFmtId="0" fontId="10" fillId="0" borderId="93" xfId="14" applyFont="1" applyBorder="1" applyAlignment="1">
      <alignment horizontal="center"/>
    </xf>
    <xf numFmtId="0" fontId="6" fillId="0" borderId="5" xfId="14" applyFont="1" applyBorder="1" applyAlignment="1">
      <alignment horizontal="center" vertical="top" wrapText="1"/>
    </xf>
    <xf numFmtId="0" fontId="6" fillId="0" borderId="18" xfId="14" applyFont="1" applyBorder="1" applyAlignment="1">
      <alignment horizontal="center"/>
    </xf>
    <xf numFmtId="0" fontId="6" fillId="0" borderId="20" xfId="14" applyFont="1" applyBorder="1" applyAlignment="1">
      <alignment horizontal="center"/>
    </xf>
    <xf numFmtId="0" fontId="6" fillId="0" borderId="1" xfId="13" applyFont="1" applyBorder="1" applyAlignment="1">
      <alignment horizontal="center" vertical="top" wrapText="1"/>
    </xf>
    <xf numFmtId="0" fontId="6" fillId="0" borderId="2" xfId="13" applyFont="1" applyBorder="1" applyAlignment="1">
      <alignment horizontal="center" vertical="top" wrapText="1"/>
    </xf>
    <xf numFmtId="0" fontId="6" fillId="0" borderId="18" xfId="13" applyFont="1" applyBorder="1" applyAlignment="1">
      <alignment horizontal="center"/>
    </xf>
    <xf numFmtId="0" fontId="6" fillId="0" borderId="43" xfId="13" applyFont="1" applyBorder="1" applyAlignment="1">
      <alignment horizontal="center"/>
    </xf>
    <xf numFmtId="0" fontId="6" fillId="0" borderId="20" xfId="13" applyFont="1" applyBorder="1" applyAlignment="1">
      <alignment horizontal="center"/>
    </xf>
    <xf numFmtId="0" fontId="10" fillId="0" borderId="82" xfId="13" applyFont="1" applyBorder="1" applyAlignment="1">
      <alignment horizontal="center" wrapText="1"/>
    </xf>
    <xf numFmtId="0" fontId="10" fillId="0" borderId="109" xfId="13" applyFont="1" applyBorder="1" applyAlignment="1">
      <alignment horizontal="center" wrapText="1"/>
    </xf>
    <xf numFmtId="0" fontId="10" fillId="0" borderId="83" xfId="13" applyFont="1" applyBorder="1" applyAlignment="1">
      <alignment horizontal="center" wrapText="1"/>
    </xf>
    <xf numFmtId="0" fontId="10" fillId="0" borderId="84" xfId="13" applyFont="1" applyBorder="1" applyAlignment="1">
      <alignment horizontal="center" wrapText="1"/>
    </xf>
    <xf numFmtId="0" fontId="6" fillId="0" borderId="18" xfId="13" applyFont="1" applyBorder="1" applyAlignment="1">
      <alignment horizontal="center" vertical="top" wrapText="1"/>
    </xf>
    <xf numFmtId="0" fontId="6" fillId="0" borderId="20" xfId="13" applyFont="1" applyBorder="1" applyAlignment="1">
      <alignment horizontal="center" vertical="top" wrapText="1"/>
    </xf>
    <xf numFmtId="0" fontId="10" fillId="0" borderId="91" xfId="12" applyFont="1" applyBorder="1" applyAlignment="1">
      <alignment horizontal="center"/>
    </xf>
    <xf numFmtId="0" fontId="10" fillId="0" borderId="92" xfId="12" applyFont="1" applyBorder="1" applyAlignment="1">
      <alignment horizontal="center"/>
    </xf>
    <xf numFmtId="0" fontId="10" fillId="0" borderId="93" xfId="12" applyFont="1" applyBorder="1" applyAlignment="1">
      <alignment horizontal="center"/>
    </xf>
    <xf numFmtId="0" fontId="6" fillId="0" borderId="17" xfId="12" applyFont="1" applyBorder="1" applyAlignment="1">
      <alignment horizontal="center" vertical="top" wrapText="1"/>
    </xf>
    <xf numFmtId="0" fontId="6" fillId="0" borderId="9" xfId="12" applyFont="1" applyBorder="1" applyAlignment="1">
      <alignment horizontal="center" vertical="top" wrapText="1"/>
    </xf>
    <xf numFmtId="0" fontId="6" fillId="0" borderId="1" xfId="12" applyFont="1" applyBorder="1" applyAlignment="1">
      <alignment horizontal="center" vertical="top" wrapText="1"/>
    </xf>
    <xf numFmtId="0" fontId="6" fillId="0" borderId="23" xfId="12" applyFont="1" applyBorder="1" applyAlignment="1">
      <alignment horizontal="center" vertical="top" wrapText="1"/>
    </xf>
    <xf numFmtId="0" fontId="6" fillId="0" borderId="18" xfId="12" applyFont="1" applyBorder="1" applyAlignment="1">
      <alignment horizontal="center" vertical="top" wrapText="1"/>
    </xf>
    <xf numFmtId="0" fontId="6" fillId="0" borderId="20" xfId="12" applyFont="1" applyBorder="1" applyAlignment="1">
      <alignment horizontal="center" vertical="top" wrapText="1"/>
    </xf>
    <xf numFmtId="0" fontId="6" fillId="0" borderId="43" xfId="12" applyFont="1" applyBorder="1" applyAlignment="1">
      <alignment horizontal="center" vertical="top" wrapText="1"/>
    </xf>
    <xf numFmtId="0" fontId="10" fillId="0" borderId="82" xfId="11" applyFont="1" applyBorder="1" applyAlignment="1">
      <alignment horizontal="center"/>
    </xf>
    <xf numFmtId="0" fontId="10" fillId="0" borderId="83" xfId="11" applyFont="1" applyBorder="1" applyAlignment="1">
      <alignment horizontal="center"/>
    </xf>
    <xf numFmtId="0" fontId="10" fillId="0" borderId="84" xfId="11" applyFont="1" applyBorder="1" applyAlignment="1">
      <alignment horizontal="center"/>
    </xf>
    <xf numFmtId="0" fontId="6" fillId="0" borderId="1" xfId="11" applyFont="1" applyBorder="1" applyAlignment="1">
      <alignment horizontal="center" vertical="center" wrapText="1"/>
    </xf>
    <xf numFmtId="0" fontId="6" fillId="0" borderId="23" xfId="11" applyFont="1" applyBorder="1" applyAlignment="1">
      <alignment horizontal="center" vertical="center" wrapText="1"/>
    </xf>
    <xf numFmtId="0" fontId="6" fillId="0" borderId="2" xfId="11" applyFont="1" applyBorder="1" applyAlignment="1">
      <alignment horizontal="center" vertical="center" wrapText="1"/>
    </xf>
    <xf numFmtId="0" fontId="6" fillId="0" borderId="8" xfId="11" applyFont="1" applyBorder="1" applyAlignment="1">
      <alignment horizontal="center" vertical="top" wrapText="1"/>
    </xf>
    <xf numFmtId="0" fontId="6" fillId="0" borderId="10" xfId="11" applyFont="1" applyBorder="1" applyAlignment="1">
      <alignment horizontal="center" vertical="top" wrapText="1"/>
    </xf>
    <xf numFmtId="0" fontId="6" fillId="0" borderId="1" xfId="11" applyFont="1" applyBorder="1" applyAlignment="1">
      <alignment horizontal="center"/>
    </xf>
    <xf numFmtId="0" fontId="6" fillId="0" borderId="23" xfId="11" applyFont="1" applyBorder="1" applyAlignment="1">
      <alignment horizontal="center"/>
    </xf>
    <xf numFmtId="0" fontId="6" fillId="0" borderId="2" xfId="11" applyFont="1" applyBorder="1" applyAlignment="1">
      <alignment horizontal="center"/>
    </xf>
    <xf numFmtId="0" fontId="6" fillId="0" borderId="18" xfId="11" applyFont="1" applyBorder="1" applyAlignment="1">
      <alignment horizontal="center"/>
    </xf>
    <xf numFmtId="0" fontId="6" fillId="0" borderId="43" xfId="11" applyFont="1" applyBorder="1" applyAlignment="1">
      <alignment horizontal="center"/>
    </xf>
    <xf numFmtId="0" fontId="6" fillId="0" borderId="95" xfId="11" applyFont="1" applyBorder="1" applyAlignment="1">
      <alignment horizontal="center"/>
    </xf>
    <xf numFmtId="0" fontId="6" fillId="0" borderId="71" xfId="11" applyFont="1" applyBorder="1" applyAlignment="1">
      <alignment horizontal="center"/>
    </xf>
    <xf numFmtId="0" fontId="10" fillId="0" borderId="91" xfId="33" applyFont="1" applyBorder="1" applyAlignment="1">
      <alignment horizontal="center" vertical="center" wrapText="1"/>
    </xf>
    <xf numFmtId="0" fontId="10" fillId="0" borderId="92" xfId="33" applyFont="1" applyBorder="1" applyAlignment="1">
      <alignment horizontal="center" vertical="center" wrapText="1"/>
    </xf>
    <xf numFmtId="0" fontId="10" fillId="0" borderId="93" xfId="33" applyFont="1" applyBorder="1" applyAlignment="1">
      <alignment horizontal="center" vertical="center" wrapText="1"/>
    </xf>
    <xf numFmtId="0" fontId="6" fillId="0" borderId="18" xfId="25" applyFont="1" applyBorder="1" applyAlignment="1">
      <alignment horizontal="right"/>
    </xf>
    <xf numFmtId="0" fontId="6" fillId="0" borderId="20" xfId="25" applyFont="1" applyBorder="1" applyAlignment="1">
      <alignment horizontal="right"/>
    </xf>
    <xf numFmtId="0" fontId="10" fillId="0" borderId="91" xfId="25" applyFont="1" applyBorder="1" applyAlignment="1">
      <alignment horizontal="center"/>
    </xf>
    <xf numFmtId="0" fontId="10" fillId="0" borderId="92" xfId="25" applyFont="1" applyBorder="1" applyAlignment="1">
      <alignment horizontal="center"/>
    </xf>
    <xf numFmtId="0" fontId="10" fillId="0" borderId="93" xfId="25" applyFont="1" applyBorder="1" applyAlignment="1">
      <alignment horizontal="center"/>
    </xf>
    <xf numFmtId="0" fontId="6" fillId="0" borderId="17" xfId="25" applyFont="1" applyBorder="1" applyAlignment="1">
      <alignment horizontal="center" vertical="center"/>
    </xf>
    <xf numFmtId="0" fontId="6" fillId="0" borderId="8" xfId="25" applyFont="1" applyBorder="1" applyAlignment="1">
      <alignment horizontal="center" vertical="center"/>
    </xf>
    <xf numFmtId="0" fontId="6" fillId="0" borderId="9" xfId="25" applyFont="1" applyBorder="1" applyAlignment="1">
      <alignment horizontal="center" vertical="center"/>
    </xf>
    <xf numFmtId="0" fontId="6" fillId="0" borderId="10" xfId="25" applyFont="1" applyBorder="1" applyAlignment="1">
      <alignment horizontal="center" vertical="center"/>
    </xf>
    <xf numFmtId="0" fontId="6" fillId="0" borderId="12" xfId="25" applyFont="1" applyBorder="1" applyAlignment="1">
      <alignment horizontal="center" vertical="center"/>
    </xf>
    <xf numFmtId="0" fontId="6" fillId="0" borderId="13" xfId="25" applyFont="1" applyBorder="1" applyAlignment="1">
      <alignment horizontal="center" vertical="center"/>
    </xf>
    <xf numFmtId="0" fontId="6" fillId="0" borderId="1" xfId="25" applyFont="1" applyBorder="1" applyAlignment="1">
      <alignment horizontal="center" vertical="top" wrapText="1"/>
    </xf>
    <xf numFmtId="0" fontId="6" fillId="0" borderId="23" xfId="25" applyFont="1" applyBorder="1" applyAlignment="1">
      <alignment horizontal="center" vertical="top" wrapText="1"/>
    </xf>
    <xf numFmtId="0" fontId="6" fillId="0" borderId="5" xfId="25" applyFont="1" applyBorder="1" applyAlignment="1">
      <alignment horizontal="center"/>
    </xf>
    <xf numFmtId="4" fontId="6" fillId="0" borderId="5" xfId="29" applyNumberFormat="1" applyFont="1" applyBorder="1" applyAlignment="1">
      <alignment horizontal="center"/>
    </xf>
    <xf numFmtId="4" fontId="6" fillId="0" borderId="18" xfId="29" applyNumberFormat="1" applyFont="1" applyBorder="1" applyAlignment="1">
      <alignment horizontal="center"/>
    </xf>
    <xf numFmtId="4" fontId="6" fillId="0" borderId="26" xfId="29" applyNumberFormat="1" applyFont="1" applyBorder="1" applyAlignment="1">
      <alignment horizontal="center"/>
    </xf>
    <xf numFmtId="0" fontId="10" fillId="0" borderId="91" xfId="30" applyFont="1" applyBorder="1" applyAlignment="1">
      <alignment horizontal="center"/>
    </xf>
    <xf numFmtId="0" fontId="10" fillId="0" borderId="93" xfId="30" applyFont="1" applyBorder="1" applyAlignment="1">
      <alignment horizontal="center"/>
    </xf>
    <xf numFmtId="0" fontId="10" fillId="0" borderId="91" xfId="32" applyFont="1" applyBorder="1" applyAlignment="1">
      <alignment horizontal="center"/>
    </xf>
    <xf numFmtId="0" fontId="10" fillId="0" borderId="92" xfId="32" applyFont="1" applyBorder="1" applyAlignment="1">
      <alignment horizontal="center"/>
    </xf>
    <xf numFmtId="0" fontId="10" fillId="0" borderId="93" xfId="32" applyFont="1" applyBorder="1" applyAlignment="1">
      <alignment horizontal="center"/>
    </xf>
    <xf numFmtId="4" fontId="9" fillId="0" borderId="1" xfId="0" applyNumberFormat="1" applyFont="1" applyBorder="1" applyAlignment="1">
      <alignment horizontal="right" vertical="center"/>
    </xf>
    <xf numFmtId="4" fontId="9" fillId="0" borderId="2" xfId="0" applyNumberFormat="1" applyFont="1" applyBorder="1" applyAlignment="1">
      <alignment horizontal="right" vertical="center"/>
    </xf>
    <xf numFmtId="0" fontId="9" fillId="0" borderId="5" xfId="0" applyFont="1" applyBorder="1" applyAlignment="1">
      <alignment vertical="center" wrapText="1"/>
    </xf>
    <xf numFmtId="4" fontId="9" fillId="0" borderId="29" xfId="0" applyNumberFormat="1" applyFont="1" applyBorder="1" applyAlignment="1">
      <alignment horizontal="right" vertical="center"/>
    </xf>
    <xf numFmtId="4" fontId="9" fillId="0" borderId="32" xfId="0" applyNumberFormat="1" applyFont="1" applyBorder="1" applyAlignment="1">
      <alignment horizontal="right" vertical="center"/>
    </xf>
    <xf numFmtId="0" fontId="10" fillId="0" borderId="91" xfId="9" applyFont="1" applyBorder="1" applyAlignment="1">
      <alignment horizontal="center"/>
    </xf>
    <xf numFmtId="0" fontId="10" fillId="0" borderId="92" xfId="9" applyFont="1" applyBorder="1" applyAlignment="1">
      <alignment horizontal="center"/>
    </xf>
    <xf numFmtId="0" fontId="10" fillId="0" borderId="93" xfId="9" applyFont="1" applyBorder="1" applyAlignment="1">
      <alignment horizontal="center"/>
    </xf>
    <xf numFmtId="0" fontId="8" fillId="0" borderId="5" xfId="0" applyFont="1" applyBorder="1" applyAlignment="1">
      <alignment horizontal="center" vertical="center"/>
    </xf>
    <xf numFmtId="0" fontId="8" fillId="0" borderId="18" xfId="0" applyFont="1" applyBorder="1" applyAlignment="1">
      <alignment horizontal="center" vertical="center" wrapText="1"/>
    </xf>
    <xf numFmtId="0" fontId="8" fillId="0" borderId="43" xfId="0" applyFont="1" applyBorder="1" applyAlignment="1">
      <alignment horizontal="center" vertical="center" wrapText="1"/>
    </xf>
    <xf numFmtId="0" fontId="8" fillId="0" borderId="95" xfId="0" applyFont="1" applyBorder="1" applyAlignment="1">
      <alignment horizontal="center" vertical="center" wrapText="1"/>
    </xf>
    <xf numFmtId="0" fontId="8" fillId="0" borderId="20" xfId="0" applyFont="1" applyBorder="1" applyAlignment="1">
      <alignment horizontal="center" vertical="center" wrapText="1"/>
    </xf>
    <xf numFmtId="0" fontId="9" fillId="0" borderId="1" xfId="0" applyFont="1" applyBorder="1" applyAlignment="1">
      <alignment vertical="center" wrapText="1"/>
    </xf>
    <xf numFmtId="0" fontId="9" fillId="0" borderId="2" xfId="0" applyFont="1" applyBorder="1" applyAlignment="1">
      <alignment vertical="center" wrapText="1"/>
    </xf>
    <xf numFmtId="0" fontId="0" fillId="0" borderId="32" xfId="0" applyBorder="1"/>
    <xf numFmtId="4" fontId="9" fillId="2" borderId="5" xfId="0" applyNumberFormat="1" applyFont="1" applyFill="1" applyBorder="1" applyAlignment="1">
      <alignment horizontal="right" vertical="center"/>
    </xf>
    <xf numFmtId="0" fontId="9" fillId="0" borderId="5" xfId="23" applyFont="1" applyBorder="1" applyAlignment="1">
      <alignment vertical="center" wrapText="1"/>
    </xf>
    <xf numFmtId="0" fontId="9" fillId="0" borderId="5" xfId="0" quotePrefix="1" applyFont="1" applyBorder="1" applyAlignment="1">
      <alignment vertical="center" wrapText="1"/>
    </xf>
    <xf numFmtId="0" fontId="14" fillId="5" borderId="96" xfId="0" applyFont="1" applyFill="1" applyBorder="1" applyAlignment="1">
      <alignment horizontal="center"/>
    </xf>
    <xf numFmtId="0" fontId="14" fillId="5" borderId="97" xfId="0" applyFont="1" applyFill="1" applyBorder="1" applyAlignment="1">
      <alignment horizontal="center"/>
    </xf>
    <xf numFmtId="0" fontId="14" fillId="5" borderId="98" xfId="0" applyFont="1" applyFill="1" applyBorder="1" applyAlignment="1">
      <alignment horizontal="center"/>
    </xf>
    <xf numFmtId="0" fontId="0" fillId="0" borderId="0" xfId="0" applyNumberFormat="1"/>
  </cellXfs>
  <cellStyles count="35">
    <cellStyle name="Lien hypertexte" xfId="1" builtinId="8"/>
    <cellStyle name="Milliers [0] 2" xfId="28" xr:uid="{00000000-0005-0000-0000-000001000000}"/>
    <cellStyle name="Milliers 2" xfId="29" xr:uid="{00000000-0005-0000-0000-000002000000}"/>
    <cellStyle name="Normal" xfId="0" builtinId="0"/>
    <cellStyle name="Normal 2" xfId="2" xr:uid="{00000000-0005-0000-0000-000004000000}"/>
    <cellStyle name="Normal 2 2" xfId="24" xr:uid="{00000000-0005-0000-0000-000005000000}"/>
    <cellStyle name="Normal 3" xfId="23" xr:uid="{00000000-0005-0000-0000-000006000000}"/>
    <cellStyle name="Normal 4" xfId="31" xr:uid="{00000000-0005-0000-0000-000007000000}"/>
    <cellStyle name="Normal 5" xfId="34" xr:uid="{00000000-0005-0000-0000-000008000000}"/>
    <cellStyle name="Normal_12" xfId="3" xr:uid="{00000000-0005-0000-0000-000009000000}"/>
    <cellStyle name="Normal_ACTIF" xfId="4" xr:uid="{00000000-0005-0000-0000-00000A000000}"/>
    <cellStyle name="Normal_CNCETIA1" xfId="30" xr:uid="{00000000-0005-0000-0000-00000B000000}"/>
    <cellStyle name="Normal_CNCETIA2" xfId="32" xr:uid="{00000000-0005-0000-0000-00000C000000}"/>
    <cellStyle name="Normal_CNCETIB1" xfId="27" xr:uid="{00000000-0005-0000-0000-00000D000000}"/>
    <cellStyle name="Normal_CNCETIC4" xfId="33" xr:uid="{00000000-0005-0000-0000-00000E000000}"/>
    <cellStyle name="Normal_CNCMNECP" xfId="26" xr:uid="{00000000-0005-0000-0000-00000F000000}"/>
    <cellStyle name="Normal_CNCTF" xfId="25" xr:uid="{00000000-0005-0000-0000-000010000000}"/>
    <cellStyle name="Normal_CPC" xfId="5" xr:uid="{00000000-0005-0000-0000-000011000000}"/>
    <cellStyle name="Normal_CPC.XLS" xfId="6" xr:uid="{00000000-0005-0000-0000-000012000000}"/>
    <cellStyle name="Normal_ESG" xfId="7" xr:uid="{00000000-0005-0000-0000-000013000000}"/>
    <cellStyle name="Normal_PASSIF" xfId="8" xr:uid="{00000000-0005-0000-0000-000014000000}"/>
    <cellStyle name="Normal_TAB" xfId="9" xr:uid="{00000000-0005-0000-0000-000015000000}"/>
    <cellStyle name="Normal_TAB (10)" xfId="10" xr:uid="{00000000-0005-0000-0000-000016000000}"/>
    <cellStyle name="Normal_TAB (2)" xfId="11" xr:uid="{00000000-0005-0000-0000-000017000000}"/>
    <cellStyle name="Normal_TAB (3)" xfId="12" xr:uid="{00000000-0005-0000-0000-000018000000}"/>
    <cellStyle name="Normal_TAB (4)" xfId="13" xr:uid="{00000000-0005-0000-0000-000019000000}"/>
    <cellStyle name="Normal_TAB (5)" xfId="14" xr:uid="{00000000-0005-0000-0000-00001A000000}"/>
    <cellStyle name="Normal_TAB (6)" xfId="15" xr:uid="{00000000-0005-0000-0000-00001B000000}"/>
    <cellStyle name="Normal_TAB (7)" xfId="16" xr:uid="{00000000-0005-0000-0000-00001C000000}"/>
    <cellStyle name="Normal_TAB (8)" xfId="17" xr:uid="{00000000-0005-0000-0000-00001D000000}"/>
    <cellStyle name="Normal_TAB (9)" xfId="18" xr:uid="{00000000-0005-0000-0000-00001E000000}"/>
    <cellStyle name="Normal_TAB4" xfId="19" xr:uid="{00000000-0005-0000-0000-00001F000000}"/>
    <cellStyle name="Normal_TAB4 (2)" xfId="20" xr:uid="{00000000-0005-0000-0000-000020000000}"/>
    <cellStyle name="Normal_TAB6" xfId="21" xr:uid="{00000000-0005-0000-0000-000021000000}"/>
    <cellStyle name="Pourcentage" xfId="22" builtinId="5"/>
  </cellStyles>
  <dxfs count="30">
    <dxf>
      <numFmt numFmtId="0" formatCode="Genera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val="0"/>
        <i/>
      </font>
      <border>
        <bottom style="thin">
          <color auto="1"/>
        </bottom>
        <vertical/>
        <horizontal/>
      </border>
    </dxf>
    <dxf>
      <font>
        <b/>
        <i val="0"/>
        <color rgb="FFFF0000"/>
      </font>
      <fill>
        <patternFill>
          <bgColor rgb="FFFFFF00"/>
        </patternFill>
      </fill>
    </dxf>
    <dxf>
      <font>
        <b/>
        <i val="0"/>
        <color indexed="13"/>
      </font>
      <fill>
        <patternFill>
          <bgColor indexed="10"/>
        </patternFill>
      </fill>
    </dxf>
    <dxf>
      <font>
        <b/>
        <i val="0"/>
        <color indexed="13"/>
      </font>
      <fill>
        <patternFill>
          <bgColor indexed="10"/>
        </patternFill>
      </fill>
    </dxf>
    <dxf>
      <numFmt numFmtId="0" formatCode="General"/>
    </dxf>
  </dxfs>
  <tableStyles count="0" defaultTableStyle="TableStyleMedium9" defaultPivotStyle="PivotStyleLight16"/>
  <colors>
    <mruColors>
      <color rgb="FFFFFFCC"/>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onnections" Target="connections.xml"/></Relationships>
</file>

<file path=xl/ctrlProps/ctrlProp1.xml><?xml version="1.0" encoding="utf-8"?>
<formControlPr xmlns="http://schemas.microsoft.com/office/spreadsheetml/2009/9/main" objectType="Drop" dropLines="10" dropStyle="combo" dx="16" fmlaLink="SIMPL_Liste_Tableaux_Selection" fmlaRange="SIMPL_Liste_Tableaux"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CADRE_NEANT_T01_1_OPTION" lockText="1" noThreeD="1"/>
</file>

<file path=xl/ctrlProps/ctrlProp17.xml><?xml version="1.0" encoding="utf-8"?>
<formControlPr xmlns="http://schemas.microsoft.com/office/spreadsheetml/2009/9/main" objectType="CheckBox" fmlaLink="CADRE_NEANT_T01_2_OPTION"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CADRE_NEANT_T02_OPTION"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CADRE_NEANT_T03_OPTION"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fmlaLink="CADRE_NEANT_T04_OPTION"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ADRE_NEANT_T05_OPTION"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CADRE_NEANT_T06_OPTION"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CheckBox" checked="Checked" fmlaLink="CADRE_NEANT_T07_OPTION"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CADRE_NEANT_T08_OPTION"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CADRE_NEANT_T09_OPTION"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CADRE_NEANT_T10_OPTION"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CheckBox" fmlaLink="CADRE_NEANT_T11_OPTION" lockText="1"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CADRE_NEANT_T12_OPTION"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CheckBox" fmlaLink="CADRE_NEANT_T13_OPTION"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fmlaLink="CADRE_NEANT_T14_OPTION"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checked="Checked" fmlaLink="CADRE_NEANT_T16_OPTION"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CheckBox" fmlaLink="CADRE_NEANT_T17_OPTION" lockText="1" noThreeD="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CADRE_NEANT_T18_1_OPTION" lockText="1" noThreeD="1"/>
</file>

<file path=xl/ctrlProps/ctrlProp76.xml><?xml version="1.0" encoding="utf-8"?>
<formControlPr xmlns="http://schemas.microsoft.com/office/spreadsheetml/2009/9/main" objectType="CheckBox" fmlaLink="CADRE_NEANT_T18_2_OPTION" lockText="1" noThreeD="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CADRE_NEANT_T19_OPTION"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CheckBox" fmlaLink="CADRE_NEANT_T20_OPTION" lockText="1" noThreeD="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CheckBox" fmlaLink="CADRE_NEANT_T21_OPTION" lockText="1" noThreeD="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CADRE_NEANT_T22_OPTION"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CADRE_NEANT_T23_OPTION" lockText="1" noThreeD="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CADRE_NEANT_T24_OPTION"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CheckBox" fmlaLink="CADRE_NEANT_T25_OPTION" lockText="1" noThreeD="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CADRE_NEANT_T26_OPTION" lockText="1" noThreeD="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5</xdr:row>
          <xdr:rowOff>152400</xdr:rowOff>
        </xdr:from>
        <xdr:to>
          <xdr:col>12</xdr:col>
          <xdr:colOff>251460</xdr:colOff>
          <xdr:row>6</xdr:row>
          <xdr:rowOff>137160</xdr:rowOff>
        </xdr:to>
        <xdr:sp macro="" textlink="">
          <xdr:nvSpPr>
            <xdr:cNvPr id="2049" name="GoToTableau_Selectio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5</xdr:row>
          <xdr:rowOff>152400</xdr:rowOff>
        </xdr:from>
        <xdr:to>
          <xdr:col>13</xdr:col>
          <xdr:colOff>7620</xdr:colOff>
          <xdr:row>6</xdr:row>
          <xdr:rowOff>144780</xdr:rowOff>
        </xdr:to>
        <xdr:sp macro="" textlink="">
          <xdr:nvSpPr>
            <xdr:cNvPr id="2050" name="GoToLas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7</xdr:row>
          <xdr:rowOff>45720</xdr:rowOff>
        </xdr:from>
        <xdr:to>
          <xdr:col>13</xdr:col>
          <xdr:colOff>7620</xdr:colOff>
          <xdr:row>7</xdr:row>
          <xdr:rowOff>274320</xdr:rowOff>
        </xdr:to>
        <xdr:sp macro="" textlink="">
          <xdr:nvSpPr>
            <xdr:cNvPr id="2051" name="Bouton_Convertir_En_Excel_200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FF0000"/>
                  </a:solidFill>
                  <a:latin typeface="Tahoma"/>
                  <a:ea typeface="Tahoma"/>
                  <a:cs typeface="Tahoma"/>
                </a:rPr>
                <a:t>Convertir en Excel 2003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365760</xdr:colOff>
          <xdr:row>0</xdr:row>
          <xdr:rowOff>228600</xdr:rowOff>
        </xdr:to>
        <xdr:sp macro="" textlink="">
          <xdr:nvSpPr>
            <xdr:cNvPr id="27651" name="GoToMain" hidden="1">
              <a:extLst>
                <a:ext uri="{63B3BB69-23CF-44E3-9099-C40C66FF867C}">
                  <a14:compatExt spid="_x0000_s27651"/>
                </a:ext>
                <a:ext uri="{FF2B5EF4-FFF2-40B4-BE49-F238E27FC236}">
                  <a16:creationId xmlns:a16="http://schemas.microsoft.com/office/drawing/2014/main" id="{00000000-0008-0000-0200-000003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373380</xdr:colOff>
          <xdr:row>0</xdr:row>
          <xdr:rowOff>0</xdr:rowOff>
        </xdr:from>
        <xdr:to>
          <xdr:col>2</xdr:col>
          <xdr:colOff>731520</xdr:colOff>
          <xdr:row>0</xdr:row>
          <xdr:rowOff>228600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200-000004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0</xdr:row>
          <xdr:rowOff>0</xdr:rowOff>
        </xdr:from>
        <xdr:to>
          <xdr:col>3</xdr:col>
          <xdr:colOff>419100</xdr:colOff>
          <xdr:row>0</xdr:row>
          <xdr:rowOff>228600</xdr:rowOff>
        </xdr:to>
        <xdr:sp macro="" textlink="">
          <xdr:nvSpPr>
            <xdr:cNvPr id="27653" name="Button 5" descr="Vider Balance" hidden="1">
              <a:extLst>
                <a:ext uri="{63B3BB69-23CF-44E3-9099-C40C66FF867C}">
                  <a14:compatExt spid="_x0000_s27653"/>
                </a:ext>
                <a:ext uri="{FF2B5EF4-FFF2-40B4-BE49-F238E27FC236}">
                  <a16:creationId xmlns:a16="http://schemas.microsoft.com/office/drawing/2014/main" id="{00000000-0008-0000-0200-000005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Vider Balance 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441960</xdr:colOff>
          <xdr:row>0</xdr:row>
          <xdr:rowOff>0</xdr:rowOff>
        </xdr:from>
        <xdr:to>
          <xdr:col>3</xdr:col>
          <xdr:colOff>3185160</xdr:colOff>
          <xdr:row>0</xdr:row>
          <xdr:rowOff>228600</xdr:rowOff>
        </xdr:to>
        <xdr:sp macro="" textlink="">
          <xdr:nvSpPr>
            <xdr:cNvPr id="27654" name="Button 6" descr="Vider Balance" hidden="1">
              <a:extLst>
                <a:ext uri="{63B3BB69-23CF-44E3-9099-C40C66FF867C}">
                  <a14:compatExt spid="_x0000_s27654"/>
                </a:ext>
                <a:ext uri="{FF2B5EF4-FFF2-40B4-BE49-F238E27FC236}">
                  <a16:creationId xmlns:a16="http://schemas.microsoft.com/office/drawing/2014/main" id="{00000000-0008-0000-0200-000006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Marquer Comptes non conformes au CGNC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365760</xdr:colOff>
          <xdr:row>0</xdr:row>
          <xdr:rowOff>228600</xdr:rowOff>
        </xdr:to>
        <xdr:sp macro="" textlink="">
          <xdr:nvSpPr>
            <xdr:cNvPr id="82949" name="GoToMain" hidden="1">
              <a:extLst>
                <a:ext uri="{63B3BB69-23CF-44E3-9099-C40C66FF867C}">
                  <a14:compatExt spid="_x0000_s82949"/>
                </a:ext>
                <a:ext uri="{FF2B5EF4-FFF2-40B4-BE49-F238E27FC236}">
                  <a16:creationId xmlns:a16="http://schemas.microsoft.com/office/drawing/2014/main" id="{00000000-0008-0000-0300-000005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373380</xdr:colOff>
          <xdr:row>0</xdr:row>
          <xdr:rowOff>0</xdr:rowOff>
        </xdr:from>
        <xdr:to>
          <xdr:col>2</xdr:col>
          <xdr:colOff>731520</xdr:colOff>
          <xdr:row>0</xdr:row>
          <xdr:rowOff>228600</xdr:rowOff>
        </xdr:to>
        <xdr:sp macro="" textlink="">
          <xdr:nvSpPr>
            <xdr:cNvPr id="82950" name="GoToLast" hidden="1">
              <a:extLst>
                <a:ext uri="{63B3BB69-23CF-44E3-9099-C40C66FF867C}">
                  <a14:compatExt spid="_x0000_s82950"/>
                </a:ext>
                <a:ext uri="{FF2B5EF4-FFF2-40B4-BE49-F238E27FC236}">
                  <a16:creationId xmlns:a16="http://schemas.microsoft.com/office/drawing/2014/main" id="{00000000-0008-0000-0300-000006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0</xdr:row>
          <xdr:rowOff>0</xdr:rowOff>
        </xdr:from>
        <xdr:to>
          <xdr:col>3</xdr:col>
          <xdr:colOff>419100</xdr:colOff>
          <xdr:row>0</xdr:row>
          <xdr:rowOff>228600</xdr:rowOff>
        </xdr:to>
        <xdr:sp macro="" textlink="">
          <xdr:nvSpPr>
            <xdr:cNvPr id="82951" name="Button 7" descr="Vider Balance" hidden="1">
              <a:extLst>
                <a:ext uri="{63B3BB69-23CF-44E3-9099-C40C66FF867C}">
                  <a14:compatExt spid="_x0000_s82951"/>
                </a:ext>
                <a:ext uri="{FF2B5EF4-FFF2-40B4-BE49-F238E27FC236}">
                  <a16:creationId xmlns:a16="http://schemas.microsoft.com/office/drawing/2014/main" id="{00000000-0008-0000-0300-000007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Vider Balance N-1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441960</xdr:colOff>
          <xdr:row>0</xdr:row>
          <xdr:rowOff>0</xdr:rowOff>
        </xdr:from>
        <xdr:to>
          <xdr:col>3</xdr:col>
          <xdr:colOff>3185160</xdr:colOff>
          <xdr:row>0</xdr:row>
          <xdr:rowOff>228600</xdr:rowOff>
        </xdr:to>
        <xdr:sp macro="" textlink="">
          <xdr:nvSpPr>
            <xdr:cNvPr id="82952" name="Button 8" descr="Vider Balance" hidden="1">
              <a:extLst>
                <a:ext uri="{63B3BB69-23CF-44E3-9099-C40C66FF867C}">
                  <a14:compatExt spid="_x0000_s82952"/>
                </a:ext>
                <a:ext uri="{FF2B5EF4-FFF2-40B4-BE49-F238E27FC236}">
                  <a16:creationId xmlns:a16="http://schemas.microsoft.com/office/drawing/2014/main" id="{00000000-0008-0000-0300-000008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1" i="0" u="none" strike="noStrike" baseline="0">
                  <a:solidFill>
                    <a:srgbClr val="000000"/>
                  </a:solidFill>
                  <a:latin typeface="Arial"/>
                  <a:cs typeface="Arial"/>
                </a:rPr>
                <a:t>Marquer Comptes non conformes au CGNC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365760</xdr:colOff>
          <xdr:row>1</xdr:row>
          <xdr:rowOff>68580</xdr:rowOff>
        </xdr:to>
        <xdr:sp macro="" textlink="">
          <xdr:nvSpPr>
            <xdr:cNvPr id="4098" name="GoToMain"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1</xdr:col>
          <xdr:colOff>350520</xdr:colOff>
          <xdr:row>1</xdr:row>
          <xdr:rowOff>68580</xdr:rowOff>
        </xdr:to>
        <xdr:sp macro="" textlink="">
          <xdr:nvSpPr>
            <xdr:cNvPr id="4099" name="GoToLast"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2</xdr:col>
      <xdr:colOff>381000</xdr:colOff>
      <xdr:row>23</xdr:row>
      <xdr:rowOff>142874</xdr:rowOff>
    </xdr:from>
    <xdr:to>
      <xdr:col>5</xdr:col>
      <xdr:colOff>451139</xdr:colOff>
      <xdr:row>32</xdr:row>
      <xdr:rowOff>11162</xdr:rowOff>
    </xdr:to>
    <xdr:sp macro="" textlink="">
      <xdr:nvSpPr>
        <xdr:cNvPr id="2" name="CADRE_NEANT_T01_1" hidden="1">
          <a:extLst>
            <a:ext uri="{FF2B5EF4-FFF2-40B4-BE49-F238E27FC236}">
              <a16:creationId xmlns:a16="http://schemas.microsoft.com/office/drawing/2014/main" id="{00000000-0008-0000-0400-000002000000}"/>
            </a:ext>
          </a:extLst>
        </xdr:cNvPr>
        <xdr:cNvSpPr txBox="1"/>
      </xdr:nvSpPr>
      <xdr:spPr>
        <a:xfrm rot="20002775">
          <a:off x="3267075" y="3943349"/>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1</xdr:col>
      <xdr:colOff>2247900</xdr:colOff>
      <xdr:row>73</xdr:row>
      <xdr:rowOff>152400</xdr:rowOff>
    </xdr:from>
    <xdr:to>
      <xdr:col>4</xdr:col>
      <xdr:colOff>794039</xdr:colOff>
      <xdr:row>82</xdr:row>
      <xdr:rowOff>39738</xdr:rowOff>
    </xdr:to>
    <xdr:sp macro="" textlink="">
      <xdr:nvSpPr>
        <xdr:cNvPr id="3" name="CADRE_NEANT_T01_2" hidden="1">
          <a:extLst>
            <a:ext uri="{FF2B5EF4-FFF2-40B4-BE49-F238E27FC236}">
              <a16:creationId xmlns:a16="http://schemas.microsoft.com/office/drawing/2014/main" id="{00000000-0008-0000-0400-000003000000}"/>
            </a:ext>
          </a:extLst>
        </xdr:cNvPr>
        <xdr:cNvSpPr txBox="1"/>
      </xdr:nvSpPr>
      <xdr:spPr>
        <a:xfrm rot="20002775">
          <a:off x="2495550" y="1219200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114300</xdr:colOff>
          <xdr:row>0</xdr:row>
          <xdr:rowOff>228600</xdr:rowOff>
        </xdr:to>
        <xdr:sp macro="" textlink="">
          <xdr:nvSpPr>
            <xdr:cNvPr id="5122" name="GoToMain"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54</xdr:row>
          <xdr:rowOff>0</xdr:rowOff>
        </xdr:from>
        <xdr:to>
          <xdr:col>1</xdr:col>
          <xdr:colOff>114300</xdr:colOff>
          <xdr:row>54</xdr:row>
          <xdr:rowOff>228600</xdr:rowOff>
        </xdr:to>
        <xdr:sp macro="" textlink="">
          <xdr:nvSpPr>
            <xdr:cNvPr id="5123" name="GoToMain_"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7620</xdr:rowOff>
        </xdr:from>
        <xdr:to>
          <xdr:col>5</xdr:col>
          <xdr:colOff>1074420</xdr:colOff>
          <xdr:row>0</xdr:row>
          <xdr:rowOff>228600</xdr:rowOff>
        </xdr:to>
        <xdr:sp macro="" textlink="">
          <xdr:nvSpPr>
            <xdr:cNvPr id="5124" name="CADRE_NEANT_T01_1_BOUTTON"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54</xdr:row>
          <xdr:rowOff>7620</xdr:rowOff>
        </xdr:from>
        <xdr:to>
          <xdr:col>4</xdr:col>
          <xdr:colOff>1066800</xdr:colOff>
          <xdr:row>54</xdr:row>
          <xdr:rowOff>228600</xdr:rowOff>
        </xdr:to>
        <xdr:sp macro="" textlink="">
          <xdr:nvSpPr>
            <xdr:cNvPr id="5125" name="CADRE_NEANT_T01_2_BOUTTON"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0</xdr:rowOff>
        </xdr:from>
        <xdr:to>
          <xdr:col>1</xdr:col>
          <xdr:colOff>487680</xdr:colOff>
          <xdr:row>0</xdr:row>
          <xdr:rowOff>228600</xdr:rowOff>
        </xdr:to>
        <xdr:sp macro="" textlink="">
          <xdr:nvSpPr>
            <xdr:cNvPr id="5127" name="GoToLast"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54</xdr:row>
          <xdr:rowOff>0</xdr:rowOff>
        </xdr:from>
        <xdr:to>
          <xdr:col>1</xdr:col>
          <xdr:colOff>487680</xdr:colOff>
          <xdr:row>54</xdr:row>
          <xdr:rowOff>228600</xdr:rowOff>
        </xdr:to>
        <xdr:sp macro="" textlink="">
          <xdr:nvSpPr>
            <xdr:cNvPr id="5129" name="GoToLast_"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3</xdr:col>
      <xdr:colOff>466725</xdr:colOff>
      <xdr:row>15</xdr:row>
      <xdr:rowOff>152400</xdr:rowOff>
    </xdr:from>
    <xdr:to>
      <xdr:col>6</xdr:col>
      <xdr:colOff>536864</xdr:colOff>
      <xdr:row>24</xdr:row>
      <xdr:rowOff>39738</xdr:rowOff>
    </xdr:to>
    <xdr:sp macro="" textlink="">
      <xdr:nvSpPr>
        <xdr:cNvPr id="2" name="CADRE_NEANT_T02_1" hidden="1">
          <a:extLst>
            <a:ext uri="{FF2B5EF4-FFF2-40B4-BE49-F238E27FC236}">
              <a16:creationId xmlns:a16="http://schemas.microsoft.com/office/drawing/2014/main" id="{00000000-0008-0000-0500-000002000000}"/>
            </a:ext>
          </a:extLst>
        </xdr:cNvPr>
        <xdr:cNvSpPr txBox="1"/>
      </xdr:nvSpPr>
      <xdr:spPr>
        <a:xfrm rot="20002775">
          <a:off x="3219450" y="2981325"/>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3</xdr:col>
      <xdr:colOff>476250</xdr:colOff>
      <xdr:row>50</xdr:row>
      <xdr:rowOff>152400</xdr:rowOff>
    </xdr:from>
    <xdr:to>
      <xdr:col>6</xdr:col>
      <xdr:colOff>546389</xdr:colOff>
      <xdr:row>59</xdr:row>
      <xdr:rowOff>39738</xdr:rowOff>
    </xdr:to>
    <xdr:sp macro="" textlink="">
      <xdr:nvSpPr>
        <xdr:cNvPr id="3" name="CADRE_NEANT_T02_2" hidden="1">
          <a:extLst>
            <a:ext uri="{FF2B5EF4-FFF2-40B4-BE49-F238E27FC236}">
              <a16:creationId xmlns:a16="http://schemas.microsoft.com/office/drawing/2014/main" id="{00000000-0008-0000-0500-000003000000}"/>
            </a:ext>
          </a:extLst>
        </xdr:cNvPr>
        <xdr:cNvSpPr txBox="1"/>
      </xdr:nvSpPr>
      <xdr:spPr>
        <a:xfrm rot="20002775">
          <a:off x="3228975" y="9058275"/>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114300</xdr:colOff>
          <xdr:row>0</xdr:row>
          <xdr:rowOff>228600</xdr:rowOff>
        </xdr:to>
        <xdr:sp macro="" textlink="">
          <xdr:nvSpPr>
            <xdr:cNvPr id="6145" name="GoToMain"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41</xdr:row>
          <xdr:rowOff>0</xdr:rowOff>
        </xdr:from>
        <xdr:to>
          <xdr:col>1</xdr:col>
          <xdr:colOff>114300</xdr:colOff>
          <xdr:row>41</xdr:row>
          <xdr:rowOff>228600</xdr:rowOff>
        </xdr:to>
        <xdr:sp macro="" textlink="">
          <xdr:nvSpPr>
            <xdr:cNvPr id="6146" name="GoToMain_"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480060</xdr:colOff>
          <xdr:row>0</xdr:row>
          <xdr:rowOff>7620</xdr:rowOff>
        </xdr:from>
        <xdr:to>
          <xdr:col>6</xdr:col>
          <xdr:colOff>1059180</xdr:colOff>
          <xdr:row>0</xdr:row>
          <xdr:rowOff>228600</xdr:rowOff>
        </xdr:to>
        <xdr:sp macro="" textlink="">
          <xdr:nvSpPr>
            <xdr:cNvPr id="6147" name="CADRE_NEANT_T02_BOUTTON"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0</xdr:rowOff>
        </xdr:from>
        <xdr:to>
          <xdr:col>2</xdr:col>
          <xdr:colOff>236220</xdr:colOff>
          <xdr:row>0</xdr:row>
          <xdr:rowOff>228600</xdr:rowOff>
        </xdr:to>
        <xdr:sp macro="" textlink="">
          <xdr:nvSpPr>
            <xdr:cNvPr id="6148" name="GoToLast"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xdr:colOff>
          <xdr:row>41</xdr:row>
          <xdr:rowOff>0</xdr:rowOff>
        </xdr:from>
        <xdr:to>
          <xdr:col>2</xdr:col>
          <xdr:colOff>236220</xdr:colOff>
          <xdr:row>41</xdr:row>
          <xdr:rowOff>228600</xdr:rowOff>
        </xdr:to>
        <xdr:sp macro="" textlink="">
          <xdr:nvSpPr>
            <xdr:cNvPr id="6149" name="GoToLast_"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2705101</xdr:colOff>
      <xdr:row>22</xdr:row>
      <xdr:rowOff>95251</xdr:rowOff>
    </xdr:from>
    <xdr:to>
      <xdr:col>2</xdr:col>
      <xdr:colOff>574965</xdr:colOff>
      <xdr:row>30</xdr:row>
      <xdr:rowOff>144514</xdr:rowOff>
    </xdr:to>
    <xdr:sp macro="" textlink="">
      <xdr:nvSpPr>
        <xdr:cNvPr id="2" name="CADRE_NEANT_T03" hidden="1">
          <a:extLst>
            <a:ext uri="{FF2B5EF4-FFF2-40B4-BE49-F238E27FC236}">
              <a16:creationId xmlns:a16="http://schemas.microsoft.com/office/drawing/2014/main" id="{00000000-0008-0000-0600-000002000000}"/>
            </a:ext>
          </a:extLst>
        </xdr:cNvPr>
        <xdr:cNvSpPr txBox="1"/>
      </xdr:nvSpPr>
      <xdr:spPr>
        <a:xfrm rot="20002775">
          <a:off x="2705101" y="3733801"/>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7169" name="GoToMain"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0</xdr:row>
          <xdr:rowOff>7620</xdr:rowOff>
        </xdr:from>
        <xdr:to>
          <xdr:col>2</xdr:col>
          <xdr:colOff>1074420</xdr:colOff>
          <xdr:row>0</xdr:row>
          <xdr:rowOff>228600</xdr:rowOff>
        </xdr:to>
        <xdr:sp macro="" textlink="">
          <xdr:nvSpPr>
            <xdr:cNvPr id="7170" name="CADRE_NEANT_T03_BOUTTON"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7171" name="GoToLast"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3</xdr:col>
      <xdr:colOff>228352</xdr:colOff>
      <xdr:row>12</xdr:row>
      <xdr:rowOff>53005</xdr:rowOff>
    </xdr:from>
    <xdr:to>
      <xdr:col>6</xdr:col>
      <xdr:colOff>43667</xdr:colOff>
      <xdr:row>20</xdr:row>
      <xdr:rowOff>1884</xdr:rowOff>
    </xdr:to>
    <xdr:sp macro="" textlink="">
      <xdr:nvSpPr>
        <xdr:cNvPr id="2" name="CADRE_NEANT_T04" hidden="1">
          <a:extLst>
            <a:ext uri="{FF2B5EF4-FFF2-40B4-BE49-F238E27FC236}">
              <a16:creationId xmlns:a16="http://schemas.microsoft.com/office/drawing/2014/main" id="{00000000-0008-0000-0700-000002000000}"/>
            </a:ext>
          </a:extLst>
        </xdr:cNvPr>
        <xdr:cNvSpPr txBox="1"/>
      </xdr:nvSpPr>
      <xdr:spPr>
        <a:xfrm rot="20002775">
          <a:off x="4800352" y="1910380"/>
          <a:ext cx="3158590" cy="124427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8193" name="GoToMain"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487680</xdr:colOff>
          <xdr:row>0</xdr:row>
          <xdr:rowOff>7620</xdr:rowOff>
        </xdr:from>
        <xdr:to>
          <xdr:col>8</xdr:col>
          <xdr:colOff>1066800</xdr:colOff>
          <xdr:row>0</xdr:row>
          <xdr:rowOff>228600</xdr:rowOff>
        </xdr:to>
        <xdr:sp macro="" textlink="">
          <xdr:nvSpPr>
            <xdr:cNvPr id="8194" name="CADRE_NEANT_T04_BOUTTON"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8195" name="GoToLast"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3</xdr:col>
      <xdr:colOff>2133600</xdr:colOff>
      <xdr:row>24</xdr:row>
      <xdr:rowOff>9525</xdr:rowOff>
    </xdr:from>
    <xdr:to>
      <xdr:col>5</xdr:col>
      <xdr:colOff>870239</xdr:colOff>
      <xdr:row>32</xdr:row>
      <xdr:rowOff>58788</xdr:rowOff>
    </xdr:to>
    <xdr:sp macro="" textlink="">
      <xdr:nvSpPr>
        <xdr:cNvPr id="2" name="CADRE_NEANT_T05" hidden="1">
          <a:extLst>
            <a:ext uri="{FF2B5EF4-FFF2-40B4-BE49-F238E27FC236}">
              <a16:creationId xmlns:a16="http://schemas.microsoft.com/office/drawing/2014/main" id="{00000000-0008-0000-0800-000002000000}"/>
            </a:ext>
          </a:extLst>
        </xdr:cNvPr>
        <xdr:cNvSpPr txBox="1"/>
      </xdr:nvSpPr>
      <xdr:spPr>
        <a:xfrm rot="20002775">
          <a:off x="2752725" y="417195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152400</xdr:colOff>
          <xdr:row>0</xdr:row>
          <xdr:rowOff>228600</xdr:rowOff>
        </xdr:to>
        <xdr:sp macro="" textlink="">
          <xdr:nvSpPr>
            <xdr:cNvPr id="9217" name="GoToMain"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0</xdr:row>
          <xdr:rowOff>7620</xdr:rowOff>
        </xdr:from>
        <xdr:to>
          <xdr:col>5</xdr:col>
          <xdr:colOff>1074420</xdr:colOff>
          <xdr:row>0</xdr:row>
          <xdr:rowOff>228600</xdr:rowOff>
        </xdr:to>
        <xdr:sp macro="" textlink="">
          <xdr:nvSpPr>
            <xdr:cNvPr id="9218" name="CADRE_NEANT_T05_BOUTTON"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0</xdr:row>
          <xdr:rowOff>0</xdr:rowOff>
        </xdr:from>
        <xdr:to>
          <xdr:col>3</xdr:col>
          <xdr:colOff>114300</xdr:colOff>
          <xdr:row>0</xdr:row>
          <xdr:rowOff>228600</xdr:rowOff>
        </xdr:to>
        <xdr:sp macro="" textlink="">
          <xdr:nvSpPr>
            <xdr:cNvPr id="9219" name="GoToLast"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1</xdr:col>
      <xdr:colOff>1638300</xdr:colOff>
      <xdr:row>21</xdr:row>
      <xdr:rowOff>38101</xdr:rowOff>
    </xdr:from>
    <xdr:to>
      <xdr:col>3</xdr:col>
      <xdr:colOff>555914</xdr:colOff>
      <xdr:row>29</xdr:row>
      <xdr:rowOff>87364</xdr:rowOff>
    </xdr:to>
    <xdr:sp macro="" textlink="">
      <xdr:nvSpPr>
        <xdr:cNvPr id="2" name="CADRE_NEANT_T06_1" hidden="1">
          <a:extLst>
            <a:ext uri="{FF2B5EF4-FFF2-40B4-BE49-F238E27FC236}">
              <a16:creationId xmlns:a16="http://schemas.microsoft.com/office/drawing/2014/main" id="{00000000-0008-0000-0900-000002000000}"/>
            </a:ext>
          </a:extLst>
        </xdr:cNvPr>
        <xdr:cNvSpPr txBox="1"/>
      </xdr:nvSpPr>
      <xdr:spPr>
        <a:xfrm rot="20002775">
          <a:off x="2143125" y="3705226"/>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xdr:twoCellAnchor editAs="absolute">
    <xdr:from>
      <xdr:col>1</xdr:col>
      <xdr:colOff>1638300</xdr:colOff>
      <xdr:row>68</xdr:row>
      <xdr:rowOff>76201</xdr:rowOff>
    </xdr:from>
    <xdr:to>
      <xdr:col>3</xdr:col>
      <xdr:colOff>555914</xdr:colOff>
      <xdr:row>76</xdr:row>
      <xdr:rowOff>125464</xdr:rowOff>
    </xdr:to>
    <xdr:sp macro="" textlink="">
      <xdr:nvSpPr>
        <xdr:cNvPr id="3" name="CADRE_NEANT_T06_2" hidden="1">
          <a:extLst>
            <a:ext uri="{FF2B5EF4-FFF2-40B4-BE49-F238E27FC236}">
              <a16:creationId xmlns:a16="http://schemas.microsoft.com/office/drawing/2014/main" id="{00000000-0008-0000-0900-000003000000}"/>
            </a:ext>
          </a:extLst>
        </xdr:cNvPr>
        <xdr:cNvSpPr txBox="1"/>
      </xdr:nvSpPr>
      <xdr:spPr>
        <a:xfrm rot="20002775">
          <a:off x="2143125" y="11439526"/>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025" name="GoToMain" hidden="1">
              <a:extLst>
                <a:ext uri="{63B3BB69-23CF-44E3-9099-C40C66FF867C}">
                  <a14:compatExt spid="_x0000_s1025"/>
                </a:ext>
                <a:ext uri="{FF2B5EF4-FFF2-40B4-BE49-F238E27FC236}">
                  <a16:creationId xmlns:a16="http://schemas.microsoft.com/office/drawing/2014/main" id="{00000000-0008-0000-0B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426720</xdr:colOff>
          <xdr:row>0</xdr:row>
          <xdr:rowOff>0</xdr:rowOff>
        </xdr:from>
        <xdr:to>
          <xdr:col>3</xdr:col>
          <xdr:colOff>1066800</xdr:colOff>
          <xdr:row>0</xdr:row>
          <xdr:rowOff>220980</xdr:rowOff>
        </xdr:to>
        <xdr:sp macro="" textlink="">
          <xdr:nvSpPr>
            <xdr:cNvPr id="1026" name="CADRE_NEANT_T06_BOUTTON" hidden="1">
              <a:extLst>
                <a:ext uri="{63B3BB69-23CF-44E3-9099-C40C66FF867C}">
                  <a14:compatExt spid="_x0000_s1026"/>
                </a:ext>
                <a:ext uri="{FF2B5EF4-FFF2-40B4-BE49-F238E27FC236}">
                  <a16:creationId xmlns:a16="http://schemas.microsoft.com/office/drawing/2014/main" id="{00000000-0008-0000-0B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1</xdr:col>
          <xdr:colOff>228600</xdr:colOff>
          <xdr:row>0</xdr:row>
          <xdr:rowOff>228600</xdr:rowOff>
        </xdr:to>
        <xdr:sp macro="" textlink="">
          <xdr:nvSpPr>
            <xdr:cNvPr id="1027" name="GoToLast" hidden="1">
              <a:extLst>
                <a:ext uri="{63B3BB69-23CF-44E3-9099-C40C66FF867C}">
                  <a14:compatExt spid="_x0000_s1027"/>
                </a:ext>
                <a:ext uri="{FF2B5EF4-FFF2-40B4-BE49-F238E27FC236}">
                  <a16:creationId xmlns:a16="http://schemas.microsoft.com/office/drawing/2014/main" id="{00000000-0008-0000-0B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52</xdr:row>
          <xdr:rowOff>0</xdr:rowOff>
        </xdr:from>
        <xdr:to>
          <xdr:col>0</xdr:col>
          <xdr:colOff>365760</xdr:colOff>
          <xdr:row>52</xdr:row>
          <xdr:rowOff>228600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B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52</xdr:row>
          <xdr:rowOff>0</xdr:rowOff>
        </xdr:from>
        <xdr:to>
          <xdr:col>1</xdr:col>
          <xdr:colOff>228600</xdr:colOff>
          <xdr:row>52</xdr:row>
          <xdr:rowOff>228600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B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4</xdr:col>
      <xdr:colOff>24316</xdr:colOff>
      <xdr:row>10</xdr:row>
      <xdr:rowOff>47716</xdr:rowOff>
    </xdr:from>
    <xdr:to>
      <xdr:col>7</xdr:col>
      <xdr:colOff>614142</xdr:colOff>
      <xdr:row>17</xdr:row>
      <xdr:rowOff>95909</xdr:rowOff>
    </xdr:to>
    <xdr:sp macro="" textlink="">
      <xdr:nvSpPr>
        <xdr:cNvPr id="2" name="CADRE_NEANT_T07">
          <a:extLst>
            <a:ext uri="{FF2B5EF4-FFF2-40B4-BE49-F238E27FC236}">
              <a16:creationId xmlns:a16="http://schemas.microsoft.com/office/drawing/2014/main" id="{00000000-0008-0000-0A00-000002000000}"/>
            </a:ext>
          </a:extLst>
        </xdr:cNvPr>
        <xdr:cNvSpPr txBox="1"/>
      </xdr:nvSpPr>
      <xdr:spPr>
        <a:xfrm rot="20002775">
          <a:off x="3567616" y="2114641"/>
          <a:ext cx="2999651" cy="118166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0241" name="GoToMain"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297180</xdr:colOff>
          <xdr:row>0</xdr:row>
          <xdr:rowOff>7620</xdr:rowOff>
        </xdr:from>
        <xdr:to>
          <xdr:col>10</xdr:col>
          <xdr:colOff>876300</xdr:colOff>
          <xdr:row>0</xdr:row>
          <xdr:rowOff>228600</xdr:rowOff>
        </xdr:to>
        <xdr:sp macro="" textlink="">
          <xdr:nvSpPr>
            <xdr:cNvPr id="10244" name="CADRE_NEANT_T07_BOUTTON" hidden="1">
              <a:extLst>
                <a:ext uri="{63B3BB69-23CF-44E3-9099-C40C66FF867C}">
                  <a14:compatExt spid="_x0000_s10244"/>
                </a:ext>
                <a:ext uri="{FF2B5EF4-FFF2-40B4-BE49-F238E27FC236}">
                  <a16:creationId xmlns:a16="http://schemas.microsoft.com/office/drawing/2014/main" id="{00000000-0008-0000-0C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0245" name="GoToLast"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0</xdr:col>
      <xdr:colOff>2685064</xdr:colOff>
      <xdr:row>12</xdr:row>
      <xdr:rowOff>44224</xdr:rowOff>
    </xdr:from>
    <xdr:to>
      <xdr:col>3</xdr:col>
      <xdr:colOff>613635</xdr:colOff>
      <xdr:row>19</xdr:row>
      <xdr:rowOff>57157</xdr:rowOff>
    </xdr:to>
    <xdr:sp macro="" textlink="">
      <xdr:nvSpPr>
        <xdr:cNvPr id="2" name="CADRE_NEANT_T08" hidden="1">
          <a:extLst>
            <a:ext uri="{FF2B5EF4-FFF2-40B4-BE49-F238E27FC236}">
              <a16:creationId xmlns:a16="http://schemas.microsoft.com/office/drawing/2014/main" id="{00000000-0008-0000-0B00-000002000000}"/>
            </a:ext>
          </a:extLst>
        </xdr:cNvPr>
        <xdr:cNvSpPr txBox="1"/>
      </xdr:nvSpPr>
      <xdr:spPr>
        <a:xfrm rot="20002775">
          <a:off x="2685064" y="2111149"/>
          <a:ext cx="2910146" cy="114640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1265" name="GoToMain"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0</xdr:row>
          <xdr:rowOff>7620</xdr:rowOff>
        </xdr:from>
        <xdr:to>
          <xdr:col>4</xdr:col>
          <xdr:colOff>1074420</xdr:colOff>
          <xdr:row>0</xdr:row>
          <xdr:rowOff>228600</xdr:rowOff>
        </xdr:to>
        <xdr:sp macro="" textlink="">
          <xdr:nvSpPr>
            <xdr:cNvPr id="11267" name="CADRE_NEANT_T08_BOUTTON"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1268" name="GoToLast"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3</xdr:col>
      <xdr:colOff>219886</xdr:colOff>
      <xdr:row>7</xdr:row>
      <xdr:rowOff>100856</xdr:rowOff>
    </xdr:from>
    <xdr:to>
      <xdr:col>5</xdr:col>
      <xdr:colOff>539878</xdr:colOff>
      <xdr:row>12</xdr:row>
      <xdr:rowOff>85183</xdr:rowOff>
    </xdr:to>
    <xdr:sp macro="" textlink="">
      <xdr:nvSpPr>
        <xdr:cNvPr id="2" name="CADRE_NEANT_T09" hidden="1">
          <a:extLst>
            <a:ext uri="{FF2B5EF4-FFF2-40B4-BE49-F238E27FC236}">
              <a16:creationId xmlns:a16="http://schemas.microsoft.com/office/drawing/2014/main" id="{00000000-0008-0000-0C00-000002000000}"/>
            </a:ext>
          </a:extLst>
        </xdr:cNvPr>
        <xdr:cNvSpPr txBox="1"/>
      </xdr:nvSpPr>
      <xdr:spPr>
        <a:xfrm rot="20002775">
          <a:off x="4448986" y="1310531"/>
          <a:ext cx="2015442" cy="79395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2289" name="GoToMain"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0</xdr:row>
          <xdr:rowOff>7620</xdr:rowOff>
        </xdr:from>
        <xdr:to>
          <xdr:col>8</xdr:col>
          <xdr:colOff>800100</xdr:colOff>
          <xdr:row>0</xdr:row>
          <xdr:rowOff>228600</xdr:rowOff>
        </xdr:to>
        <xdr:sp macro="" textlink="">
          <xdr:nvSpPr>
            <xdr:cNvPr id="12291" name="CADRE_NEANT_T09_BOUTTON"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2292" name="GoToLast"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2</xdr:col>
      <xdr:colOff>457113</xdr:colOff>
      <xdr:row>8</xdr:row>
      <xdr:rowOff>56699</xdr:rowOff>
    </xdr:from>
    <xdr:to>
      <xdr:col>5</xdr:col>
      <xdr:colOff>232826</xdr:colOff>
      <xdr:row>15</xdr:row>
      <xdr:rowOff>151903</xdr:rowOff>
    </xdr:to>
    <xdr:sp macro="" textlink="">
      <xdr:nvSpPr>
        <xdr:cNvPr id="2" name="CADRE_NEANT_T10" hidden="1">
          <a:extLst>
            <a:ext uri="{FF2B5EF4-FFF2-40B4-BE49-F238E27FC236}">
              <a16:creationId xmlns:a16="http://schemas.microsoft.com/office/drawing/2014/main" id="{00000000-0008-0000-0D00-000002000000}"/>
            </a:ext>
          </a:extLst>
        </xdr:cNvPr>
        <xdr:cNvSpPr txBox="1"/>
      </xdr:nvSpPr>
      <xdr:spPr>
        <a:xfrm rot="20002775">
          <a:off x="2438313" y="1752149"/>
          <a:ext cx="3118988" cy="122867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3313" name="GoToMain"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487680</xdr:colOff>
          <xdr:row>0</xdr:row>
          <xdr:rowOff>7620</xdr:rowOff>
        </xdr:from>
        <xdr:to>
          <xdr:col>7</xdr:col>
          <xdr:colOff>1066800</xdr:colOff>
          <xdr:row>0</xdr:row>
          <xdr:rowOff>228600</xdr:rowOff>
        </xdr:to>
        <xdr:sp macro="" textlink="">
          <xdr:nvSpPr>
            <xdr:cNvPr id="13314" name="CADRE_NEANT_T10_BOUTTON"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3315" name="GoToLast"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2</xdr:col>
      <xdr:colOff>1205435</xdr:colOff>
      <xdr:row>9</xdr:row>
      <xdr:rowOff>12034</xdr:rowOff>
    </xdr:from>
    <xdr:to>
      <xdr:col>5</xdr:col>
      <xdr:colOff>722090</xdr:colOff>
      <xdr:row>14</xdr:row>
      <xdr:rowOff>118911</xdr:rowOff>
    </xdr:to>
    <xdr:sp macro="" textlink="">
      <xdr:nvSpPr>
        <xdr:cNvPr id="2" name="CADRE_NEANT_T11" hidden="1">
          <a:extLst>
            <a:ext uri="{FF2B5EF4-FFF2-40B4-BE49-F238E27FC236}">
              <a16:creationId xmlns:a16="http://schemas.microsoft.com/office/drawing/2014/main" id="{00000000-0008-0000-0E00-000002000000}"/>
            </a:ext>
          </a:extLst>
        </xdr:cNvPr>
        <xdr:cNvSpPr txBox="1"/>
      </xdr:nvSpPr>
      <xdr:spPr>
        <a:xfrm rot="20002775">
          <a:off x="3634310" y="1878934"/>
          <a:ext cx="2326530" cy="91650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54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4337" name="GoToMain"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0</xdr:row>
          <xdr:rowOff>7620</xdr:rowOff>
        </xdr:from>
        <xdr:to>
          <xdr:col>10</xdr:col>
          <xdr:colOff>807720</xdr:colOff>
          <xdr:row>0</xdr:row>
          <xdr:rowOff>228600</xdr:rowOff>
        </xdr:to>
        <xdr:sp macro="" textlink="">
          <xdr:nvSpPr>
            <xdr:cNvPr id="14338" name="CADRE_NEANT_T11_BOUTTON"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4339" name="GoToLast"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2</xdr:col>
      <xdr:colOff>462858</xdr:colOff>
      <xdr:row>5</xdr:row>
      <xdr:rowOff>113731</xdr:rowOff>
    </xdr:from>
    <xdr:to>
      <xdr:col>3</xdr:col>
      <xdr:colOff>596922</xdr:colOff>
      <xdr:row>7</xdr:row>
      <xdr:rowOff>148353</xdr:rowOff>
    </xdr:to>
    <xdr:sp macro="" textlink="">
      <xdr:nvSpPr>
        <xdr:cNvPr id="2" name="CADRE_NEANT_T12" hidden="1">
          <a:extLst>
            <a:ext uri="{FF2B5EF4-FFF2-40B4-BE49-F238E27FC236}">
              <a16:creationId xmlns:a16="http://schemas.microsoft.com/office/drawing/2014/main" id="{00000000-0008-0000-0F00-000002000000}"/>
            </a:ext>
          </a:extLst>
        </xdr:cNvPr>
        <xdr:cNvSpPr txBox="1"/>
      </xdr:nvSpPr>
      <xdr:spPr>
        <a:xfrm rot="20002775">
          <a:off x="3825183" y="1428181"/>
          <a:ext cx="1248489" cy="4918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2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5361" name="GoToMain"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487680</xdr:colOff>
          <xdr:row>0</xdr:row>
          <xdr:rowOff>7620</xdr:rowOff>
        </xdr:from>
        <xdr:to>
          <xdr:col>4</xdr:col>
          <xdr:colOff>1066800</xdr:colOff>
          <xdr:row>0</xdr:row>
          <xdr:rowOff>228600</xdr:rowOff>
        </xdr:to>
        <xdr:sp macro="" textlink="">
          <xdr:nvSpPr>
            <xdr:cNvPr id="15362" name="CADRE_NEANT_T12_BOUTTON"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5363" name="GoToLast"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2</xdr:col>
      <xdr:colOff>462858</xdr:colOff>
      <xdr:row>5</xdr:row>
      <xdr:rowOff>113731</xdr:rowOff>
    </xdr:from>
    <xdr:to>
      <xdr:col>3</xdr:col>
      <xdr:colOff>596922</xdr:colOff>
      <xdr:row>7</xdr:row>
      <xdr:rowOff>148353</xdr:rowOff>
    </xdr:to>
    <xdr:sp macro="" textlink="">
      <xdr:nvSpPr>
        <xdr:cNvPr id="2" name="CADRE_NEANT_T12" hidden="1">
          <a:extLst>
            <a:ext uri="{FF2B5EF4-FFF2-40B4-BE49-F238E27FC236}">
              <a16:creationId xmlns:a16="http://schemas.microsoft.com/office/drawing/2014/main" id="{00000000-0008-0000-1000-000002000000}"/>
            </a:ext>
          </a:extLst>
        </xdr:cNvPr>
        <xdr:cNvSpPr txBox="1"/>
      </xdr:nvSpPr>
      <xdr:spPr>
        <a:xfrm rot="20002775">
          <a:off x="3825183" y="1428181"/>
          <a:ext cx="1248489" cy="49182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2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08545" name="GoToMain" hidden="1">
              <a:extLst>
                <a:ext uri="{63B3BB69-23CF-44E3-9099-C40C66FF867C}">
                  <a14:compatExt spid="_x0000_s108545"/>
                </a:ext>
                <a:ext uri="{FF2B5EF4-FFF2-40B4-BE49-F238E27FC236}">
                  <a16:creationId xmlns:a16="http://schemas.microsoft.com/office/drawing/2014/main" id="{00000000-0008-0000-1200-000001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08547" name="GoToLast" hidden="1">
              <a:extLst>
                <a:ext uri="{63B3BB69-23CF-44E3-9099-C40C66FF867C}">
                  <a14:compatExt spid="_x0000_s108547"/>
                </a:ext>
                <a:ext uri="{FF2B5EF4-FFF2-40B4-BE49-F238E27FC236}">
                  <a16:creationId xmlns:a16="http://schemas.microsoft.com/office/drawing/2014/main" id="{00000000-0008-0000-1200-000003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absolute">
    <xdr:from>
      <xdr:col>2</xdr:col>
      <xdr:colOff>243080</xdr:colOff>
      <xdr:row>12</xdr:row>
      <xdr:rowOff>19323</xdr:rowOff>
    </xdr:from>
    <xdr:to>
      <xdr:col>5</xdr:col>
      <xdr:colOff>864134</xdr:colOff>
      <xdr:row>18</xdr:row>
      <xdr:rowOff>61635</xdr:rowOff>
    </xdr:to>
    <xdr:sp macro="" textlink="">
      <xdr:nvSpPr>
        <xdr:cNvPr id="2" name="CADRE_NEANT_T13" hidden="1">
          <a:extLst>
            <a:ext uri="{FF2B5EF4-FFF2-40B4-BE49-F238E27FC236}">
              <a16:creationId xmlns:a16="http://schemas.microsoft.com/office/drawing/2014/main" id="{00000000-0008-0000-1100-000002000000}"/>
            </a:ext>
          </a:extLst>
        </xdr:cNvPr>
        <xdr:cNvSpPr txBox="1"/>
      </xdr:nvSpPr>
      <xdr:spPr>
        <a:xfrm rot="20002775">
          <a:off x="4072130" y="2362473"/>
          <a:ext cx="2573679" cy="1013862"/>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6385" name="GoToMain"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297180</xdr:colOff>
          <xdr:row>0</xdr:row>
          <xdr:rowOff>0</xdr:rowOff>
        </xdr:from>
        <xdr:to>
          <xdr:col>11</xdr:col>
          <xdr:colOff>876300</xdr:colOff>
          <xdr:row>0</xdr:row>
          <xdr:rowOff>220980</xdr:rowOff>
        </xdr:to>
        <xdr:sp macro="" textlink="">
          <xdr:nvSpPr>
            <xdr:cNvPr id="16386" name="CADRE_NEANT_T13_BOUTTON"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6387" name="GoToLast"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1</xdr:col>
      <xdr:colOff>350207</xdr:colOff>
      <xdr:row>5</xdr:row>
      <xdr:rowOff>63660</xdr:rowOff>
    </xdr:from>
    <xdr:to>
      <xdr:col>2</xdr:col>
      <xdr:colOff>987044</xdr:colOff>
      <xdr:row>8</xdr:row>
      <xdr:rowOff>67741</xdr:rowOff>
    </xdr:to>
    <xdr:sp macro="" textlink="">
      <xdr:nvSpPr>
        <xdr:cNvPr id="2" name="CADRE_NEANT_T14" hidden="1">
          <a:extLst>
            <a:ext uri="{FF2B5EF4-FFF2-40B4-BE49-F238E27FC236}">
              <a16:creationId xmlns:a16="http://schemas.microsoft.com/office/drawing/2014/main" id="{00000000-0008-0000-1200-000002000000}"/>
            </a:ext>
          </a:extLst>
        </xdr:cNvPr>
        <xdr:cNvSpPr txBox="1"/>
      </xdr:nvSpPr>
      <xdr:spPr>
        <a:xfrm rot="20002775">
          <a:off x="3064832" y="1016160"/>
          <a:ext cx="1751262" cy="6898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7409" name="GoToMain"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0</xdr:row>
          <xdr:rowOff>7620</xdr:rowOff>
        </xdr:from>
        <xdr:to>
          <xdr:col>3</xdr:col>
          <xdr:colOff>982980</xdr:colOff>
          <xdr:row>0</xdr:row>
          <xdr:rowOff>228600</xdr:rowOff>
        </xdr:to>
        <xdr:sp macro="" textlink="">
          <xdr:nvSpPr>
            <xdr:cNvPr id="17410" name="CADRE_NEANT_T14_BOUTTON"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7411" name="GoToLast"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absolute">
    <xdr:from>
      <xdr:col>1</xdr:col>
      <xdr:colOff>2924175</xdr:colOff>
      <xdr:row>9</xdr:row>
      <xdr:rowOff>152399</xdr:rowOff>
    </xdr:from>
    <xdr:to>
      <xdr:col>4</xdr:col>
      <xdr:colOff>689264</xdr:colOff>
      <xdr:row>18</xdr:row>
      <xdr:rowOff>39737</xdr:rowOff>
    </xdr:to>
    <xdr:sp macro="" textlink="">
      <xdr:nvSpPr>
        <xdr:cNvPr id="2" name="CADRE_NEANT_T15" hidden="1">
          <a:extLst>
            <a:ext uri="{FF2B5EF4-FFF2-40B4-BE49-F238E27FC236}">
              <a16:creationId xmlns:a16="http://schemas.microsoft.com/office/drawing/2014/main" id="{00000000-0008-0000-1300-000002000000}"/>
            </a:ext>
          </a:extLst>
        </xdr:cNvPr>
        <xdr:cNvSpPr txBox="1"/>
      </xdr:nvSpPr>
      <xdr:spPr>
        <a:xfrm rot="20002775">
          <a:off x="3236595" y="2537459"/>
          <a:ext cx="3571529" cy="146467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45720</xdr:colOff>
          <xdr:row>0</xdr:row>
          <xdr:rowOff>182880</xdr:rowOff>
        </xdr:to>
        <xdr:sp macro="" textlink="">
          <xdr:nvSpPr>
            <xdr:cNvPr id="147457" name="GoToMain" hidden="1">
              <a:extLst>
                <a:ext uri="{63B3BB69-23CF-44E3-9099-C40C66FF867C}">
                  <a14:compatExt spid="_x0000_s147457"/>
                </a:ext>
                <a:ext uri="{FF2B5EF4-FFF2-40B4-BE49-F238E27FC236}">
                  <a16:creationId xmlns:a16="http://schemas.microsoft.com/office/drawing/2014/main" id="{00000000-0008-0000-1500-0000014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0</xdr:row>
          <xdr:rowOff>7620</xdr:rowOff>
        </xdr:from>
        <xdr:to>
          <xdr:col>4</xdr:col>
          <xdr:colOff>807720</xdr:colOff>
          <xdr:row>0</xdr:row>
          <xdr:rowOff>182880</xdr:rowOff>
        </xdr:to>
        <xdr:sp macro="" textlink="">
          <xdr:nvSpPr>
            <xdr:cNvPr id="147458" name="CADRE_NEANT_T15_BOUTTON" hidden="1">
              <a:extLst>
                <a:ext uri="{63B3BB69-23CF-44E3-9099-C40C66FF867C}">
                  <a14:compatExt spid="_x0000_s147458"/>
                </a:ext>
                <a:ext uri="{FF2B5EF4-FFF2-40B4-BE49-F238E27FC236}">
                  <a16:creationId xmlns:a16="http://schemas.microsoft.com/office/drawing/2014/main" id="{00000000-0008-0000-1500-0000024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0</xdr:row>
          <xdr:rowOff>0</xdr:rowOff>
        </xdr:from>
        <xdr:to>
          <xdr:col>1</xdr:col>
          <xdr:colOff>342900</xdr:colOff>
          <xdr:row>0</xdr:row>
          <xdr:rowOff>182880</xdr:rowOff>
        </xdr:to>
        <xdr:sp macro="" textlink="">
          <xdr:nvSpPr>
            <xdr:cNvPr id="147459" name="GoToLast" hidden="1">
              <a:extLst>
                <a:ext uri="{63B3BB69-23CF-44E3-9099-C40C66FF867C}">
                  <a14:compatExt spid="_x0000_s147459"/>
                </a:ext>
                <a:ext uri="{FF2B5EF4-FFF2-40B4-BE49-F238E27FC236}">
                  <a16:creationId xmlns:a16="http://schemas.microsoft.com/office/drawing/2014/main" id="{00000000-0008-0000-1500-0000034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3</xdr:col>
      <xdr:colOff>250306</xdr:colOff>
      <xdr:row>13</xdr:row>
      <xdr:rowOff>60112</xdr:rowOff>
    </xdr:from>
    <xdr:to>
      <xdr:col>6</xdr:col>
      <xdr:colOff>266964</xdr:colOff>
      <xdr:row>20</xdr:row>
      <xdr:rowOff>2585</xdr:rowOff>
    </xdr:to>
    <xdr:sp macro="" textlink="">
      <xdr:nvSpPr>
        <xdr:cNvPr id="2" name="CADRE_NEANT_T16">
          <a:extLst>
            <a:ext uri="{FF2B5EF4-FFF2-40B4-BE49-F238E27FC236}">
              <a16:creationId xmlns:a16="http://schemas.microsoft.com/office/drawing/2014/main" id="{00000000-0008-0000-1400-000002000000}"/>
            </a:ext>
          </a:extLst>
        </xdr:cNvPr>
        <xdr:cNvSpPr txBox="1"/>
      </xdr:nvSpPr>
      <xdr:spPr>
        <a:xfrm rot="20002775">
          <a:off x="3907906" y="2241337"/>
          <a:ext cx="2731283" cy="10759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6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9458" name="GoToMain"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716280</xdr:colOff>
          <xdr:row>0</xdr:row>
          <xdr:rowOff>7620</xdr:rowOff>
        </xdr:from>
        <xdr:to>
          <xdr:col>9</xdr:col>
          <xdr:colOff>1295400</xdr:colOff>
          <xdr:row>0</xdr:row>
          <xdr:rowOff>228600</xdr:rowOff>
        </xdr:to>
        <xdr:sp macro="" textlink="">
          <xdr:nvSpPr>
            <xdr:cNvPr id="19459" name="CADRE_NEANT_T16_BOUTTON"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9460" name="GoToLast"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4</xdr:col>
      <xdr:colOff>59806</xdr:colOff>
      <xdr:row>13</xdr:row>
      <xdr:rowOff>60112</xdr:rowOff>
    </xdr:from>
    <xdr:to>
      <xdr:col>7</xdr:col>
      <xdr:colOff>264</xdr:colOff>
      <xdr:row>20</xdr:row>
      <xdr:rowOff>2585</xdr:rowOff>
    </xdr:to>
    <xdr:sp macro="" textlink="">
      <xdr:nvSpPr>
        <xdr:cNvPr id="2" name="CADRE_NEANT_T16" hidden="1">
          <a:extLst>
            <a:ext uri="{FF2B5EF4-FFF2-40B4-BE49-F238E27FC236}">
              <a16:creationId xmlns:a16="http://schemas.microsoft.com/office/drawing/2014/main" id="{00000000-0008-0000-1500-000002000000}"/>
            </a:ext>
          </a:extLst>
        </xdr:cNvPr>
        <xdr:cNvSpPr txBox="1"/>
      </xdr:nvSpPr>
      <xdr:spPr>
        <a:xfrm rot="20002775">
          <a:off x="3907906" y="2241337"/>
          <a:ext cx="2731283" cy="10759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600" i="0">
              <a:latin typeface="Arial" pitchFamily="34" charset="0"/>
              <a:cs typeface="Arial" pitchFamily="34" charset="0"/>
            </a:rPr>
            <a:t>Néant</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4</xdr:col>
      <xdr:colOff>232118</xdr:colOff>
      <xdr:row>5</xdr:row>
      <xdr:rowOff>104140</xdr:rowOff>
    </xdr:from>
    <xdr:to>
      <xdr:col>6</xdr:col>
      <xdr:colOff>353262</xdr:colOff>
      <xdr:row>10</xdr:row>
      <xdr:rowOff>62665</xdr:rowOff>
    </xdr:to>
    <xdr:sp macro="" textlink="">
      <xdr:nvSpPr>
        <xdr:cNvPr id="3" name="CADRE_NEANT_T17" hidden="1">
          <a:extLst>
            <a:ext uri="{FF2B5EF4-FFF2-40B4-BE49-F238E27FC236}">
              <a16:creationId xmlns:a16="http://schemas.microsoft.com/office/drawing/2014/main" id="{00000000-0008-0000-1600-000003000000}"/>
            </a:ext>
          </a:extLst>
        </xdr:cNvPr>
        <xdr:cNvSpPr txBox="1"/>
      </xdr:nvSpPr>
      <xdr:spPr>
        <a:xfrm rot="20002775">
          <a:off x="3946868" y="1799590"/>
          <a:ext cx="1949944" cy="768150"/>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160020</xdr:colOff>
          <xdr:row>0</xdr:row>
          <xdr:rowOff>228600</xdr:rowOff>
        </xdr:to>
        <xdr:sp macro="" textlink="">
          <xdr:nvSpPr>
            <xdr:cNvPr id="20481" name="GoToMain" hidden="1">
              <a:extLst>
                <a:ext uri="{63B3BB69-23CF-44E3-9099-C40C66FF867C}">
                  <a14:compatExt spid="_x0000_s20481"/>
                </a:ext>
                <a:ext uri="{FF2B5EF4-FFF2-40B4-BE49-F238E27FC236}">
                  <a16:creationId xmlns:a16="http://schemas.microsoft.com/office/drawing/2014/main" id="{00000000-0008-0000-18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289560</xdr:colOff>
          <xdr:row>0</xdr:row>
          <xdr:rowOff>7620</xdr:rowOff>
        </xdr:from>
        <xdr:to>
          <xdr:col>9</xdr:col>
          <xdr:colOff>868680</xdr:colOff>
          <xdr:row>0</xdr:row>
          <xdr:rowOff>228600</xdr:rowOff>
        </xdr:to>
        <xdr:sp macro="" textlink="">
          <xdr:nvSpPr>
            <xdr:cNvPr id="20482" name="CADRE_NEANT_T17_BOUTTON"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0</xdr:row>
          <xdr:rowOff>0</xdr:rowOff>
        </xdr:from>
        <xdr:to>
          <xdr:col>1</xdr:col>
          <xdr:colOff>533400</xdr:colOff>
          <xdr:row>0</xdr:row>
          <xdr:rowOff>228600</xdr:rowOff>
        </xdr:to>
        <xdr:sp macro="" textlink="">
          <xdr:nvSpPr>
            <xdr:cNvPr id="20483" name="GoToLast"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absolute">
    <xdr:from>
      <xdr:col>4</xdr:col>
      <xdr:colOff>148548</xdr:colOff>
      <xdr:row>6</xdr:row>
      <xdr:rowOff>103304</xdr:rowOff>
    </xdr:from>
    <xdr:to>
      <xdr:col>6</xdr:col>
      <xdr:colOff>418340</xdr:colOff>
      <xdr:row>8</xdr:row>
      <xdr:rowOff>150985</xdr:rowOff>
    </xdr:to>
    <xdr:sp macro="" textlink="">
      <xdr:nvSpPr>
        <xdr:cNvPr id="2" name="CADRE_NEANT_T18_1" hidden="1">
          <a:extLst>
            <a:ext uri="{FF2B5EF4-FFF2-40B4-BE49-F238E27FC236}">
              <a16:creationId xmlns:a16="http://schemas.microsoft.com/office/drawing/2014/main" id="{00000000-0008-0000-1700-000002000000}"/>
            </a:ext>
          </a:extLst>
        </xdr:cNvPr>
        <xdr:cNvSpPr txBox="1"/>
      </xdr:nvSpPr>
      <xdr:spPr>
        <a:xfrm rot="20002775">
          <a:off x="4977723" y="1855904"/>
          <a:ext cx="1765217" cy="6953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3600" i="0">
              <a:latin typeface="Arial" pitchFamily="34" charset="0"/>
              <a:cs typeface="Arial" pitchFamily="34" charset="0"/>
            </a:rPr>
            <a:t>Néant</a:t>
          </a:r>
        </a:p>
      </xdr:txBody>
    </xdr:sp>
    <xdr:clientData/>
  </xdr:twoCellAnchor>
  <xdr:twoCellAnchor editAs="absolute">
    <xdr:from>
      <xdr:col>4</xdr:col>
      <xdr:colOff>148548</xdr:colOff>
      <xdr:row>12</xdr:row>
      <xdr:rowOff>112829</xdr:rowOff>
    </xdr:from>
    <xdr:to>
      <xdr:col>6</xdr:col>
      <xdr:colOff>418340</xdr:colOff>
      <xdr:row>14</xdr:row>
      <xdr:rowOff>160510</xdr:rowOff>
    </xdr:to>
    <xdr:sp macro="" textlink="">
      <xdr:nvSpPr>
        <xdr:cNvPr id="3" name="CADRE_NEANT_T18_2" hidden="1">
          <a:extLst>
            <a:ext uri="{FF2B5EF4-FFF2-40B4-BE49-F238E27FC236}">
              <a16:creationId xmlns:a16="http://schemas.microsoft.com/office/drawing/2014/main" id="{00000000-0008-0000-1700-000003000000}"/>
            </a:ext>
          </a:extLst>
        </xdr:cNvPr>
        <xdr:cNvSpPr txBox="1"/>
      </xdr:nvSpPr>
      <xdr:spPr>
        <a:xfrm rot="20002775">
          <a:off x="4977723" y="3646604"/>
          <a:ext cx="1765217" cy="695381"/>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36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21505" name="GoToMain" hidden="1">
              <a:extLst>
                <a:ext uri="{63B3BB69-23CF-44E3-9099-C40C66FF867C}">
                  <a14:compatExt spid="_x0000_s21505"/>
                </a:ext>
                <a:ext uri="{FF2B5EF4-FFF2-40B4-BE49-F238E27FC236}">
                  <a16:creationId xmlns:a16="http://schemas.microsoft.com/office/drawing/2014/main" id="{00000000-0008-0000-19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0</xdr:row>
          <xdr:rowOff>7620</xdr:rowOff>
        </xdr:from>
        <xdr:to>
          <xdr:col>14</xdr:col>
          <xdr:colOff>655320</xdr:colOff>
          <xdr:row>0</xdr:row>
          <xdr:rowOff>228600</xdr:rowOff>
        </xdr:to>
        <xdr:sp macro="" textlink="">
          <xdr:nvSpPr>
            <xdr:cNvPr id="21506" name="CADRE_NEANT_T18_1_BOUTTON"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0</xdr:row>
          <xdr:rowOff>182880</xdr:rowOff>
        </xdr:from>
        <xdr:to>
          <xdr:col>14</xdr:col>
          <xdr:colOff>655320</xdr:colOff>
          <xdr:row>0</xdr:row>
          <xdr:rowOff>403860</xdr:rowOff>
        </xdr:to>
        <xdr:sp macro="" textlink="">
          <xdr:nvSpPr>
            <xdr:cNvPr id="21507" name="CADRE_NEANT_T18_2_BOUTTON"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21508" name="GoToLast" hidden="1">
              <a:extLst>
                <a:ext uri="{63B3BB69-23CF-44E3-9099-C40C66FF867C}">
                  <a14:compatExt spid="_x0000_s21508"/>
                </a:ext>
                <a:ext uri="{FF2B5EF4-FFF2-40B4-BE49-F238E27FC236}">
                  <a16:creationId xmlns:a16="http://schemas.microsoft.com/office/drawing/2014/main" id="{00000000-0008-0000-1900-000004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absolute">
    <xdr:from>
      <xdr:col>2</xdr:col>
      <xdr:colOff>354651</xdr:colOff>
      <xdr:row>9</xdr:row>
      <xdr:rowOff>32442</xdr:rowOff>
    </xdr:from>
    <xdr:to>
      <xdr:col>4</xdr:col>
      <xdr:colOff>499360</xdr:colOff>
      <xdr:row>16</xdr:row>
      <xdr:rowOff>104156</xdr:rowOff>
    </xdr:to>
    <xdr:sp macro="" textlink="">
      <xdr:nvSpPr>
        <xdr:cNvPr id="2" name="CADRE_NEANT_T19" hidden="1">
          <a:extLst>
            <a:ext uri="{FF2B5EF4-FFF2-40B4-BE49-F238E27FC236}">
              <a16:creationId xmlns:a16="http://schemas.microsoft.com/office/drawing/2014/main" id="{00000000-0008-0000-1800-000002000000}"/>
            </a:ext>
          </a:extLst>
        </xdr:cNvPr>
        <xdr:cNvSpPr txBox="1"/>
      </xdr:nvSpPr>
      <xdr:spPr>
        <a:xfrm rot="20002775">
          <a:off x="3107376" y="2051742"/>
          <a:ext cx="3059359" cy="1205189"/>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22529" name="GoToMain" hidden="1">
              <a:extLst>
                <a:ext uri="{63B3BB69-23CF-44E3-9099-C40C66FF867C}">
                  <a14:compatExt spid="_x0000_s22529"/>
                </a:ext>
                <a:ext uri="{FF2B5EF4-FFF2-40B4-BE49-F238E27FC236}">
                  <a16:creationId xmlns:a16="http://schemas.microsoft.com/office/drawing/2014/main" id="{00000000-0008-0000-1A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403860</xdr:colOff>
          <xdr:row>0</xdr:row>
          <xdr:rowOff>7620</xdr:rowOff>
        </xdr:from>
        <xdr:to>
          <xdr:col>12</xdr:col>
          <xdr:colOff>464820</xdr:colOff>
          <xdr:row>0</xdr:row>
          <xdr:rowOff>228600</xdr:rowOff>
        </xdr:to>
        <xdr:sp macro="" textlink="">
          <xdr:nvSpPr>
            <xdr:cNvPr id="22530" name="CADRE_NEANT_T19_BOUTTON" hidden="1">
              <a:extLst>
                <a:ext uri="{63B3BB69-23CF-44E3-9099-C40C66FF867C}">
                  <a14:compatExt spid="_x0000_s22530"/>
                </a:ext>
                <a:ext uri="{FF2B5EF4-FFF2-40B4-BE49-F238E27FC236}">
                  <a16:creationId xmlns:a16="http://schemas.microsoft.com/office/drawing/2014/main" id="{00000000-0008-0000-1A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22531" name="GoToLast" hidden="1">
              <a:extLst>
                <a:ext uri="{63B3BB69-23CF-44E3-9099-C40C66FF867C}">
                  <a14:compatExt spid="_x0000_s22531"/>
                </a:ext>
                <a:ext uri="{FF2B5EF4-FFF2-40B4-BE49-F238E27FC236}">
                  <a16:creationId xmlns:a16="http://schemas.microsoft.com/office/drawing/2014/main" id="{00000000-0008-0000-1A00-000003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absolute">
    <xdr:from>
      <xdr:col>2</xdr:col>
      <xdr:colOff>371475</xdr:colOff>
      <xdr:row>14</xdr:row>
      <xdr:rowOff>0</xdr:rowOff>
    </xdr:from>
    <xdr:to>
      <xdr:col>6</xdr:col>
      <xdr:colOff>127289</xdr:colOff>
      <xdr:row>22</xdr:row>
      <xdr:rowOff>49263</xdr:rowOff>
    </xdr:to>
    <xdr:sp macro="" textlink="">
      <xdr:nvSpPr>
        <xdr:cNvPr id="2" name="CADRE_NEANT_T20" hidden="1">
          <a:extLst>
            <a:ext uri="{FF2B5EF4-FFF2-40B4-BE49-F238E27FC236}">
              <a16:creationId xmlns:a16="http://schemas.microsoft.com/office/drawing/2014/main" id="{00000000-0008-0000-1900-000002000000}"/>
            </a:ext>
          </a:extLst>
        </xdr:cNvPr>
        <xdr:cNvSpPr txBox="1"/>
      </xdr:nvSpPr>
      <xdr:spPr>
        <a:xfrm rot="20002775">
          <a:off x="4429125" y="2533650"/>
          <a:ext cx="3413414" cy="134466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72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23553" name="GoToMain" hidden="1">
              <a:extLst>
                <a:ext uri="{63B3BB69-23CF-44E3-9099-C40C66FF867C}">
                  <a14:compatExt spid="_x0000_s23553"/>
                </a:ext>
                <a:ext uri="{FF2B5EF4-FFF2-40B4-BE49-F238E27FC236}">
                  <a16:creationId xmlns:a16="http://schemas.microsoft.com/office/drawing/2014/main" id="{00000000-0008-0000-1B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xdr:rowOff>
        </xdr:from>
        <xdr:to>
          <xdr:col>8</xdr:col>
          <xdr:colOff>160020</xdr:colOff>
          <xdr:row>0</xdr:row>
          <xdr:rowOff>228600</xdr:rowOff>
        </xdr:to>
        <xdr:sp macro="" textlink="">
          <xdr:nvSpPr>
            <xdr:cNvPr id="23554" name="CADRE_NEANT_T20_BOUTTON" hidden="1">
              <a:extLst>
                <a:ext uri="{63B3BB69-23CF-44E3-9099-C40C66FF867C}">
                  <a14:compatExt spid="_x0000_s23554"/>
                </a:ext>
                <a:ext uri="{FF2B5EF4-FFF2-40B4-BE49-F238E27FC236}">
                  <a16:creationId xmlns:a16="http://schemas.microsoft.com/office/drawing/2014/main" id="{00000000-0008-0000-1B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23555" name="GoToLast" hidden="1">
              <a:extLst>
                <a:ext uri="{63B3BB69-23CF-44E3-9099-C40C66FF867C}">
                  <a14:compatExt spid="_x0000_s23555"/>
                </a:ext>
                <a:ext uri="{FF2B5EF4-FFF2-40B4-BE49-F238E27FC236}">
                  <a16:creationId xmlns:a16="http://schemas.microsoft.com/office/drawing/2014/main" id="{00000000-0008-0000-1B00-00000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absolute">
    <xdr:from>
      <xdr:col>0</xdr:col>
      <xdr:colOff>1732285</xdr:colOff>
      <xdr:row>5</xdr:row>
      <xdr:rowOff>114950</xdr:rowOff>
    </xdr:from>
    <xdr:to>
      <xdr:col>1</xdr:col>
      <xdr:colOff>570182</xdr:colOff>
      <xdr:row>10</xdr:row>
      <xdr:rowOff>51998</xdr:rowOff>
    </xdr:to>
    <xdr:sp macro="" textlink="">
      <xdr:nvSpPr>
        <xdr:cNvPr id="2" name="CADRE_NEANT_T21" hidden="1">
          <a:extLst>
            <a:ext uri="{FF2B5EF4-FFF2-40B4-BE49-F238E27FC236}">
              <a16:creationId xmlns:a16="http://schemas.microsoft.com/office/drawing/2014/main" id="{00000000-0008-0000-1A00-000002000000}"/>
            </a:ext>
          </a:extLst>
        </xdr:cNvPr>
        <xdr:cNvSpPr txBox="1"/>
      </xdr:nvSpPr>
      <xdr:spPr>
        <a:xfrm rot="20002775">
          <a:off x="1732285" y="1553225"/>
          <a:ext cx="1895422" cy="746673"/>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4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487680</xdr:colOff>
          <xdr:row>0</xdr:row>
          <xdr:rowOff>7620</xdr:rowOff>
        </xdr:from>
        <xdr:to>
          <xdr:col>2</xdr:col>
          <xdr:colOff>1066800</xdr:colOff>
          <xdr:row>0</xdr:row>
          <xdr:rowOff>228600</xdr:rowOff>
        </xdr:to>
        <xdr:sp macro="" textlink="">
          <xdr:nvSpPr>
            <xdr:cNvPr id="125953" name="CADRE_NEANT_T21_BOUTTON"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25954" name="GoToMain" hidden="1">
              <a:extLst>
                <a:ext uri="{63B3BB69-23CF-44E3-9099-C40C66FF867C}">
                  <a14:compatExt spid="_x0000_s125954"/>
                </a:ext>
                <a:ext uri="{FF2B5EF4-FFF2-40B4-BE49-F238E27FC236}">
                  <a16:creationId xmlns:a16="http://schemas.microsoft.com/office/drawing/2014/main" id="{00000000-0008-0000-1C00-000002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25955" name="GoToLast" hidden="1">
              <a:extLst>
                <a:ext uri="{63B3BB69-23CF-44E3-9099-C40C66FF867C}">
                  <a14:compatExt spid="_x0000_s125955"/>
                </a:ext>
                <a:ext uri="{FF2B5EF4-FFF2-40B4-BE49-F238E27FC236}">
                  <a16:creationId xmlns:a16="http://schemas.microsoft.com/office/drawing/2014/main" id="{00000000-0008-0000-1C00-000003E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absolute">
    <xdr:from>
      <xdr:col>1</xdr:col>
      <xdr:colOff>2110940</xdr:colOff>
      <xdr:row>16</xdr:row>
      <xdr:rowOff>156598</xdr:rowOff>
    </xdr:from>
    <xdr:to>
      <xdr:col>5</xdr:col>
      <xdr:colOff>228230</xdr:colOff>
      <xdr:row>27</xdr:row>
      <xdr:rowOff>88871</xdr:rowOff>
    </xdr:to>
    <xdr:sp macro="" textlink="">
      <xdr:nvSpPr>
        <xdr:cNvPr id="2" name="CADRE_NEANT_T22" hidden="1">
          <a:extLst>
            <a:ext uri="{FF2B5EF4-FFF2-40B4-BE49-F238E27FC236}">
              <a16:creationId xmlns:a16="http://schemas.microsoft.com/office/drawing/2014/main" id="{00000000-0008-0000-1B00-000002000000}"/>
            </a:ext>
          </a:extLst>
        </xdr:cNvPr>
        <xdr:cNvSpPr txBox="1"/>
      </xdr:nvSpPr>
      <xdr:spPr>
        <a:xfrm rot="20002775">
          <a:off x="2291915" y="2823598"/>
          <a:ext cx="4156140" cy="1637248"/>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8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5</xdr:col>
          <xdr:colOff>274320</xdr:colOff>
          <xdr:row>0</xdr:row>
          <xdr:rowOff>0</xdr:rowOff>
        </xdr:from>
        <xdr:to>
          <xdr:col>5</xdr:col>
          <xdr:colOff>861060</xdr:colOff>
          <xdr:row>0</xdr:row>
          <xdr:rowOff>220980</xdr:rowOff>
        </xdr:to>
        <xdr:sp macro="" textlink="">
          <xdr:nvSpPr>
            <xdr:cNvPr id="138241" name="CADRE_NEANT_T22_BOUTTON" hidden="1">
              <a:extLst>
                <a:ext uri="{63B3BB69-23CF-44E3-9099-C40C66FF867C}">
                  <a14:compatExt spid="_x0000_s138241"/>
                </a:ext>
                <a:ext uri="{FF2B5EF4-FFF2-40B4-BE49-F238E27FC236}">
                  <a16:creationId xmlns:a16="http://schemas.microsoft.com/office/drawing/2014/main" id="{00000000-0008-0000-1D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182880</xdr:colOff>
          <xdr:row>0</xdr:row>
          <xdr:rowOff>228600</xdr:rowOff>
        </xdr:to>
        <xdr:sp macro="" textlink="">
          <xdr:nvSpPr>
            <xdr:cNvPr id="138242" name="GoToMain" hidden="1">
              <a:extLst>
                <a:ext uri="{63B3BB69-23CF-44E3-9099-C40C66FF867C}">
                  <a14:compatExt spid="_x0000_s138242"/>
                </a:ext>
                <a:ext uri="{FF2B5EF4-FFF2-40B4-BE49-F238E27FC236}">
                  <a16:creationId xmlns:a16="http://schemas.microsoft.com/office/drawing/2014/main" id="{00000000-0008-0000-1D00-0000021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0</xdr:row>
          <xdr:rowOff>0</xdr:rowOff>
        </xdr:from>
        <xdr:to>
          <xdr:col>1</xdr:col>
          <xdr:colOff>556260</xdr:colOff>
          <xdr:row>0</xdr:row>
          <xdr:rowOff>228600</xdr:rowOff>
        </xdr:to>
        <xdr:sp macro="" textlink="">
          <xdr:nvSpPr>
            <xdr:cNvPr id="138243" name="GoToLast" hidden="1">
              <a:extLst>
                <a:ext uri="{63B3BB69-23CF-44E3-9099-C40C66FF867C}">
                  <a14:compatExt spid="_x0000_s138243"/>
                </a:ext>
                <a:ext uri="{FF2B5EF4-FFF2-40B4-BE49-F238E27FC236}">
                  <a16:creationId xmlns:a16="http://schemas.microsoft.com/office/drawing/2014/main" id="{00000000-0008-0000-1D00-0000031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absolute">
    <xdr:from>
      <xdr:col>0</xdr:col>
      <xdr:colOff>1524227</xdr:colOff>
      <xdr:row>11</xdr:row>
      <xdr:rowOff>62239</xdr:rowOff>
    </xdr:from>
    <xdr:to>
      <xdr:col>1</xdr:col>
      <xdr:colOff>1218441</xdr:colOff>
      <xdr:row>19</xdr:row>
      <xdr:rowOff>80018</xdr:rowOff>
    </xdr:to>
    <xdr:sp macro="" textlink="">
      <xdr:nvSpPr>
        <xdr:cNvPr id="2" name="CADRE_NEANT_T23" hidden="1">
          <a:extLst>
            <a:ext uri="{FF2B5EF4-FFF2-40B4-BE49-F238E27FC236}">
              <a16:creationId xmlns:a16="http://schemas.microsoft.com/office/drawing/2014/main" id="{00000000-0008-0000-1C00-000002000000}"/>
            </a:ext>
          </a:extLst>
        </xdr:cNvPr>
        <xdr:cNvSpPr txBox="1"/>
      </xdr:nvSpPr>
      <xdr:spPr>
        <a:xfrm rot="20002775">
          <a:off x="1524227" y="2033914"/>
          <a:ext cx="3599464" cy="141795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78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1</xdr:col>
          <xdr:colOff>2095500</xdr:colOff>
          <xdr:row>0</xdr:row>
          <xdr:rowOff>0</xdr:rowOff>
        </xdr:from>
        <xdr:to>
          <xdr:col>1</xdr:col>
          <xdr:colOff>2674620</xdr:colOff>
          <xdr:row>0</xdr:row>
          <xdr:rowOff>220980</xdr:rowOff>
        </xdr:to>
        <xdr:sp macro="" textlink="">
          <xdr:nvSpPr>
            <xdr:cNvPr id="139265" name="CADRE_NEANT_T23_BOUTTON" hidden="1">
              <a:extLst>
                <a:ext uri="{63B3BB69-23CF-44E3-9099-C40C66FF867C}">
                  <a14:compatExt spid="_x0000_s139265"/>
                </a:ext>
                <a:ext uri="{FF2B5EF4-FFF2-40B4-BE49-F238E27FC236}">
                  <a16:creationId xmlns:a16="http://schemas.microsoft.com/office/drawing/2014/main" id="{00000000-0008-0000-1E00-000001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39266" name="GoToMain" hidden="1">
              <a:extLst>
                <a:ext uri="{63B3BB69-23CF-44E3-9099-C40C66FF867C}">
                  <a14:compatExt spid="_x0000_s139266"/>
                </a:ext>
                <a:ext uri="{FF2B5EF4-FFF2-40B4-BE49-F238E27FC236}">
                  <a16:creationId xmlns:a16="http://schemas.microsoft.com/office/drawing/2014/main" id="{00000000-0008-0000-1E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39267" name="GoToLast" hidden="1">
              <a:extLst>
                <a:ext uri="{63B3BB69-23CF-44E3-9099-C40C66FF867C}">
                  <a14:compatExt spid="_x0000_s139267"/>
                </a:ext>
                <a:ext uri="{FF2B5EF4-FFF2-40B4-BE49-F238E27FC236}">
                  <a16:creationId xmlns:a16="http://schemas.microsoft.com/office/drawing/2014/main" id="{00000000-0008-0000-1E00-000003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absolute">
    <xdr:from>
      <xdr:col>1</xdr:col>
      <xdr:colOff>721715</xdr:colOff>
      <xdr:row>3</xdr:row>
      <xdr:rowOff>585274</xdr:rowOff>
    </xdr:from>
    <xdr:to>
      <xdr:col>2</xdr:col>
      <xdr:colOff>1065463</xdr:colOff>
      <xdr:row>5</xdr:row>
      <xdr:rowOff>111368</xdr:rowOff>
    </xdr:to>
    <xdr:sp macro="" textlink="">
      <xdr:nvSpPr>
        <xdr:cNvPr id="2" name="CADRE_NEANT_T24" hidden="1">
          <a:extLst>
            <a:ext uri="{FF2B5EF4-FFF2-40B4-BE49-F238E27FC236}">
              <a16:creationId xmlns:a16="http://schemas.microsoft.com/office/drawing/2014/main" id="{00000000-0008-0000-1D00-000002000000}"/>
            </a:ext>
          </a:extLst>
        </xdr:cNvPr>
        <xdr:cNvSpPr txBox="1"/>
      </xdr:nvSpPr>
      <xdr:spPr>
        <a:xfrm rot="20002775">
          <a:off x="3283940" y="1499674"/>
          <a:ext cx="2182073" cy="859594"/>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5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1264920</xdr:colOff>
          <xdr:row>0</xdr:row>
          <xdr:rowOff>0</xdr:rowOff>
        </xdr:from>
        <xdr:to>
          <xdr:col>2</xdr:col>
          <xdr:colOff>1851660</xdr:colOff>
          <xdr:row>0</xdr:row>
          <xdr:rowOff>220980</xdr:rowOff>
        </xdr:to>
        <xdr:sp macro="" textlink="">
          <xdr:nvSpPr>
            <xdr:cNvPr id="132097" name="CADRE_NEANT_T24_BOUTTON" hidden="1">
              <a:extLst>
                <a:ext uri="{63B3BB69-23CF-44E3-9099-C40C66FF867C}">
                  <a14:compatExt spid="_x0000_s132097"/>
                </a:ext>
                <a:ext uri="{FF2B5EF4-FFF2-40B4-BE49-F238E27FC236}">
                  <a16:creationId xmlns:a16="http://schemas.microsoft.com/office/drawing/2014/main" id="{00000000-0008-0000-1F00-0000010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32098" name="GoToMain" hidden="1">
              <a:extLst>
                <a:ext uri="{63B3BB69-23CF-44E3-9099-C40C66FF867C}">
                  <a14:compatExt spid="_x0000_s132098"/>
                </a:ext>
                <a:ext uri="{FF2B5EF4-FFF2-40B4-BE49-F238E27FC236}">
                  <a16:creationId xmlns:a16="http://schemas.microsoft.com/office/drawing/2014/main" id="{00000000-0008-0000-1F00-0000020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32099" name="GoToLast" hidden="1">
              <a:extLst>
                <a:ext uri="{63B3BB69-23CF-44E3-9099-C40C66FF867C}">
                  <a14:compatExt spid="_x0000_s132099"/>
                </a:ext>
                <a:ext uri="{FF2B5EF4-FFF2-40B4-BE49-F238E27FC236}">
                  <a16:creationId xmlns:a16="http://schemas.microsoft.com/office/drawing/2014/main" id="{00000000-0008-0000-1F00-0000030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3</xdr:col>
      <xdr:colOff>0</xdr:colOff>
      <xdr:row>1</xdr:row>
      <xdr:rowOff>0</xdr:rowOff>
    </xdr:from>
    <xdr:to>
      <xdr:col>3</xdr:col>
      <xdr:colOff>0</xdr:colOff>
      <xdr:row>2</xdr:row>
      <xdr:rowOff>9525</xdr:rowOff>
    </xdr:to>
    <xdr:sp macro="" textlink="">
      <xdr:nvSpPr>
        <xdr:cNvPr id="3" name="Text Box 2">
          <a:extLst>
            <a:ext uri="{FF2B5EF4-FFF2-40B4-BE49-F238E27FC236}">
              <a16:creationId xmlns:a16="http://schemas.microsoft.com/office/drawing/2014/main" id="{00000000-0008-0000-1E00-000003000000}"/>
            </a:ext>
          </a:extLst>
        </xdr:cNvPr>
        <xdr:cNvSpPr txBox="1">
          <a:spLocks noChangeArrowheads="1"/>
        </xdr:cNvSpPr>
      </xdr:nvSpPr>
      <xdr:spPr bwMode="auto">
        <a:xfrm>
          <a:off x="6162675" y="400050"/>
          <a:ext cx="0" cy="17145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1" i="0" u="none" strike="noStrike" baseline="0">
              <a:solidFill>
                <a:srgbClr val="000000"/>
              </a:solidFill>
              <a:latin typeface="Arial"/>
              <a:cs typeface="Arial"/>
            </a:rPr>
            <a:t>Au</a:t>
          </a:r>
        </a:p>
      </xdr:txBody>
    </xdr:sp>
    <xdr:clientData/>
  </xdr:twoCellAnchor>
  <xdr:twoCellAnchor editAs="absolute">
    <xdr:from>
      <xdr:col>0</xdr:col>
      <xdr:colOff>3019425</xdr:colOff>
      <xdr:row>8</xdr:row>
      <xdr:rowOff>90384</xdr:rowOff>
    </xdr:from>
    <xdr:to>
      <xdr:col>2</xdr:col>
      <xdr:colOff>835884</xdr:colOff>
      <xdr:row>13</xdr:row>
      <xdr:rowOff>270435</xdr:rowOff>
    </xdr:to>
    <xdr:sp macro="" textlink="">
      <xdr:nvSpPr>
        <xdr:cNvPr id="6" name="CADRE_NEANT_T25" hidden="1">
          <a:extLst>
            <a:ext uri="{FF2B5EF4-FFF2-40B4-BE49-F238E27FC236}">
              <a16:creationId xmlns:a16="http://schemas.microsoft.com/office/drawing/2014/main" id="{00000000-0008-0000-1E00-000006000000}"/>
            </a:ext>
          </a:extLst>
        </xdr:cNvPr>
        <xdr:cNvSpPr txBox="1"/>
      </xdr:nvSpPr>
      <xdr:spPr>
        <a:xfrm rot="20002775">
          <a:off x="3019425" y="1985859"/>
          <a:ext cx="2512284" cy="98967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oneCell">
        <xdr:from>
          <xdr:col>2</xdr:col>
          <xdr:colOff>990600</xdr:colOff>
          <xdr:row>0</xdr:row>
          <xdr:rowOff>0</xdr:rowOff>
        </xdr:from>
        <xdr:to>
          <xdr:col>2</xdr:col>
          <xdr:colOff>1569720</xdr:colOff>
          <xdr:row>0</xdr:row>
          <xdr:rowOff>220980</xdr:rowOff>
        </xdr:to>
        <xdr:sp macro="" textlink="">
          <xdr:nvSpPr>
            <xdr:cNvPr id="123905" name="CADRE_NEANT_T25_BOUTTON" hidden="1">
              <a:extLst>
                <a:ext uri="{63B3BB69-23CF-44E3-9099-C40C66FF867C}">
                  <a14:compatExt spid="_x0000_s123905"/>
                </a:ext>
                <a:ext uri="{FF2B5EF4-FFF2-40B4-BE49-F238E27FC236}">
                  <a16:creationId xmlns:a16="http://schemas.microsoft.com/office/drawing/2014/main" id="{00000000-0008-0000-20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123906" name="GoToMain" hidden="1">
              <a:extLst>
                <a:ext uri="{63B3BB69-23CF-44E3-9099-C40C66FF867C}">
                  <a14:compatExt spid="_x0000_s123906"/>
                </a:ext>
                <a:ext uri="{FF2B5EF4-FFF2-40B4-BE49-F238E27FC236}">
                  <a16:creationId xmlns:a16="http://schemas.microsoft.com/office/drawing/2014/main" id="{00000000-0008-0000-2000-000002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123907" name="GoToLast" hidden="1">
              <a:extLst>
                <a:ext uri="{63B3BB69-23CF-44E3-9099-C40C66FF867C}">
                  <a14:compatExt spid="_x0000_s123907"/>
                </a:ext>
                <a:ext uri="{FF2B5EF4-FFF2-40B4-BE49-F238E27FC236}">
                  <a16:creationId xmlns:a16="http://schemas.microsoft.com/office/drawing/2014/main" id="{00000000-0008-0000-2000-000003E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absolute">
    <xdr:from>
      <xdr:col>1</xdr:col>
      <xdr:colOff>2051343</xdr:colOff>
      <xdr:row>7</xdr:row>
      <xdr:rowOff>61809</xdr:rowOff>
    </xdr:from>
    <xdr:to>
      <xdr:col>2</xdr:col>
      <xdr:colOff>477402</xdr:colOff>
      <xdr:row>13</xdr:row>
      <xdr:rowOff>79935</xdr:rowOff>
    </xdr:to>
    <xdr:sp macro="" textlink="">
      <xdr:nvSpPr>
        <xdr:cNvPr id="2" name="CADRE_NEANT_T26" hidden="1">
          <a:extLst>
            <a:ext uri="{FF2B5EF4-FFF2-40B4-BE49-F238E27FC236}">
              <a16:creationId xmlns:a16="http://schemas.microsoft.com/office/drawing/2014/main" id="{00000000-0008-0000-1F00-000002000000}"/>
            </a:ext>
          </a:extLst>
        </xdr:cNvPr>
        <xdr:cNvSpPr txBox="1"/>
      </xdr:nvSpPr>
      <xdr:spPr>
        <a:xfrm rot="20002775">
          <a:off x="2356143" y="1490559"/>
          <a:ext cx="2512284" cy="989676"/>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6000" i="0">
              <a:latin typeface="Arial" pitchFamily="34" charset="0"/>
              <a:cs typeface="Arial" pitchFamily="34" charset="0"/>
            </a:rPr>
            <a:t>Néant</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38100</xdr:colOff>
          <xdr:row>0</xdr:row>
          <xdr:rowOff>220980</xdr:rowOff>
        </xdr:to>
        <xdr:sp macro="" textlink="">
          <xdr:nvSpPr>
            <xdr:cNvPr id="18433" name="GoToMain" hidden="1">
              <a:extLst>
                <a:ext uri="{63B3BB69-23CF-44E3-9099-C40C66FF867C}">
                  <a14:compatExt spid="_x0000_s18433"/>
                </a:ext>
                <a:ext uri="{FF2B5EF4-FFF2-40B4-BE49-F238E27FC236}">
                  <a16:creationId xmlns:a16="http://schemas.microsoft.com/office/drawing/2014/main" id="{00000000-0008-0000-21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160020</xdr:colOff>
          <xdr:row>0</xdr:row>
          <xdr:rowOff>7620</xdr:rowOff>
        </xdr:from>
        <xdr:to>
          <xdr:col>3</xdr:col>
          <xdr:colOff>716280</xdr:colOff>
          <xdr:row>0</xdr:row>
          <xdr:rowOff>220980</xdr:rowOff>
        </xdr:to>
        <xdr:sp macro="" textlink="">
          <xdr:nvSpPr>
            <xdr:cNvPr id="18434" name="CADRE_NEANT_T26_BOUTTON" hidden="1">
              <a:extLst>
                <a:ext uri="{63B3BB69-23CF-44E3-9099-C40C66FF867C}">
                  <a14:compatExt spid="_x0000_s18434"/>
                </a:ext>
                <a:ext uri="{FF2B5EF4-FFF2-40B4-BE49-F238E27FC236}">
                  <a16:creationId xmlns:a16="http://schemas.microsoft.com/office/drawing/2014/main" id="{00000000-0008-0000-21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Tahoma"/>
                  <a:ea typeface="Tahoma"/>
                  <a:cs typeface="Tahoma"/>
                </a:rPr>
                <a:t> Néant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0</xdr:row>
          <xdr:rowOff>0</xdr:rowOff>
        </xdr:from>
        <xdr:to>
          <xdr:col>1</xdr:col>
          <xdr:colOff>388620</xdr:colOff>
          <xdr:row>0</xdr:row>
          <xdr:rowOff>220980</xdr:rowOff>
        </xdr:to>
        <xdr:sp macro="" textlink="">
          <xdr:nvSpPr>
            <xdr:cNvPr id="18435" name="GoToLast" hidden="1">
              <a:extLst>
                <a:ext uri="{63B3BB69-23CF-44E3-9099-C40C66FF867C}">
                  <a14:compatExt spid="_x0000_s18435"/>
                </a:ext>
                <a:ext uri="{FF2B5EF4-FFF2-40B4-BE49-F238E27FC236}">
                  <a16:creationId xmlns:a16="http://schemas.microsoft.com/office/drawing/2014/main" id="{00000000-0008-0000-21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53249" name="GoToMain" hidden="1">
              <a:extLst>
                <a:ext uri="{63B3BB69-23CF-44E3-9099-C40C66FF867C}">
                  <a14:compatExt spid="_x0000_s53249"/>
                </a:ext>
                <a:ext uri="{FF2B5EF4-FFF2-40B4-BE49-F238E27FC236}">
                  <a16:creationId xmlns:a16="http://schemas.microsoft.com/office/drawing/2014/main" id="{00000000-0008-0000-22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53250" name="GoToLast" hidden="1">
              <a:extLst>
                <a:ext uri="{63B3BB69-23CF-44E3-9099-C40C66FF867C}">
                  <a14:compatExt spid="_x0000_s53250"/>
                </a:ext>
                <a:ext uri="{FF2B5EF4-FFF2-40B4-BE49-F238E27FC236}">
                  <a16:creationId xmlns:a16="http://schemas.microsoft.com/office/drawing/2014/main" id="{00000000-0008-0000-22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9</xdr:row>
          <xdr:rowOff>0</xdr:rowOff>
        </xdr:from>
        <xdr:to>
          <xdr:col>5</xdr:col>
          <xdr:colOff>518160</xdr:colOff>
          <xdr:row>9</xdr:row>
          <xdr:rowOff>0</xdr:rowOff>
        </xdr:to>
        <xdr:sp macro="" textlink="">
          <xdr:nvSpPr>
            <xdr:cNvPr id="53251" name="Bouton_Corriger_NbreLignes_N_1" hidden="1">
              <a:extLst>
                <a:ext uri="{63B3BB69-23CF-44E3-9099-C40C66FF867C}">
                  <a14:compatExt spid="_x0000_s53251"/>
                </a:ext>
                <a:ext uri="{FF2B5EF4-FFF2-40B4-BE49-F238E27FC236}">
                  <a16:creationId xmlns:a16="http://schemas.microsoft.com/office/drawing/2014/main" id="{00000000-0008-0000-2200-000003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Tahoma"/>
                  <a:ea typeface="Tahoma"/>
                  <a:cs typeface="Tahoma"/>
                </a:rPr>
                <a:t>Corriger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9</xdr:row>
          <xdr:rowOff>0</xdr:rowOff>
        </xdr:from>
        <xdr:to>
          <xdr:col>3</xdr:col>
          <xdr:colOff>518160</xdr:colOff>
          <xdr:row>9</xdr:row>
          <xdr:rowOff>0</xdr:rowOff>
        </xdr:to>
        <xdr:sp macro="" textlink="">
          <xdr:nvSpPr>
            <xdr:cNvPr id="53252" name="Bouton_Corriger_NbreLignes_N" hidden="1">
              <a:extLst>
                <a:ext uri="{63B3BB69-23CF-44E3-9099-C40C66FF867C}">
                  <a14:compatExt spid="_x0000_s53252"/>
                </a:ext>
                <a:ext uri="{FF2B5EF4-FFF2-40B4-BE49-F238E27FC236}">
                  <a16:creationId xmlns:a16="http://schemas.microsoft.com/office/drawing/2014/main" id="{00000000-0008-0000-2200-000004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Tahoma"/>
                  <a:ea typeface="Tahoma"/>
                  <a:cs typeface="Tahoma"/>
                </a:rPr>
                <a:t>Corriger</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0</xdr:row>
          <xdr:rowOff>228600</xdr:rowOff>
        </xdr:to>
        <xdr:sp macro="" textlink="">
          <xdr:nvSpPr>
            <xdr:cNvPr id="55297" name="GoToMain" hidden="1">
              <a:extLst>
                <a:ext uri="{63B3BB69-23CF-44E3-9099-C40C66FF867C}">
                  <a14:compatExt spid="_x0000_s55297"/>
                </a:ext>
                <a:ext uri="{FF2B5EF4-FFF2-40B4-BE49-F238E27FC236}">
                  <a16:creationId xmlns:a16="http://schemas.microsoft.com/office/drawing/2014/main" id="{00000000-0008-0000-2300-000001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0</xdr:row>
          <xdr:rowOff>228600</xdr:rowOff>
        </xdr:to>
        <xdr:sp macro="" textlink="">
          <xdr:nvSpPr>
            <xdr:cNvPr id="55298" name="GoToLast"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365760</xdr:colOff>
          <xdr:row>1</xdr:row>
          <xdr:rowOff>68580</xdr:rowOff>
        </xdr:to>
        <xdr:sp macro="" textlink="">
          <xdr:nvSpPr>
            <xdr:cNvPr id="3073" name="GoToMain" hidden="1">
              <a:extLst>
                <a:ext uri="{63B3BB69-23CF-44E3-9099-C40C66FF867C}">
                  <a14:compatExt spid="_x0000_s3073"/>
                </a:ext>
                <a:ext uri="{FF2B5EF4-FFF2-40B4-BE49-F238E27FC236}">
                  <a16:creationId xmlns:a16="http://schemas.microsoft.com/office/drawing/2014/main" id="{00000000-0008-0000-24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373380</xdr:colOff>
          <xdr:row>0</xdr:row>
          <xdr:rowOff>0</xdr:rowOff>
        </xdr:from>
        <xdr:to>
          <xdr:col>0</xdr:col>
          <xdr:colOff>731520</xdr:colOff>
          <xdr:row>1</xdr:row>
          <xdr:rowOff>68580</xdr:rowOff>
        </xdr:to>
        <xdr:sp macro="" textlink="">
          <xdr:nvSpPr>
            <xdr:cNvPr id="3074" name="GoToLast" hidden="1">
              <a:extLst>
                <a:ext uri="{63B3BB69-23CF-44E3-9099-C40C66FF867C}">
                  <a14:compatExt spid="_x0000_s3074"/>
                </a:ext>
                <a:ext uri="{FF2B5EF4-FFF2-40B4-BE49-F238E27FC236}">
                  <a16:creationId xmlns:a16="http://schemas.microsoft.com/office/drawing/2014/main" id="{00000000-0008-0000-24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&gt;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 xr16:uid="{9DCF7BF5-C71A-4C84-88C6-65F4A08936E8}" autoFormatId="16" applyNumberFormats="0" applyBorderFormats="0" applyFontFormats="0" applyPatternFormats="0" applyAlignmentFormats="0" applyWidthHeightFormats="0">
  <queryTableRefresh nextId="5">
    <queryTableFields count="4">
      <queryTableField id="1" name="Compte" tableColumnId="1"/>
      <queryTableField id="2" name="Intitulé" tableColumnId="2"/>
      <queryTableField id="3" name="Solde_x000a_Débit" tableColumnId="3"/>
      <queryTableField id="4" name="Solde_x000a_Crédi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4" xr16:uid="{3136A60B-5E44-4BCE-BE11-E1EDEFB15002}" autoFormatId="16" applyNumberFormats="0" applyBorderFormats="0" applyFontFormats="0" applyPatternFormats="0" applyAlignmentFormats="0" applyWidthHeightFormats="0">
  <queryTableRefresh nextId="5">
    <queryTableFields count="4">
      <queryTableField id="1" name="Compte" tableColumnId="1"/>
      <queryTableField id="2" name="Intitulé" tableColumnId="2"/>
      <queryTableField id="3" name="Solde Débiteur N-1" tableColumnId="3"/>
      <queryTableField id="4" name="Solde Créditeur N-1"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EFBD36-8B50-4435-A704-610E26E7942C}" name="A__2" displayName="A__2" ref="A1:D62" tableType="queryTable" totalsRowShown="0">
  <autoFilter ref="A1:D62" xr:uid="{CAEFBD36-8B50-4435-A704-610E26E7942C}"/>
  <tableColumns count="4">
    <tableColumn id="1" xr3:uid="{17DAD0C2-F3E8-4998-B433-B242A5E2973C}" uniqueName="1" name="Compte" queryTableFieldId="1"/>
    <tableColumn id="2" xr3:uid="{283A4AFE-6C19-48C1-B1BA-5FB543680E85}" uniqueName="2" name="Intitulé" queryTableFieldId="2" dataDxfId="29"/>
    <tableColumn id="3" xr3:uid="{DC4C13BF-A0E4-48B1-8ABC-4A64543A4EF6}" uniqueName="3" name="Solde_x000a_Débit" queryTableFieldId="3"/>
    <tableColumn id="4" xr3:uid="{66A17D2A-D994-4E6C-BF9C-892BB9B154EB}" uniqueName="4" name="Solde_x000a_Crédit" queryTableField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53C43E-24B2-45FB-98F6-DE02E4C38F16}" name="Balance_N_1_corrigée" displayName="Balance_N_1_corrigée" ref="A1:D62" tableType="queryTable" totalsRowShown="0">
  <autoFilter ref="A1:D62" xr:uid="{6553C43E-24B2-45FB-98F6-DE02E4C38F16}"/>
  <tableColumns count="4">
    <tableColumn id="1" xr3:uid="{ADD5BFD5-9DC2-4A83-8224-B8F3B3B85935}" uniqueName="1" name="Compte" queryTableFieldId="1"/>
    <tableColumn id="2" xr3:uid="{00CFED34-8E3D-41F7-8B8C-803E9A617585}" uniqueName="2" name="Intitulé" queryTableFieldId="2" dataDxfId="0"/>
    <tableColumn id="3" xr3:uid="{7DC7320B-641D-4416-96EC-33E56CF97EF5}" uniqueName="3" name="Solde Débiteur N-1" queryTableFieldId="3"/>
    <tableColumn id="4" xr3:uid="{02D1A79D-5BBB-424A-82C0-9A41F7D428F5}" uniqueName="4" name="Solde Créditeur N-1" queryTableFieldId="4"/>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2.vml"/><Relationship Id="rId7" Type="http://schemas.openxmlformats.org/officeDocument/2006/relationships/ctrlProp" Target="../ctrlProps/ctrlProp105.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34.vml"/><Relationship Id="rId1" Type="http://schemas.openxmlformats.org/officeDocument/2006/relationships/drawing" Target="../drawings/drawing35.xml"/><Relationship Id="rId4" Type="http://schemas.openxmlformats.org/officeDocument/2006/relationships/ctrlProp" Target="../ctrlProps/ctrlProp10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agePrincipale"/>
  <dimension ref="A1:AF128"/>
  <sheetViews>
    <sheetView showGridLines="0" workbookViewId="0">
      <pane ySplit="7" topLeftCell="A8" activePane="bottomLeft" state="frozen"/>
      <selection pane="bottomLeft" activeCell="F9" sqref="F9:M9"/>
    </sheetView>
  </sheetViews>
  <sheetFormatPr baseColWidth="10" defaultColWidth="11.44140625" defaultRowHeight="22.8"/>
  <cols>
    <col min="1" max="1" width="3.6640625" style="845" customWidth="1"/>
    <col min="2" max="5" width="9.6640625" style="845" customWidth="1"/>
    <col min="6" max="8" width="9.6640625" style="862" customWidth="1"/>
    <col min="9" max="32" width="9.6640625" style="845" customWidth="1"/>
    <col min="33" max="16384" width="11.44140625" style="845"/>
  </cols>
  <sheetData>
    <row r="1" spans="1:32" ht="22.5" customHeight="1">
      <c r="A1" s="844"/>
      <c r="B1" s="892"/>
      <c r="C1" s="892"/>
      <c r="D1" s="892"/>
      <c r="E1" s="892"/>
      <c r="F1" s="892"/>
      <c r="G1" s="892"/>
      <c r="H1" s="892"/>
      <c r="I1" s="892"/>
      <c r="J1" s="892"/>
      <c r="K1" s="893"/>
      <c r="L1" s="893"/>
      <c r="M1" s="893"/>
      <c r="N1" s="844"/>
      <c r="O1" s="844"/>
      <c r="P1" s="844"/>
      <c r="Q1" s="844"/>
      <c r="R1" s="844"/>
      <c r="S1" s="844"/>
      <c r="T1" s="844"/>
      <c r="U1" s="844"/>
      <c r="V1" s="844"/>
      <c r="W1" s="844"/>
      <c r="X1" s="844"/>
      <c r="Y1" s="844"/>
      <c r="Z1" s="844"/>
      <c r="AA1" s="844"/>
      <c r="AB1" s="844"/>
      <c r="AC1" s="844"/>
      <c r="AD1" s="844"/>
      <c r="AE1" s="844"/>
      <c r="AF1" s="844"/>
    </row>
    <row r="2" spans="1:32" ht="22.5" customHeight="1">
      <c r="A2" s="844"/>
      <c r="B2" s="892"/>
      <c r="C2" s="892"/>
      <c r="D2" s="892"/>
      <c r="E2" s="892"/>
      <c r="F2" s="892"/>
      <c r="G2" s="892"/>
      <c r="H2" s="892"/>
      <c r="I2" s="892"/>
      <c r="J2" s="892"/>
      <c r="K2" s="846"/>
      <c r="L2" s="846"/>
      <c r="M2" s="846"/>
      <c r="N2" s="844"/>
      <c r="O2" s="844"/>
      <c r="P2" s="844"/>
      <c r="Q2" s="844"/>
      <c r="R2" s="844"/>
      <c r="S2" s="844"/>
      <c r="T2" s="844"/>
      <c r="U2" s="844"/>
      <c r="V2" s="844"/>
      <c r="W2" s="844"/>
      <c r="X2" s="844"/>
      <c r="Y2" s="844"/>
      <c r="Z2" s="844"/>
      <c r="AA2" s="844"/>
      <c r="AB2" s="844"/>
      <c r="AC2" s="844"/>
      <c r="AD2" s="844"/>
      <c r="AE2" s="844"/>
      <c r="AF2" s="844"/>
    </row>
    <row r="3" spans="1:32" ht="22.5" customHeight="1">
      <c r="A3" s="844"/>
      <c r="B3" s="892"/>
      <c r="C3" s="892"/>
      <c r="D3" s="892"/>
      <c r="E3" s="892"/>
      <c r="F3" s="892"/>
      <c r="G3" s="892"/>
      <c r="H3" s="892"/>
      <c r="I3" s="892"/>
      <c r="J3" s="892"/>
      <c r="K3" s="846"/>
      <c r="L3" s="846"/>
      <c r="M3" s="846"/>
      <c r="N3" s="844"/>
      <c r="O3" s="844"/>
      <c r="P3" s="844"/>
      <c r="Q3" s="844"/>
      <c r="R3" s="844"/>
      <c r="S3" s="844"/>
      <c r="T3" s="844"/>
      <c r="U3" s="844"/>
      <c r="V3" s="844"/>
      <c r="W3" s="844"/>
      <c r="X3" s="844"/>
      <c r="Y3" s="844"/>
      <c r="Z3" s="844"/>
      <c r="AA3" s="844"/>
      <c r="AB3" s="844"/>
      <c r="AC3" s="844"/>
      <c r="AD3" s="844"/>
      <c r="AE3" s="844"/>
      <c r="AF3" s="844"/>
    </row>
    <row r="4" spans="1:32" ht="22.5" customHeight="1">
      <c r="A4" s="844"/>
      <c r="B4" s="892"/>
      <c r="C4" s="892"/>
      <c r="D4" s="892"/>
      <c r="E4" s="892"/>
      <c r="F4" s="892"/>
      <c r="G4" s="892"/>
      <c r="H4" s="892"/>
      <c r="I4" s="892"/>
      <c r="J4" s="892"/>
      <c r="K4" s="846"/>
      <c r="L4" s="846"/>
      <c r="M4" s="846"/>
      <c r="N4" s="844"/>
      <c r="O4" s="844"/>
      <c r="P4" s="844"/>
      <c r="Q4" s="844"/>
      <c r="R4" s="844"/>
      <c r="S4" s="844"/>
      <c r="T4" s="844"/>
      <c r="U4" s="844"/>
      <c r="V4" s="844"/>
      <c r="W4" s="844"/>
      <c r="X4" s="844"/>
      <c r="Y4" s="844"/>
      <c r="Z4" s="844"/>
      <c r="AA4" s="844"/>
      <c r="AB4" s="844"/>
      <c r="AC4" s="844"/>
      <c r="AD4" s="844"/>
      <c r="AE4" s="844"/>
      <c r="AF4" s="844"/>
    </row>
    <row r="5" spans="1:32" ht="23.25" customHeight="1">
      <c r="A5" s="844"/>
      <c r="B5" s="903" t="s">
        <v>714</v>
      </c>
      <c r="C5" s="903"/>
      <c r="D5" s="903"/>
      <c r="E5" s="903"/>
      <c r="F5" s="903"/>
      <c r="G5" s="903"/>
      <c r="H5" s="903"/>
      <c r="I5" s="903"/>
      <c r="J5" s="903"/>
      <c r="K5" s="903"/>
      <c r="L5" s="903"/>
      <c r="M5" s="903"/>
      <c r="N5" s="844"/>
      <c r="O5" s="844"/>
      <c r="P5" s="844"/>
      <c r="Q5" s="844"/>
      <c r="R5" s="844"/>
      <c r="S5" s="844"/>
      <c r="T5" s="844"/>
      <c r="U5" s="844"/>
      <c r="V5" s="844"/>
      <c r="W5" s="844"/>
      <c r="X5" s="844"/>
      <c r="Y5" s="844"/>
      <c r="Z5" s="844"/>
      <c r="AA5" s="844"/>
      <c r="AB5" s="844"/>
      <c r="AC5" s="844"/>
      <c r="AD5" s="844"/>
      <c r="AE5" s="844"/>
      <c r="AF5" s="844"/>
    </row>
    <row r="6" spans="1:32" ht="23.25" customHeight="1">
      <c r="A6" s="844"/>
      <c r="B6" s="847"/>
      <c r="C6" s="847"/>
      <c r="D6" s="847"/>
      <c r="E6" s="847"/>
      <c r="F6" s="847"/>
      <c r="G6" s="847"/>
      <c r="H6" s="847"/>
      <c r="I6" s="847"/>
      <c r="J6" s="847"/>
      <c r="K6" s="847"/>
      <c r="L6" s="847"/>
      <c r="M6" s="847"/>
      <c r="N6" s="844"/>
      <c r="O6" s="844"/>
      <c r="P6" s="844"/>
      <c r="Q6" s="844"/>
      <c r="R6" s="844"/>
      <c r="S6" s="844"/>
      <c r="T6" s="844"/>
      <c r="U6" s="844"/>
      <c r="V6" s="844"/>
      <c r="W6" s="844"/>
      <c r="X6" s="844"/>
      <c r="Y6" s="844"/>
      <c r="Z6" s="844"/>
      <c r="AA6" s="844"/>
      <c r="AB6" s="844"/>
      <c r="AC6" s="844"/>
      <c r="AD6" s="844"/>
      <c r="AE6" s="844"/>
      <c r="AF6" s="844"/>
    </row>
    <row r="7" spans="1:32" ht="23.25" customHeight="1" thickBot="1">
      <c r="A7" s="848"/>
      <c r="B7" s="849"/>
      <c r="C7" s="849"/>
      <c r="D7" s="849"/>
      <c r="E7" s="849"/>
      <c r="F7" s="850"/>
      <c r="G7" s="850"/>
      <c r="H7" s="850"/>
      <c r="I7" s="850"/>
      <c r="J7" s="850"/>
      <c r="K7" s="850"/>
      <c r="L7" s="850"/>
      <c r="M7" s="850"/>
      <c r="N7" s="848"/>
      <c r="O7" s="848"/>
      <c r="P7" s="848"/>
      <c r="Q7" s="848"/>
      <c r="R7" s="848"/>
      <c r="S7" s="848"/>
      <c r="T7" s="848"/>
      <c r="U7" s="848"/>
      <c r="V7" s="848"/>
      <c r="W7" s="848"/>
      <c r="X7" s="848"/>
      <c r="Y7" s="848"/>
      <c r="Z7" s="848"/>
      <c r="AA7" s="848"/>
      <c r="AB7" s="848"/>
      <c r="AC7" s="848"/>
      <c r="AD7" s="848"/>
      <c r="AE7" s="848"/>
      <c r="AF7" s="848"/>
    </row>
    <row r="8" spans="1:32" ht="24" thickTop="1" thickBot="1">
      <c r="A8" s="851"/>
      <c r="B8" s="844"/>
      <c r="C8" s="844"/>
      <c r="D8" s="844"/>
      <c r="E8" s="844"/>
      <c r="F8" s="852"/>
      <c r="G8" s="852"/>
      <c r="H8" s="852"/>
      <c r="I8" s="844"/>
      <c r="J8" s="844"/>
      <c r="K8" s="844"/>
      <c r="L8" s="844"/>
      <c r="M8" s="844"/>
      <c r="N8" s="844"/>
      <c r="O8" s="844"/>
      <c r="P8" s="844"/>
      <c r="Q8" s="844"/>
      <c r="R8" s="844"/>
      <c r="S8" s="844"/>
      <c r="T8" s="844"/>
      <c r="U8" s="844"/>
      <c r="V8" s="844"/>
      <c r="W8" s="844"/>
      <c r="X8" s="844"/>
      <c r="Y8" s="844"/>
      <c r="Z8" s="844"/>
      <c r="AA8" s="844"/>
      <c r="AB8" s="844"/>
      <c r="AC8" s="844"/>
      <c r="AD8" s="844"/>
      <c r="AE8" s="844"/>
      <c r="AF8" s="844"/>
    </row>
    <row r="9" spans="1:32" ht="23.4" thickBot="1">
      <c r="A9" s="844"/>
      <c r="B9" s="863" t="s">
        <v>373</v>
      </c>
      <c r="C9" s="853"/>
      <c r="D9" s="853"/>
      <c r="E9" s="853"/>
      <c r="F9" s="904" t="s">
        <v>1415</v>
      </c>
      <c r="G9" s="905"/>
      <c r="H9" s="905"/>
      <c r="I9" s="905"/>
      <c r="J9" s="905"/>
      <c r="K9" s="905"/>
      <c r="L9" s="905"/>
      <c r="M9" s="906"/>
      <c r="N9" s="844"/>
      <c r="O9" s="844"/>
      <c r="P9" s="844"/>
      <c r="Q9" s="844"/>
      <c r="R9" s="844"/>
      <c r="S9" s="844"/>
      <c r="T9" s="844"/>
      <c r="U9" s="844"/>
      <c r="V9" s="844"/>
      <c r="W9" s="844"/>
      <c r="X9" s="844"/>
      <c r="Y9" s="844"/>
      <c r="Z9" s="844"/>
      <c r="AA9" s="844"/>
      <c r="AB9" s="844"/>
      <c r="AC9" s="844"/>
      <c r="AD9" s="844"/>
      <c r="AE9" s="844"/>
      <c r="AF9" s="844"/>
    </row>
    <row r="10" spans="1:32" ht="8.25" customHeight="1" thickBot="1">
      <c r="A10" s="844"/>
      <c r="B10" s="854"/>
      <c r="C10" s="854"/>
      <c r="D10" s="854"/>
      <c r="E10" s="854"/>
      <c r="F10" s="855"/>
      <c r="G10" s="855"/>
      <c r="H10" s="855"/>
      <c r="I10" s="855"/>
      <c r="J10" s="855"/>
      <c r="K10" s="855"/>
      <c r="L10" s="844"/>
      <c r="M10" s="844"/>
      <c r="N10" s="844"/>
      <c r="O10" s="844"/>
      <c r="P10" s="844"/>
      <c r="Q10" s="844"/>
      <c r="R10" s="844"/>
      <c r="S10" s="844"/>
      <c r="T10" s="844"/>
      <c r="U10" s="844"/>
      <c r="V10" s="844"/>
      <c r="W10" s="844"/>
      <c r="X10" s="844"/>
      <c r="Y10" s="844"/>
      <c r="Z10" s="844"/>
      <c r="AA10" s="844"/>
      <c r="AB10" s="844"/>
      <c r="AC10" s="844"/>
      <c r="AD10" s="844"/>
      <c r="AE10" s="844"/>
      <c r="AF10" s="844"/>
    </row>
    <row r="11" spans="1:32" ht="23.4" thickBot="1">
      <c r="A11" s="844"/>
      <c r="B11" s="863" t="s">
        <v>537</v>
      </c>
      <c r="C11" s="853"/>
      <c r="D11" s="853"/>
      <c r="E11" s="853"/>
      <c r="F11" s="907">
        <v>9999999</v>
      </c>
      <c r="G11" s="905"/>
      <c r="H11" s="905"/>
      <c r="I11" s="905"/>
      <c r="J11" s="905"/>
      <c r="K11" s="905"/>
      <c r="L11" s="905"/>
      <c r="M11" s="906"/>
      <c r="N11" s="844"/>
      <c r="O11" s="844"/>
      <c r="P11" s="844"/>
      <c r="Q11" s="844"/>
      <c r="R11" s="844"/>
      <c r="S11" s="844"/>
      <c r="T11" s="844"/>
      <c r="U11" s="844"/>
      <c r="V11" s="844"/>
      <c r="W11" s="844"/>
      <c r="X11" s="844"/>
      <c r="Y11" s="844"/>
      <c r="Z11" s="844"/>
      <c r="AA11" s="844"/>
      <c r="AB11" s="844"/>
      <c r="AC11" s="844"/>
      <c r="AD11" s="844"/>
      <c r="AE11" s="844"/>
      <c r="AF11" s="844"/>
    </row>
    <row r="12" spans="1:32" ht="8.25" customHeight="1" thickBot="1">
      <c r="A12" s="844"/>
      <c r="B12" s="854"/>
      <c r="C12" s="854"/>
      <c r="D12" s="854"/>
      <c r="E12" s="854"/>
      <c r="F12" s="855"/>
      <c r="G12" s="855"/>
      <c r="H12" s="855"/>
      <c r="I12" s="855"/>
      <c r="J12" s="855"/>
      <c r="K12" s="855"/>
      <c r="L12" s="844"/>
      <c r="M12" s="844"/>
      <c r="N12" s="844"/>
      <c r="O12" s="844"/>
      <c r="P12" s="844"/>
      <c r="Q12" s="844"/>
      <c r="R12" s="844"/>
      <c r="S12" s="844"/>
      <c r="T12" s="844"/>
      <c r="U12" s="844"/>
      <c r="V12" s="844"/>
      <c r="W12" s="844"/>
      <c r="X12" s="844"/>
      <c r="Y12" s="844"/>
      <c r="Z12" s="844"/>
      <c r="AA12" s="844"/>
      <c r="AB12" s="844"/>
      <c r="AC12" s="844"/>
      <c r="AD12" s="844"/>
      <c r="AE12" s="844"/>
      <c r="AF12" s="844"/>
    </row>
    <row r="13" spans="1:32" ht="23.4" thickBot="1">
      <c r="A13" s="844"/>
      <c r="B13" s="863" t="s">
        <v>1411</v>
      </c>
      <c r="C13" s="853"/>
      <c r="D13" s="853"/>
      <c r="E13" s="853"/>
      <c r="F13" s="908" t="s">
        <v>1210</v>
      </c>
      <c r="G13" s="909"/>
      <c r="H13" s="909"/>
      <c r="I13" s="909"/>
      <c r="J13" s="909"/>
      <c r="K13" s="909"/>
      <c r="L13" s="909"/>
      <c r="M13" s="910"/>
      <c r="N13" s="844"/>
      <c r="O13" s="844"/>
      <c r="P13" s="844"/>
      <c r="Q13" s="844"/>
      <c r="R13" s="844"/>
      <c r="S13" s="844"/>
      <c r="T13" s="844"/>
      <c r="U13" s="844"/>
      <c r="V13" s="844"/>
      <c r="W13" s="844"/>
      <c r="X13" s="844"/>
      <c r="Y13" s="844"/>
      <c r="Z13" s="844"/>
      <c r="AA13" s="844"/>
      <c r="AB13" s="844"/>
      <c r="AC13" s="844"/>
      <c r="AD13" s="844"/>
      <c r="AE13" s="844"/>
      <c r="AF13" s="844"/>
    </row>
    <row r="14" spans="1:32" ht="8.25" customHeight="1" thickBot="1">
      <c r="A14" s="844"/>
      <c r="B14" s="854"/>
      <c r="C14" s="854"/>
      <c r="D14" s="854"/>
      <c r="E14" s="854"/>
      <c r="F14" s="855"/>
      <c r="G14" s="855"/>
      <c r="H14" s="855"/>
      <c r="I14" s="855"/>
      <c r="J14" s="855"/>
      <c r="K14" s="855"/>
      <c r="L14" s="844"/>
      <c r="M14" s="844"/>
      <c r="N14" s="844"/>
      <c r="O14" s="844"/>
      <c r="P14" s="844"/>
      <c r="Q14" s="844"/>
      <c r="R14" s="844"/>
      <c r="S14" s="844"/>
      <c r="T14" s="844"/>
      <c r="U14" s="844"/>
      <c r="V14" s="844"/>
      <c r="W14" s="844"/>
      <c r="X14" s="844"/>
      <c r="Y14" s="844"/>
      <c r="Z14" s="844"/>
      <c r="AA14" s="844"/>
      <c r="AB14" s="844"/>
      <c r="AC14" s="844"/>
      <c r="AD14" s="844"/>
      <c r="AE14" s="844"/>
      <c r="AF14" s="844"/>
    </row>
    <row r="15" spans="1:32" ht="23.4" thickBot="1">
      <c r="A15" s="844"/>
      <c r="B15" s="863" t="s">
        <v>1416</v>
      </c>
      <c r="C15" s="853"/>
      <c r="D15" s="853"/>
      <c r="E15" s="853"/>
      <c r="F15" s="900">
        <v>42736</v>
      </c>
      <c r="G15" s="901"/>
      <c r="H15" s="901"/>
      <c r="I15" s="901"/>
      <c r="J15" s="901"/>
      <c r="K15" s="901"/>
      <c r="L15" s="901"/>
      <c r="M15" s="902"/>
      <c r="N15" s="844"/>
      <c r="O15" s="844"/>
      <c r="P15" s="844"/>
      <c r="Q15" s="844"/>
      <c r="R15" s="844"/>
      <c r="S15" s="844"/>
      <c r="T15" s="844"/>
      <c r="U15" s="844"/>
      <c r="V15" s="844"/>
      <c r="W15" s="844"/>
      <c r="X15" s="844"/>
      <c r="Y15" s="844"/>
      <c r="Z15" s="844"/>
      <c r="AA15" s="844"/>
      <c r="AB15" s="844"/>
      <c r="AC15" s="844"/>
      <c r="AD15" s="844"/>
      <c r="AE15" s="844"/>
      <c r="AF15" s="844"/>
    </row>
    <row r="16" spans="1:32" ht="8.25" customHeight="1" thickBot="1">
      <c r="A16" s="844"/>
      <c r="B16" s="854"/>
      <c r="C16" s="854"/>
      <c r="D16" s="854"/>
      <c r="E16" s="854"/>
      <c r="F16" s="855"/>
      <c r="G16" s="855"/>
      <c r="H16" s="855"/>
      <c r="I16" s="855"/>
      <c r="J16" s="855"/>
      <c r="K16" s="855"/>
      <c r="L16" s="844"/>
      <c r="M16" s="844"/>
      <c r="N16" s="844"/>
      <c r="O16" s="844"/>
      <c r="P16" s="844"/>
      <c r="Q16" s="844"/>
      <c r="R16" s="844"/>
      <c r="S16" s="844"/>
      <c r="T16" s="844"/>
      <c r="U16" s="844"/>
      <c r="V16" s="844"/>
      <c r="W16" s="844"/>
      <c r="X16" s="844"/>
      <c r="Y16" s="844"/>
      <c r="Z16" s="844"/>
      <c r="AA16" s="844"/>
      <c r="AB16" s="844"/>
      <c r="AC16" s="844"/>
      <c r="AD16" s="844"/>
      <c r="AE16" s="844"/>
      <c r="AF16" s="844"/>
    </row>
    <row r="17" spans="1:32" ht="23.4" thickBot="1">
      <c r="A17" s="844"/>
      <c r="B17" s="863" t="s">
        <v>1417</v>
      </c>
      <c r="C17" s="853"/>
      <c r="D17" s="853"/>
      <c r="E17" s="853"/>
      <c r="F17" s="900">
        <v>43100</v>
      </c>
      <c r="G17" s="901"/>
      <c r="H17" s="901"/>
      <c r="I17" s="901"/>
      <c r="J17" s="901"/>
      <c r="K17" s="901"/>
      <c r="L17" s="901"/>
      <c r="M17" s="902"/>
      <c r="N17" s="844"/>
      <c r="O17" s="844"/>
      <c r="P17" s="844"/>
      <c r="Q17" s="844"/>
      <c r="R17" s="844"/>
      <c r="S17" s="844"/>
      <c r="T17" s="844"/>
      <c r="U17" s="844"/>
      <c r="V17" s="844"/>
      <c r="W17" s="844"/>
      <c r="X17" s="844"/>
      <c r="Y17" s="844"/>
      <c r="Z17" s="844"/>
      <c r="AA17" s="844"/>
      <c r="AB17" s="844"/>
      <c r="AC17" s="844"/>
      <c r="AD17" s="844"/>
      <c r="AE17" s="844"/>
      <c r="AF17" s="844"/>
    </row>
    <row r="18" spans="1:32" ht="8.25" customHeight="1" thickBot="1">
      <c r="A18" s="844"/>
      <c r="B18" s="854"/>
      <c r="C18" s="856"/>
      <c r="D18" s="856"/>
      <c r="E18" s="856"/>
      <c r="F18" s="857"/>
      <c r="G18" s="857"/>
      <c r="H18" s="857"/>
      <c r="I18" s="857"/>
      <c r="J18" s="857"/>
      <c r="K18" s="857"/>
      <c r="L18" s="858"/>
      <c r="M18" s="858"/>
      <c r="N18" s="844"/>
      <c r="O18" s="844"/>
      <c r="P18" s="844"/>
      <c r="Q18" s="844"/>
      <c r="R18" s="844"/>
      <c r="S18" s="844"/>
      <c r="T18" s="844"/>
      <c r="U18" s="844"/>
      <c r="V18" s="844"/>
      <c r="W18" s="844"/>
      <c r="X18" s="844"/>
      <c r="Y18" s="844"/>
      <c r="Z18" s="844"/>
      <c r="AA18" s="844"/>
      <c r="AB18" s="844"/>
      <c r="AC18" s="844"/>
      <c r="AD18" s="844"/>
      <c r="AE18" s="844"/>
      <c r="AF18" s="844"/>
    </row>
    <row r="19" spans="1:32" ht="49.5" customHeight="1" thickBot="1">
      <c r="A19" s="844"/>
      <c r="B19" s="864" t="s">
        <v>315</v>
      </c>
      <c r="C19" s="859"/>
      <c r="D19" s="859"/>
      <c r="E19" s="859"/>
      <c r="F19" s="894" t="s">
        <v>836</v>
      </c>
      <c r="G19" s="895"/>
      <c r="H19" s="895"/>
      <c r="I19" s="895"/>
      <c r="J19" s="895"/>
      <c r="K19" s="895"/>
      <c r="L19" s="895"/>
      <c r="M19" s="896"/>
      <c r="N19" s="844"/>
      <c r="O19" s="844"/>
      <c r="P19" s="844"/>
      <c r="Q19" s="844"/>
      <c r="R19" s="844"/>
      <c r="S19" s="844"/>
      <c r="T19" s="844"/>
      <c r="U19" s="844"/>
      <c r="V19" s="844"/>
      <c r="W19" s="844"/>
      <c r="X19" s="844"/>
      <c r="Y19" s="844"/>
      <c r="Z19" s="844"/>
      <c r="AA19" s="844"/>
      <c r="AB19" s="844"/>
      <c r="AC19" s="844"/>
      <c r="AD19" s="844"/>
      <c r="AE19" s="844"/>
      <c r="AF19" s="844"/>
    </row>
    <row r="20" spans="1:32" ht="8.25" customHeight="1" thickBot="1">
      <c r="A20" s="844"/>
      <c r="B20" s="854"/>
      <c r="C20" s="856"/>
      <c r="D20" s="856"/>
      <c r="E20" s="856"/>
      <c r="F20" s="857"/>
      <c r="G20" s="857"/>
      <c r="H20" s="857"/>
      <c r="I20" s="857"/>
      <c r="J20" s="857"/>
      <c r="K20" s="857"/>
      <c r="L20" s="858"/>
      <c r="M20" s="858"/>
      <c r="N20" s="844"/>
      <c r="O20" s="844"/>
      <c r="P20" s="844"/>
      <c r="Q20" s="844"/>
      <c r="R20" s="844"/>
      <c r="S20" s="844"/>
      <c r="T20" s="844"/>
      <c r="U20" s="844"/>
      <c r="V20" s="844"/>
      <c r="W20" s="844"/>
      <c r="X20" s="844"/>
      <c r="Y20" s="844"/>
      <c r="Z20" s="844"/>
      <c r="AA20" s="844"/>
      <c r="AB20" s="844"/>
      <c r="AC20" s="844"/>
      <c r="AD20" s="844"/>
      <c r="AE20" s="844"/>
      <c r="AF20" s="844"/>
    </row>
    <row r="21" spans="1:32" ht="23.4" thickBot="1">
      <c r="A21" s="844"/>
      <c r="B21" s="863" t="s">
        <v>796</v>
      </c>
      <c r="C21" s="860"/>
      <c r="D21" s="860"/>
      <c r="E21" s="860"/>
      <c r="F21" s="897" t="s">
        <v>837</v>
      </c>
      <c r="G21" s="898"/>
      <c r="H21" s="898"/>
      <c r="I21" s="898"/>
      <c r="J21" s="898"/>
      <c r="K21" s="898"/>
      <c r="L21" s="898"/>
      <c r="M21" s="899"/>
      <c r="N21" s="844"/>
      <c r="O21" s="844"/>
      <c r="P21" s="844"/>
      <c r="Q21" s="844"/>
      <c r="R21" s="844"/>
      <c r="S21" s="844"/>
      <c r="T21" s="844"/>
      <c r="U21" s="844"/>
      <c r="V21" s="844"/>
      <c r="W21" s="844"/>
      <c r="X21" s="844"/>
      <c r="Y21" s="844"/>
      <c r="Z21" s="844"/>
      <c r="AA21" s="844"/>
      <c r="AB21" s="844"/>
      <c r="AC21" s="844"/>
      <c r="AD21" s="844"/>
      <c r="AE21" s="844"/>
      <c r="AF21" s="844"/>
    </row>
    <row r="22" spans="1:32">
      <c r="A22" s="844"/>
      <c r="B22" s="861"/>
      <c r="C22" s="861"/>
      <c r="D22" s="861"/>
      <c r="E22" s="861"/>
      <c r="F22" s="852"/>
      <c r="G22" s="852"/>
      <c r="H22" s="852"/>
      <c r="I22" s="852"/>
      <c r="J22" s="852"/>
      <c r="K22" s="852"/>
      <c r="L22" s="844"/>
      <c r="M22" s="844"/>
      <c r="N22" s="844"/>
      <c r="O22" s="844"/>
      <c r="P22" s="844"/>
      <c r="Q22" s="844"/>
      <c r="R22" s="844"/>
      <c r="S22" s="844"/>
      <c r="T22" s="844"/>
      <c r="U22" s="844"/>
      <c r="V22" s="844"/>
      <c r="W22" s="844"/>
      <c r="X22" s="844"/>
      <c r="Y22" s="844"/>
      <c r="Z22" s="844"/>
      <c r="AA22" s="844"/>
      <c r="AB22" s="844"/>
      <c r="AC22" s="844"/>
      <c r="AD22" s="844"/>
      <c r="AE22" s="844"/>
      <c r="AF22" s="844"/>
    </row>
    <row r="23" spans="1:32">
      <c r="A23" s="844"/>
      <c r="B23" s="861"/>
      <c r="C23" s="861"/>
      <c r="D23" s="861"/>
      <c r="E23" s="861"/>
      <c r="F23" s="852"/>
      <c r="G23" s="852"/>
      <c r="H23" s="852"/>
      <c r="I23" s="852"/>
      <c r="J23" s="852"/>
      <c r="K23" s="852"/>
      <c r="L23" s="844"/>
      <c r="M23" s="844"/>
      <c r="N23" s="844"/>
      <c r="O23" s="844"/>
      <c r="P23" s="844"/>
      <c r="Q23" s="844"/>
      <c r="R23" s="844"/>
      <c r="S23" s="844"/>
      <c r="T23" s="844"/>
      <c r="U23" s="844"/>
      <c r="V23" s="844"/>
      <c r="W23" s="844"/>
      <c r="X23" s="844"/>
      <c r="Y23" s="844"/>
      <c r="Z23" s="844"/>
      <c r="AA23" s="844"/>
      <c r="AB23" s="844"/>
      <c r="AC23" s="844"/>
      <c r="AD23" s="844"/>
      <c r="AE23" s="844"/>
      <c r="AF23" s="844"/>
    </row>
    <row r="24" spans="1:32">
      <c r="A24" s="844"/>
      <c r="B24" s="861"/>
      <c r="C24" s="861"/>
      <c r="D24" s="861"/>
      <c r="E24" s="861"/>
      <c r="F24" s="852"/>
      <c r="G24" s="852"/>
      <c r="H24" s="852"/>
      <c r="I24" s="852"/>
      <c r="J24" s="852"/>
      <c r="K24" s="852"/>
      <c r="L24" s="844"/>
      <c r="M24" s="844"/>
      <c r="N24" s="844"/>
      <c r="O24" s="844"/>
      <c r="P24" s="844"/>
      <c r="Q24" s="844"/>
      <c r="R24" s="844"/>
      <c r="S24" s="844"/>
      <c r="T24" s="844"/>
      <c r="U24" s="844"/>
      <c r="V24" s="844"/>
      <c r="W24" s="844"/>
      <c r="X24" s="844"/>
      <c r="Y24" s="844"/>
      <c r="Z24" s="844"/>
      <c r="AA24" s="844"/>
      <c r="AB24" s="844"/>
      <c r="AC24" s="844"/>
      <c r="AD24" s="844"/>
      <c r="AE24" s="844"/>
      <c r="AF24" s="844"/>
    </row>
    <row r="25" spans="1:32">
      <c r="A25" s="844"/>
      <c r="B25" s="861"/>
      <c r="C25" s="861"/>
      <c r="D25" s="861"/>
      <c r="E25" s="861"/>
      <c r="F25" s="852"/>
      <c r="G25" s="852"/>
      <c r="H25" s="852"/>
      <c r="I25" s="852"/>
      <c r="J25" s="852"/>
      <c r="K25" s="852"/>
      <c r="L25" s="844"/>
      <c r="M25" s="844"/>
      <c r="N25" s="844"/>
      <c r="O25" s="844"/>
      <c r="P25" s="844"/>
      <c r="Q25" s="844"/>
      <c r="R25" s="844"/>
      <c r="S25" s="844"/>
      <c r="T25" s="844"/>
      <c r="U25" s="844"/>
      <c r="V25" s="844"/>
      <c r="W25" s="844"/>
      <c r="X25" s="844"/>
      <c r="Y25" s="844"/>
      <c r="Z25" s="844"/>
      <c r="AA25" s="844"/>
      <c r="AB25" s="844"/>
      <c r="AC25" s="844"/>
      <c r="AD25" s="844"/>
      <c r="AE25" s="844"/>
      <c r="AF25" s="844"/>
    </row>
    <row r="26" spans="1:32">
      <c r="A26" s="844"/>
      <c r="B26" s="861"/>
      <c r="C26" s="861"/>
      <c r="D26" s="861"/>
      <c r="E26" s="861"/>
      <c r="F26" s="852"/>
      <c r="G26" s="852"/>
      <c r="H26" s="852"/>
      <c r="I26" s="852"/>
      <c r="J26" s="852"/>
      <c r="K26" s="852"/>
      <c r="L26" s="844"/>
      <c r="M26" s="844"/>
      <c r="N26" s="844"/>
      <c r="O26" s="844"/>
      <c r="P26" s="844"/>
      <c r="Q26" s="844"/>
      <c r="R26" s="844"/>
      <c r="S26" s="844"/>
      <c r="T26" s="844"/>
      <c r="U26" s="844"/>
      <c r="V26" s="844"/>
      <c r="W26" s="844"/>
      <c r="X26" s="844"/>
      <c r="Y26" s="844"/>
      <c r="Z26" s="844"/>
      <c r="AA26" s="844"/>
      <c r="AB26" s="844"/>
      <c r="AC26" s="844"/>
      <c r="AD26" s="844"/>
      <c r="AE26" s="844"/>
      <c r="AF26" s="844"/>
    </row>
    <row r="27" spans="1:32">
      <c r="A27" s="844"/>
      <c r="B27" s="861"/>
      <c r="C27" s="861"/>
      <c r="D27" s="861"/>
      <c r="E27" s="861"/>
      <c r="F27" s="852"/>
      <c r="G27" s="852"/>
      <c r="H27" s="852"/>
      <c r="I27" s="852"/>
      <c r="J27" s="852"/>
      <c r="K27" s="852"/>
      <c r="L27" s="844"/>
      <c r="M27" s="844"/>
      <c r="N27" s="844"/>
      <c r="O27" s="844"/>
      <c r="P27" s="844"/>
      <c r="Q27" s="844"/>
      <c r="R27" s="844"/>
      <c r="S27" s="844"/>
      <c r="T27" s="844"/>
      <c r="U27" s="844"/>
      <c r="V27" s="844"/>
      <c r="W27" s="844"/>
      <c r="X27" s="844"/>
      <c r="Y27" s="844"/>
      <c r="Z27" s="844"/>
      <c r="AA27" s="844"/>
      <c r="AB27" s="844"/>
      <c r="AC27" s="844"/>
      <c r="AD27" s="844"/>
      <c r="AE27" s="844"/>
      <c r="AF27" s="844"/>
    </row>
    <row r="28" spans="1:32">
      <c r="A28" s="844"/>
      <c r="B28" s="861"/>
      <c r="C28" s="861"/>
      <c r="D28" s="861"/>
      <c r="E28" s="861"/>
      <c r="F28" s="852"/>
      <c r="G28" s="852"/>
      <c r="H28" s="852"/>
      <c r="I28" s="852"/>
      <c r="J28" s="852"/>
      <c r="K28" s="852"/>
      <c r="L28" s="844"/>
      <c r="M28" s="844"/>
      <c r="N28" s="844"/>
      <c r="O28" s="844"/>
      <c r="P28" s="844"/>
      <c r="Q28" s="844"/>
      <c r="R28" s="844"/>
      <c r="S28" s="844"/>
      <c r="T28" s="844"/>
      <c r="U28" s="844"/>
      <c r="V28" s="844"/>
      <c r="W28" s="844"/>
      <c r="X28" s="844"/>
      <c r="Y28" s="844"/>
      <c r="Z28" s="844"/>
      <c r="AA28" s="844"/>
      <c r="AB28" s="844"/>
      <c r="AC28" s="844"/>
      <c r="AD28" s="844"/>
      <c r="AE28" s="844"/>
      <c r="AF28" s="844"/>
    </row>
    <row r="29" spans="1:32">
      <c r="A29" s="844"/>
      <c r="B29" s="861"/>
      <c r="C29" s="861"/>
      <c r="D29" s="861"/>
      <c r="E29" s="861"/>
      <c r="F29" s="852"/>
      <c r="G29" s="852"/>
      <c r="H29" s="852"/>
      <c r="I29" s="852"/>
      <c r="J29" s="852"/>
      <c r="K29" s="852"/>
      <c r="L29" s="844"/>
      <c r="M29" s="844"/>
      <c r="N29" s="844"/>
      <c r="O29" s="844"/>
      <c r="P29" s="844"/>
      <c r="Q29" s="844"/>
      <c r="R29" s="844"/>
      <c r="S29" s="844"/>
      <c r="T29" s="844"/>
      <c r="U29" s="844"/>
      <c r="V29" s="844"/>
      <c r="W29" s="844"/>
      <c r="X29" s="844"/>
      <c r="Y29" s="844"/>
      <c r="Z29" s="844"/>
      <c r="AA29" s="844"/>
      <c r="AB29" s="844"/>
      <c r="AC29" s="844"/>
      <c r="AD29" s="844"/>
      <c r="AE29" s="844"/>
      <c r="AF29" s="844"/>
    </row>
    <row r="30" spans="1:32">
      <c r="A30" s="844"/>
      <c r="B30" s="861"/>
      <c r="C30" s="861"/>
      <c r="D30" s="861"/>
      <c r="E30" s="861"/>
      <c r="F30" s="852"/>
      <c r="G30" s="852"/>
      <c r="H30" s="852"/>
      <c r="I30" s="852"/>
      <c r="J30" s="852"/>
      <c r="K30" s="852"/>
      <c r="L30" s="844"/>
      <c r="M30" s="844"/>
      <c r="N30" s="844"/>
      <c r="O30" s="844"/>
      <c r="P30" s="844"/>
      <c r="Q30" s="844"/>
      <c r="R30" s="844"/>
      <c r="S30" s="844"/>
      <c r="T30" s="844"/>
      <c r="U30" s="844"/>
      <c r="V30" s="844"/>
      <c r="W30" s="844"/>
      <c r="X30" s="844"/>
      <c r="Y30" s="844"/>
      <c r="Z30" s="844"/>
      <c r="AA30" s="844"/>
      <c r="AB30" s="844"/>
      <c r="AC30" s="844"/>
      <c r="AD30" s="844"/>
      <c r="AE30" s="844"/>
      <c r="AF30" s="844"/>
    </row>
    <row r="31" spans="1:32">
      <c r="A31" s="844"/>
      <c r="B31" s="861"/>
      <c r="C31" s="861"/>
      <c r="D31" s="861"/>
      <c r="E31" s="861"/>
      <c r="F31" s="852"/>
      <c r="G31" s="852"/>
      <c r="H31" s="852"/>
      <c r="I31" s="852"/>
      <c r="J31" s="852"/>
      <c r="K31" s="852"/>
      <c r="L31" s="844"/>
      <c r="M31" s="844"/>
      <c r="N31" s="844"/>
      <c r="O31" s="844"/>
      <c r="P31" s="844"/>
      <c r="Q31" s="844"/>
      <c r="R31" s="844"/>
      <c r="S31" s="844"/>
      <c r="T31" s="844"/>
      <c r="U31" s="844"/>
      <c r="V31" s="844"/>
      <c r="W31" s="844"/>
      <c r="X31" s="844"/>
      <c r="Y31" s="844"/>
      <c r="Z31" s="844"/>
      <c r="AA31" s="844"/>
      <c r="AB31" s="844"/>
      <c r="AC31" s="844"/>
      <c r="AD31" s="844"/>
      <c r="AE31" s="844"/>
      <c r="AF31" s="844"/>
    </row>
    <row r="32" spans="1:32">
      <c r="A32" s="844"/>
      <c r="B32" s="861"/>
      <c r="C32" s="861"/>
      <c r="D32" s="861"/>
      <c r="E32" s="861"/>
      <c r="F32" s="852"/>
      <c r="G32" s="852"/>
      <c r="H32" s="852"/>
      <c r="I32" s="852"/>
      <c r="J32" s="852"/>
      <c r="K32" s="852"/>
      <c r="L32" s="844"/>
      <c r="M32" s="844"/>
      <c r="N32" s="844"/>
      <c r="O32" s="844"/>
      <c r="P32" s="844"/>
      <c r="Q32" s="844"/>
      <c r="R32" s="844"/>
      <c r="S32" s="844"/>
      <c r="T32" s="844"/>
      <c r="U32" s="844"/>
      <c r="V32" s="844"/>
      <c r="W32" s="844"/>
      <c r="X32" s="844"/>
      <c r="Y32" s="844"/>
      <c r="Z32" s="844"/>
      <c r="AA32" s="844"/>
      <c r="AB32" s="844"/>
      <c r="AC32" s="844"/>
      <c r="AD32" s="844"/>
      <c r="AE32" s="844"/>
      <c r="AF32" s="844"/>
    </row>
    <row r="33" spans="1:32">
      <c r="A33" s="844"/>
      <c r="B33" s="861"/>
      <c r="C33" s="861"/>
      <c r="D33" s="861"/>
      <c r="E33" s="861"/>
      <c r="F33" s="852"/>
      <c r="G33" s="852"/>
      <c r="H33" s="852"/>
      <c r="I33" s="852"/>
      <c r="J33" s="852"/>
      <c r="K33" s="852"/>
      <c r="L33" s="844"/>
      <c r="M33" s="844"/>
      <c r="N33" s="844"/>
      <c r="O33" s="844"/>
      <c r="P33" s="844"/>
      <c r="Q33" s="844"/>
      <c r="R33" s="844"/>
      <c r="S33" s="844"/>
      <c r="T33" s="844"/>
      <c r="U33" s="844"/>
      <c r="V33" s="844"/>
      <c r="W33" s="844"/>
      <c r="X33" s="844"/>
      <c r="Y33" s="844"/>
      <c r="Z33" s="844"/>
      <c r="AA33" s="844"/>
      <c r="AB33" s="844"/>
      <c r="AC33" s="844"/>
      <c r="AD33" s="844"/>
      <c r="AE33" s="844"/>
      <c r="AF33" s="844"/>
    </row>
    <row r="34" spans="1:32">
      <c r="A34" s="844"/>
      <c r="B34" s="861"/>
      <c r="C34" s="861"/>
      <c r="D34" s="861"/>
      <c r="E34" s="861"/>
      <c r="F34" s="852"/>
      <c r="G34" s="852"/>
      <c r="H34" s="852"/>
      <c r="I34" s="852"/>
      <c r="J34" s="852"/>
      <c r="K34" s="852"/>
      <c r="L34" s="844"/>
      <c r="M34" s="844"/>
      <c r="N34" s="844"/>
      <c r="O34" s="844"/>
      <c r="P34" s="844"/>
      <c r="Q34" s="844"/>
      <c r="R34" s="844"/>
      <c r="S34" s="844"/>
      <c r="T34" s="844"/>
      <c r="U34" s="844"/>
      <c r="V34" s="844"/>
      <c r="W34" s="844"/>
      <c r="X34" s="844"/>
      <c r="Y34" s="844"/>
      <c r="Z34" s="844"/>
      <c r="AA34" s="844"/>
      <c r="AB34" s="844"/>
      <c r="AC34" s="844"/>
      <c r="AD34" s="844"/>
      <c r="AE34" s="844"/>
      <c r="AF34" s="844"/>
    </row>
    <row r="35" spans="1:32">
      <c r="A35" s="844"/>
      <c r="B35" s="861"/>
      <c r="C35" s="861"/>
      <c r="D35" s="861"/>
      <c r="E35" s="861"/>
      <c r="F35" s="852"/>
      <c r="G35" s="852"/>
      <c r="H35" s="852"/>
      <c r="I35" s="852"/>
      <c r="J35" s="852"/>
      <c r="K35" s="852"/>
      <c r="L35" s="844"/>
      <c r="M35" s="844"/>
      <c r="N35" s="844"/>
      <c r="O35" s="844"/>
      <c r="P35" s="844"/>
      <c r="Q35" s="844"/>
      <c r="R35" s="844"/>
      <c r="S35" s="844"/>
      <c r="T35" s="844"/>
      <c r="U35" s="844"/>
      <c r="V35" s="844"/>
      <c r="W35" s="844"/>
      <c r="X35" s="844"/>
      <c r="Y35" s="844"/>
      <c r="Z35" s="844"/>
      <c r="AA35" s="844"/>
      <c r="AB35" s="844"/>
      <c r="AC35" s="844"/>
      <c r="AD35" s="844"/>
      <c r="AE35" s="844"/>
      <c r="AF35" s="844"/>
    </row>
    <row r="36" spans="1:32">
      <c r="A36" s="844"/>
      <c r="B36" s="861"/>
      <c r="C36" s="861"/>
      <c r="D36" s="861"/>
      <c r="E36" s="861"/>
      <c r="F36" s="852"/>
      <c r="G36" s="852"/>
      <c r="H36" s="852"/>
      <c r="I36" s="852"/>
      <c r="J36" s="852"/>
      <c r="K36" s="852"/>
      <c r="L36" s="844"/>
      <c r="M36" s="844"/>
      <c r="N36" s="844"/>
      <c r="O36" s="844"/>
      <c r="P36" s="844"/>
      <c r="Q36" s="844"/>
      <c r="R36" s="844"/>
      <c r="S36" s="844"/>
      <c r="T36" s="844"/>
      <c r="U36" s="844"/>
      <c r="V36" s="844"/>
      <c r="W36" s="844"/>
      <c r="X36" s="844"/>
      <c r="Y36" s="844"/>
      <c r="Z36" s="844"/>
      <c r="AA36" s="844"/>
      <c r="AB36" s="844"/>
      <c r="AC36" s="844"/>
      <c r="AD36" s="844"/>
      <c r="AE36" s="844"/>
      <c r="AF36" s="844"/>
    </row>
    <row r="37" spans="1:32">
      <c r="A37" s="844"/>
      <c r="B37" s="861"/>
      <c r="C37" s="861"/>
      <c r="D37" s="861"/>
      <c r="E37" s="861"/>
      <c r="F37" s="852"/>
      <c r="G37" s="852"/>
      <c r="H37" s="852"/>
      <c r="I37" s="852"/>
      <c r="J37" s="852"/>
      <c r="K37" s="852"/>
      <c r="L37" s="844"/>
      <c r="M37" s="844"/>
      <c r="N37" s="844"/>
      <c r="O37" s="844"/>
      <c r="P37" s="844"/>
      <c r="Q37" s="844"/>
      <c r="R37" s="844"/>
      <c r="S37" s="844"/>
      <c r="T37" s="844"/>
      <c r="U37" s="844"/>
      <c r="V37" s="844"/>
      <c r="W37" s="844"/>
      <c r="X37" s="844"/>
      <c r="Y37" s="844"/>
      <c r="Z37" s="844"/>
      <c r="AA37" s="844"/>
      <c r="AB37" s="844"/>
      <c r="AC37" s="844"/>
      <c r="AD37" s="844"/>
      <c r="AE37" s="844"/>
      <c r="AF37" s="844"/>
    </row>
    <row r="38" spans="1:32">
      <c r="A38" s="844"/>
      <c r="B38" s="861"/>
      <c r="C38" s="861"/>
      <c r="D38" s="861"/>
      <c r="E38" s="861"/>
      <c r="F38" s="852"/>
      <c r="G38" s="852"/>
      <c r="H38" s="852"/>
      <c r="I38" s="852"/>
      <c r="J38" s="852"/>
      <c r="K38" s="852"/>
      <c r="L38" s="844"/>
      <c r="M38" s="844"/>
      <c r="N38" s="844"/>
      <c r="O38" s="844"/>
      <c r="P38" s="844"/>
      <c r="Q38" s="844"/>
      <c r="R38" s="844"/>
      <c r="S38" s="844"/>
      <c r="T38" s="844"/>
      <c r="U38" s="844"/>
      <c r="V38" s="844"/>
      <c r="W38" s="844"/>
      <c r="X38" s="844"/>
      <c r="Y38" s="844"/>
      <c r="Z38" s="844"/>
      <c r="AA38" s="844"/>
      <c r="AB38" s="844"/>
      <c r="AC38" s="844"/>
      <c r="AD38" s="844"/>
      <c r="AE38" s="844"/>
      <c r="AF38" s="844"/>
    </row>
    <row r="39" spans="1:32">
      <c r="A39" s="844"/>
      <c r="B39" s="861"/>
      <c r="C39" s="861"/>
      <c r="D39" s="861"/>
      <c r="E39" s="861"/>
      <c r="F39" s="852"/>
      <c r="G39" s="852"/>
      <c r="H39" s="852"/>
      <c r="I39" s="852"/>
      <c r="J39" s="852"/>
      <c r="K39" s="852"/>
      <c r="L39" s="844"/>
      <c r="M39" s="844"/>
      <c r="N39" s="844"/>
      <c r="O39" s="844"/>
      <c r="P39" s="844"/>
      <c r="Q39" s="844"/>
      <c r="R39" s="844"/>
      <c r="S39" s="844"/>
      <c r="T39" s="844"/>
      <c r="U39" s="844"/>
      <c r="V39" s="844"/>
      <c r="W39" s="844"/>
      <c r="X39" s="844"/>
      <c r="Y39" s="844"/>
      <c r="Z39" s="844"/>
      <c r="AA39" s="844"/>
      <c r="AB39" s="844"/>
      <c r="AC39" s="844"/>
      <c r="AD39" s="844"/>
      <c r="AE39" s="844"/>
      <c r="AF39" s="844"/>
    </row>
    <row r="40" spans="1:32">
      <c r="A40" s="844"/>
      <c r="B40" s="861"/>
      <c r="C40" s="861"/>
      <c r="D40" s="861"/>
      <c r="E40" s="861"/>
      <c r="F40" s="852"/>
      <c r="G40" s="852"/>
      <c r="H40" s="852"/>
      <c r="I40" s="852"/>
      <c r="J40" s="852"/>
      <c r="K40" s="852"/>
      <c r="L40" s="844"/>
      <c r="M40" s="844"/>
      <c r="N40" s="844"/>
      <c r="O40" s="844"/>
      <c r="P40" s="844"/>
      <c r="Q40" s="844"/>
      <c r="R40" s="844"/>
      <c r="S40" s="844"/>
      <c r="T40" s="844"/>
      <c r="U40" s="844"/>
      <c r="V40" s="844"/>
      <c r="W40" s="844"/>
      <c r="X40" s="844"/>
      <c r="Y40" s="844"/>
      <c r="Z40" s="844"/>
      <c r="AA40" s="844"/>
      <c r="AB40" s="844"/>
      <c r="AC40" s="844"/>
      <c r="AD40" s="844"/>
      <c r="AE40" s="844"/>
      <c r="AF40" s="844"/>
    </row>
    <row r="41" spans="1:32">
      <c r="A41" s="844"/>
      <c r="B41" s="861"/>
      <c r="C41" s="861"/>
      <c r="D41" s="861"/>
      <c r="E41" s="861"/>
      <c r="F41" s="852"/>
      <c r="G41" s="852"/>
      <c r="H41" s="852"/>
      <c r="I41" s="852"/>
      <c r="J41" s="852"/>
      <c r="K41" s="852"/>
      <c r="L41" s="844"/>
      <c r="M41" s="844"/>
      <c r="N41" s="844"/>
      <c r="O41" s="844"/>
      <c r="P41" s="844"/>
      <c r="Q41" s="844"/>
      <c r="R41" s="844"/>
      <c r="S41" s="844"/>
      <c r="T41" s="844"/>
      <c r="U41" s="844"/>
      <c r="V41" s="844"/>
      <c r="W41" s="844"/>
      <c r="X41" s="844"/>
      <c r="Y41" s="844"/>
      <c r="Z41" s="844"/>
      <c r="AA41" s="844"/>
      <c r="AB41" s="844"/>
      <c r="AC41" s="844"/>
      <c r="AD41" s="844"/>
      <c r="AE41" s="844"/>
      <c r="AF41" s="844"/>
    </row>
    <row r="42" spans="1:32">
      <c r="A42" s="844"/>
      <c r="B42" s="861"/>
      <c r="C42" s="861"/>
      <c r="D42" s="861"/>
      <c r="E42" s="861"/>
      <c r="F42" s="852"/>
      <c r="G42" s="852"/>
      <c r="H42" s="852"/>
      <c r="I42" s="852"/>
      <c r="J42" s="852"/>
      <c r="K42" s="852"/>
      <c r="L42" s="844"/>
      <c r="M42" s="844"/>
      <c r="N42" s="844"/>
      <c r="O42" s="844"/>
      <c r="P42" s="844"/>
      <c r="Q42" s="844"/>
      <c r="R42" s="844"/>
      <c r="S42" s="844"/>
      <c r="T42" s="844"/>
      <c r="U42" s="844"/>
      <c r="V42" s="844"/>
      <c r="W42" s="844"/>
      <c r="X42" s="844"/>
      <c r="Y42" s="844"/>
      <c r="Z42" s="844"/>
      <c r="AA42" s="844"/>
      <c r="AB42" s="844"/>
      <c r="AC42" s="844"/>
      <c r="AD42" s="844"/>
      <c r="AE42" s="844"/>
      <c r="AF42" s="844"/>
    </row>
    <row r="43" spans="1:32">
      <c r="A43" s="844"/>
      <c r="B43" s="861"/>
      <c r="C43" s="861"/>
      <c r="D43" s="861"/>
      <c r="E43" s="861"/>
      <c r="F43" s="852"/>
      <c r="G43" s="852"/>
      <c r="H43" s="852"/>
      <c r="I43" s="852"/>
      <c r="J43" s="852"/>
      <c r="K43" s="852"/>
      <c r="L43" s="844"/>
      <c r="M43" s="844"/>
      <c r="N43" s="844"/>
      <c r="O43" s="844"/>
      <c r="P43" s="844"/>
      <c r="Q43" s="844"/>
      <c r="R43" s="844"/>
      <c r="S43" s="844"/>
      <c r="T43" s="844"/>
      <c r="U43" s="844"/>
      <c r="V43" s="844"/>
      <c r="W43" s="844"/>
      <c r="X43" s="844"/>
      <c r="Y43" s="844"/>
      <c r="Z43" s="844"/>
      <c r="AA43" s="844"/>
      <c r="AB43" s="844"/>
      <c r="AC43" s="844"/>
      <c r="AD43" s="844"/>
      <c r="AE43" s="844"/>
      <c r="AF43" s="844"/>
    </row>
    <row r="44" spans="1:32">
      <c r="A44" s="844"/>
      <c r="B44" s="861"/>
      <c r="C44" s="861"/>
      <c r="D44" s="861"/>
      <c r="E44" s="861"/>
      <c r="F44" s="852"/>
      <c r="G44" s="852"/>
      <c r="H44" s="852"/>
      <c r="I44" s="852"/>
      <c r="J44" s="852"/>
      <c r="K44" s="852"/>
      <c r="L44" s="844"/>
      <c r="M44" s="844"/>
      <c r="N44" s="844"/>
      <c r="O44" s="844"/>
      <c r="P44" s="844"/>
      <c r="Q44" s="844"/>
      <c r="R44" s="844"/>
      <c r="S44" s="844"/>
      <c r="T44" s="844"/>
      <c r="U44" s="844"/>
      <c r="V44" s="844"/>
      <c r="W44" s="844"/>
      <c r="X44" s="844"/>
      <c r="Y44" s="844"/>
      <c r="Z44" s="844"/>
      <c r="AA44" s="844"/>
      <c r="AB44" s="844"/>
      <c r="AC44" s="844"/>
      <c r="AD44" s="844"/>
      <c r="AE44" s="844"/>
      <c r="AF44" s="844"/>
    </row>
    <row r="45" spans="1:32">
      <c r="A45" s="844"/>
      <c r="B45" s="861"/>
      <c r="C45" s="861"/>
      <c r="D45" s="861"/>
      <c r="E45" s="861"/>
      <c r="F45" s="852"/>
      <c r="G45" s="852"/>
      <c r="H45" s="852"/>
      <c r="I45" s="852"/>
      <c r="J45" s="852"/>
      <c r="K45" s="852"/>
      <c r="L45" s="844"/>
      <c r="M45" s="844"/>
      <c r="N45" s="844"/>
      <c r="O45" s="844"/>
      <c r="P45" s="844"/>
      <c r="Q45" s="844"/>
      <c r="R45" s="844"/>
      <c r="S45" s="844"/>
      <c r="T45" s="844"/>
      <c r="U45" s="844"/>
      <c r="V45" s="844"/>
      <c r="W45" s="844"/>
      <c r="X45" s="844"/>
      <c r="Y45" s="844"/>
      <c r="Z45" s="844"/>
      <c r="AA45" s="844"/>
      <c r="AB45" s="844"/>
      <c r="AC45" s="844"/>
      <c r="AD45" s="844"/>
      <c r="AE45" s="844"/>
      <c r="AF45" s="844"/>
    </row>
    <row r="46" spans="1:32">
      <c r="A46" s="844"/>
      <c r="B46" s="861"/>
      <c r="C46" s="861"/>
      <c r="D46" s="861"/>
      <c r="E46" s="861"/>
      <c r="F46" s="852"/>
      <c r="G46" s="852"/>
      <c r="H46" s="852"/>
      <c r="I46" s="852"/>
      <c r="J46" s="852"/>
      <c r="K46" s="852"/>
      <c r="L46" s="844"/>
      <c r="M46" s="844"/>
      <c r="N46" s="844"/>
      <c r="O46" s="844"/>
      <c r="P46" s="844"/>
      <c r="Q46" s="844"/>
      <c r="R46" s="844"/>
      <c r="S46" s="844"/>
      <c r="T46" s="844"/>
      <c r="U46" s="844"/>
      <c r="V46" s="844"/>
      <c r="W46" s="844"/>
      <c r="X46" s="844"/>
      <c r="Y46" s="844"/>
      <c r="Z46" s="844"/>
      <c r="AA46" s="844"/>
      <c r="AB46" s="844"/>
      <c r="AC46" s="844"/>
      <c r="AD46" s="844"/>
      <c r="AE46" s="844"/>
      <c r="AF46" s="844"/>
    </row>
    <row r="47" spans="1:32">
      <c r="A47" s="844"/>
      <c r="B47" s="861"/>
      <c r="C47" s="861"/>
      <c r="D47" s="861"/>
      <c r="E47" s="861"/>
      <c r="F47" s="852"/>
      <c r="G47" s="852"/>
      <c r="H47" s="852"/>
      <c r="I47" s="852"/>
      <c r="J47" s="852"/>
      <c r="K47" s="852"/>
      <c r="L47" s="844"/>
      <c r="M47" s="844"/>
      <c r="N47" s="844"/>
      <c r="O47" s="844"/>
      <c r="P47" s="844"/>
      <c r="Q47" s="844"/>
      <c r="R47" s="844"/>
      <c r="S47" s="844"/>
      <c r="T47" s="844"/>
      <c r="U47" s="844"/>
      <c r="V47" s="844"/>
      <c r="W47" s="844"/>
      <c r="X47" s="844"/>
      <c r="Y47" s="844"/>
      <c r="Z47" s="844"/>
      <c r="AA47" s="844"/>
      <c r="AB47" s="844"/>
      <c r="AC47" s="844"/>
      <c r="AD47" s="844"/>
      <c r="AE47" s="844"/>
      <c r="AF47" s="844"/>
    </row>
    <row r="48" spans="1:32">
      <c r="A48" s="844"/>
      <c r="B48" s="861"/>
      <c r="C48" s="861"/>
      <c r="D48" s="861"/>
      <c r="E48" s="861"/>
      <c r="F48" s="852"/>
      <c r="G48" s="852"/>
      <c r="H48" s="852"/>
      <c r="I48" s="852"/>
      <c r="J48" s="852"/>
      <c r="K48" s="852"/>
      <c r="L48" s="844"/>
      <c r="M48" s="844"/>
      <c r="N48" s="844"/>
      <c r="O48" s="844"/>
      <c r="P48" s="844"/>
      <c r="Q48" s="844"/>
      <c r="R48" s="844"/>
      <c r="S48" s="844"/>
      <c r="T48" s="844"/>
      <c r="U48" s="844"/>
      <c r="V48" s="844"/>
      <c r="W48" s="844"/>
      <c r="X48" s="844"/>
      <c r="Y48" s="844"/>
      <c r="Z48" s="844"/>
      <c r="AA48" s="844"/>
      <c r="AB48" s="844"/>
      <c r="AC48" s="844"/>
      <c r="AD48" s="844"/>
      <c r="AE48" s="844"/>
      <c r="AF48" s="844"/>
    </row>
    <row r="49" spans="1:32">
      <c r="A49" s="844"/>
      <c r="B49" s="861"/>
      <c r="C49" s="861"/>
      <c r="D49" s="861"/>
      <c r="E49" s="861"/>
      <c r="F49" s="852"/>
      <c r="G49" s="852"/>
      <c r="H49" s="852"/>
      <c r="I49" s="852"/>
      <c r="J49" s="852"/>
      <c r="K49" s="852"/>
      <c r="L49" s="844"/>
      <c r="M49" s="844"/>
      <c r="N49" s="844"/>
      <c r="O49" s="844"/>
      <c r="P49" s="844"/>
      <c r="Q49" s="844"/>
      <c r="R49" s="844"/>
      <c r="S49" s="844"/>
      <c r="T49" s="844"/>
      <c r="U49" s="844"/>
      <c r="V49" s="844"/>
      <c r="W49" s="844"/>
      <c r="X49" s="844"/>
      <c r="Y49" s="844"/>
      <c r="Z49" s="844"/>
      <c r="AA49" s="844"/>
      <c r="AB49" s="844"/>
      <c r="AC49" s="844"/>
      <c r="AD49" s="844"/>
      <c r="AE49" s="844"/>
      <c r="AF49" s="844"/>
    </row>
    <row r="50" spans="1:32">
      <c r="A50" s="844"/>
      <c r="B50" s="861"/>
      <c r="C50" s="861"/>
      <c r="D50" s="861"/>
      <c r="E50" s="861"/>
      <c r="F50" s="852"/>
      <c r="G50" s="852"/>
      <c r="H50" s="852"/>
      <c r="I50" s="852"/>
      <c r="J50" s="852"/>
      <c r="K50" s="852"/>
      <c r="L50" s="844"/>
      <c r="M50" s="844"/>
      <c r="N50" s="844"/>
      <c r="O50" s="844"/>
      <c r="P50" s="844"/>
      <c r="Q50" s="844"/>
      <c r="R50" s="844"/>
      <c r="S50" s="844"/>
      <c r="T50" s="844"/>
      <c r="U50" s="844"/>
      <c r="V50" s="844"/>
      <c r="W50" s="844"/>
      <c r="X50" s="844"/>
      <c r="Y50" s="844"/>
      <c r="Z50" s="844"/>
      <c r="AA50" s="844"/>
      <c r="AB50" s="844"/>
      <c r="AC50" s="844"/>
      <c r="AD50" s="844"/>
      <c r="AE50" s="844"/>
      <c r="AF50" s="844"/>
    </row>
    <row r="51" spans="1:32">
      <c r="A51" s="844"/>
      <c r="B51" s="861"/>
      <c r="C51" s="861"/>
      <c r="D51" s="861"/>
      <c r="E51" s="861"/>
      <c r="F51" s="852"/>
      <c r="G51" s="852"/>
      <c r="H51" s="852"/>
      <c r="I51" s="852"/>
      <c r="J51" s="852"/>
      <c r="K51" s="852"/>
      <c r="L51" s="844"/>
      <c r="M51" s="844"/>
      <c r="N51" s="844"/>
      <c r="O51" s="844"/>
      <c r="P51" s="844"/>
      <c r="Q51" s="844"/>
      <c r="R51" s="844"/>
      <c r="S51" s="844"/>
      <c r="T51" s="844"/>
      <c r="U51" s="844"/>
      <c r="V51" s="844"/>
      <c r="W51" s="844"/>
      <c r="X51" s="844"/>
      <c r="Y51" s="844"/>
      <c r="Z51" s="844"/>
      <c r="AA51" s="844"/>
      <c r="AB51" s="844"/>
      <c r="AC51" s="844"/>
      <c r="AD51" s="844"/>
      <c r="AE51" s="844"/>
      <c r="AF51" s="844"/>
    </row>
    <row r="52" spans="1:32">
      <c r="A52" s="844"/>
      <c r="B52" s="861"/>
      <c r="C52" s="861"/>
      <c r="D52" s="861"/>
      <c r="E52" s="861"/>
      <c r="F52" s="852"/>
      <c r="G52" s="852"/>
      <c r="H52" s="852"/>
      <c r="I52" s="852"/>
      <c r="J52" s="852"/>
      <c r="K52" s="852"/>
      <c r="L52" s="844"/>
      <c r="M52" s="844"/>
      <c r="N52" s="844"/>
      <c r="O52" s="844"/>
      <c r="P52" s="844"/>
      <c r="Q52" s="844"/>
      <c r="R52" s="844"/>
      <c r="S52" s="844"/>
      <c r="T52" s="844"/>
      <c r="U52" s="844"/>
      <c r="V52" s="844"/>
      <c r="W52" s="844"/>
      <c r="X52" s="844"/>
      <c r="Y52" s="844"/>
      <c r="Z52" s="844"/>
      <c r="AA52" s="844"/>
      <c r="AB52" s="844"/>
      <c r="AC52" s="844"/>
      <c r="AD52" s="844"/>
      <c r="AE52" s="844"/>
      <c r="AF52" s="844"/>
    </row>
    <row r="53" spans="1:32">
      <c r="A53" s="844"/>
      <c r="B53" s="861"/>
      <c r="C53" s="861"/>
      <c r="D53" s="861"/>
      <c r="E53" s="861"/>
      <c r="F53" s="852"/>
      <c r="G53" s="852"/>
      <c r="H53" s="852"/>
      <c r="I53" s="852"/>
      <c r="J53" s="852"/>
      <c r="K53" s="852"/>
      <c r="L53" s="844"/>
      <c r="M53" s="844"/>
      <c r="N53" s="844"/>
      <c r="O53" s="844"/>
      <c r="P53" s="844"/>
      <c r="Q53" s="844"/>
      <c r="R53" s="844"/>
      <c r="S53" s="844"/>
      <c r="T53" s="844"/>
      <c r="U53" s="844"/>
      <c r="V53" s="844"/>
      <c r="W53" s="844"/>
      <c r="X53" s="844"/>
      <c r="Y53" s="844"/>
      <c r="Z53" s="844"/>
      <c r="AA53" s="844"/>
      <c r="AB53" s="844"/>
      <c r="AC53" s="844"/>
      <c r="AD53" s="844"/>
      <c r="AE53" s="844"/>
      <c r="AF53" s="844"/>
    </row>
    <row r="54" spans="1:32">
      <c r="A54" s="844"/>
      <c r="B54" s="861"/>
      <c r="C54" s="861"/>
      <c r="D54" s="861"/>
      <c r="E54" s="861"/>
      <c r="F54" s="852"/>
      <c r="G54" s="852"/>
      <c r="H54" s="852"/>
      <c r="I54" s="852"/>
      <c r="J54" s="852"/>
      <c r="K54" s="852"/>
      <c r="L54" s="844"/>
      <c r="M54" s="844"/>
      <c r="N54" s="844"/>
      <c r="O54" s="844"/>
      <c r="P54" s="844"/>
      <c r="Q54" s="844"/>
      <c r="R54" s="844"/>
      <c r="S54" s="844"/>
      <c r="T54" s="844"/>
      <c r="U54" s="844"/>
      <c r="V54" s="844"/>
      <c r="W54" s="844"/>
      <c r="X54" s="844"/>
      <c r="Y54" s="844"/>
      <c r="Z54" s="844"/>
      <c r="AA54" s="844"/>
      <c r="AB54" s="844"/>
      <c r="AC54" s="844"/>
      <c r="AD54" s="844"/>
      <c r="AE54" s="844"/>
      <c r="AF54" s="844"/>
    </row>
    <row r="55" spans="1:32">
      <c r="A55" s="844"/>
      <c r="B55" s="861"/>
      <c r="C55" s="861"/>
      <c r="D55" s="861"/>
      <c r="E55" s="861"/>
      <c r="F55" s="852"/>
      <c r="G55" s="852"/>
      <c r="H55" s="852"/>
      <c r="I55" s="852"/>
      <c r="J55" s="852"/>
      <c r="K55" s="852"/>
      <c r="L55" s="844"/>
      <c r="M55" s="844"/>
      <c r="N55" s="844"/>
      <c r="O55" s="844"/>
      <c r="P55" s="844"/>
      <c r="Q55" s="844"/>
      <c r="R55" s="844"/>
      <c r="S55" s="844"/>
      <c r="T55" s="844"/>
      <c r="U55" s="844"/>
      <c r="V55" s="844"/>
      <c r="W55" s="844"/>
      <c r="X55" s="844"/>
      <c r="Y55" s="844"/>
      <c r="Z55" s="844"/>
      <c r="AA55" s="844"/>
      <c r="AB55" s="844"/>
      <c r="AC55" s="844"/>
      <c r="AD55" s="844"/>
      <c r="AE55" s="844"/>
      <c r="AF55" s="844"/>
    </row>
    <row r="56" spans="1:32">
      <c r="A56" s="844"/>
      <c r="B56" s="861"/>
      <c r="C56" s="861"/>
      <c r="D56" s="861"/>
      <c r="E56" s="861"/>
      <c r="F56" s="852"/>
      <c r="G56" s="852"/>
      <c r="H56" s="852"/>
      <c r="I56" s="852"/>
      <c r="J56" s="852"/>
      <c r="K56" s="852"/>
      <c r="L56" s="844"/>
      <c r="M56" s="844"/>
      <c r="N56" s="844"/>
      <c r="O56" s="844"/>
      <c r="P56" s="844"/>
      <c r="Q56" s="844"/>
      <c r="R56" s="844"/>
      <c r="S56" s="844"/>
      <c r="T56" s="844"/>
      <c r="U56" s="844"/>
      <c r="V56" s="844"/>
      <c r="W56" s="844"/>
      <c r="X56" s="844"/>
      <c r="Y56" s="844"/>
      <c r="Z56" s="844"/>
      <c r="AA56" s="844"/>
      <c r="AB56" s="844"/>
      <c r="AC56" s="844"/>
      <c r="AD56" s="844"/>
      <c r="AE56" s="844"/>
      <c r="AF56" s="844"/>
    </row>
    <row r="57" spans="1:32">
      <c r="A57" s="844"/>
      <c r="B57" s="861"/>
      <c r="C57" s="861"/>
      <c r="D57" s="861"/>
      <c r="E57" s="861"/>
      <c r="F57" s="852"/>
      <c r="G57" s="852"/>
      <c r="H57" s="852"/>
      <c r="I57" s="852"/>
      <c r="J57" s="852"/>
      <c r="K57" s="852"/>
      <c r="L57" s="844"/>
      <c r="M57" s="844"/>
      <c r="N57" s="844"/>
      <c r="O57" s="844"/>
      <c r="P57" s="844"/>
      <c r="Q57" s="844"/>
      <c r="R57" s="844"/>
      <c r="S57" s="844"/>
      <c r="T57" s="844"/>
      <c r="U57" s="844"/>
      <c r="V57" s="844"/>
      <c r="W57" s="844"/>
      <c r="X57" s="844"/>
      <c r="Y57" s="844"/>
      <c r="Z57" s="844"/>
      <c r="AA57" s="844"/>
      <c r="AB57" s="844"/>
      <c r="AC57" s="844"/>
      <c r="AD57" s="844"/>
      <c r="AE57" s="844"/>
      <c r="AF57" s="844"/>
    </row>
    <row r="58" spans="1:32">
      <c r="A58" s="844"/>
      <c r="B58" s="861"/>
      <c r="C58" s="861"/>
      <c r="D58" s="861"/>
      <c r="E58" s="861"/>
      <c r="F58" s="852"/>
      <c r="G58" s="852"/>
      <c r="H58" s="852"/>
      <c r="I58" s="852"/>
      <c r="J58" s="852"/>
      <c r="K58" s="852"/>
      <c r="L58" s="844"/>
      <c r="M58" s="844"/>
      <c r="N58" s="844"/>
      <c r="O58" s="844"/>
      <c r="P58" s="844"/>
      <c r="Q58" s="844"/>
      <c r="R58" s="844"/>
      <c r="S58" s="844"/>
      <c r="T58" s="844"/>
      <c r="U58" s="844"/>
      <c r="V58" s="844"/>
      <c r="W58" s="844"/>
      <c r="X58" s="844"/>
      <c r="Y58" s="844"/>
      <c r="Z58" s="844"/>
      <c r="AA58" s="844"/>
      <c r="AB58" s="844"/>
      <c r="AC58" s="844"/>
      <c r="AD58" s="844"/>
      <c r="AE58" s="844"/>
      <c r="AF58" s="844"/>
    </row>
    <row r="59" spans="1:32">
      <c r="A59" s="844"/>
      <c r="B59" s="861"/>
      <c r="C59" s="861"/>
      <c r="D59" s="861"/>
      <c r="E59" s="861"/>
      <c r="F59" s="852"/>
      <c r="G59" s="852"/>
      <c r="H59" s="852"/>
      <c r="I59" s="852"/>
      <c r="J59" s="852"/>
      <c r="K59" s="852"/>
      <c r="L59" s="844"/>
      <c r="M59" s="844"/>
      <c r="N59" s="844"/>
      <c r="O59" s="844"/>
      <c r="P59" s="844"/>
      <c r="Q59" s="844"/>
      <c r="R59" s="844"/>
      <c r="S59" s="844"/>
      <c r="T59" s="844"/>
      <c r="U59" s="844"/>
      <c r="V59" s="844"/>
      <c r="W59" s="844"/>
      <c r="X59" s="844"/>
      <c r="Y59" s="844"/>
      <c r="Z59" s="844"/>
      <c r="AA59" s="844"/>
      <c r="AB59" s="844"/>
      <c r="AC59" s="844"/>
      <c r="AD59" s="844"/>
      <c r="AE59" s="844"/>
      <c r="AF59" s="844"/>
    </row>
    <row r="60" spans="1:32">
      <c r="A60" s="844"/>
      <c r="B60" s="861"/>
      <c r="C60" s="861"/>
      <c r="D60" s="861"/>
      <c r="E60" s="861"/>
      <c r="F60" s="852"/>
      <c r="G60" s="852"/>
      <c r="H60" s="852"/>
      <c r="I60" s="852"/>
      <c r="J60" s="852"/>
      <c r="K60" s="852"/>
      <c r="L60" s="844"/>
      <c r="M60" s="844"/>
      <c r="N60" s="844"/>
      <c r="O60" s="844"/>
      <c r="P60" s="844"/>
      <c r="Q60" s="844"/>
      <c r="R60" s="844"/>
      <c r="S60" s="844"/>
      <c r="T60" s="844"/>
      <c r="U60" s="844"/>
      <c r="V60" s="844"/>
      <c r="W60" s="844"/>
      <c r="X60" s="844"/>
      <c r="Y60" s="844"/>
      <c r="Z60" s="844"/>
      <c r="AA60" s="844"/>
      <c r="AB60" s="844"/>
      <c r="AC60" s="844"/>
      <c r="AD60" s="844"/>
      <c r="AE60" s="844"/>
      <c r="AF60" s="844"/>
    </row>
    <row r="61" spans="1:32">
      <c r="A61" s="844"/>
      <c r="B61" s="861"/>
      <c r="C61" s="861"/>
      <c r="D61" s="861"/>
      <c r="E61" s="861"/>
      <c r="F61" s="852"/>
      <c r="G61" s="852"/>
      <c r="H61" s="852"/>
      <c r="I61" s="852"/>
      <c r="J61" s="852"/>
      <c r="K61" s="852"/>
      <c r="L61" s="844"/>
      <c r="M61" s="844"/>
      <c r="N61" s="844"/>
      <c r="O61" s="844"/>
      <c r="P61" s="844"/>
      <c r="Q61" s="844"/>
      <c r="R61" s="844"/>
      <c r="S61" s="844"/>
      <c r="T61" s="844"/>
      <c r="U61" s="844"/>
      <c r="V61" s="844"/>
      <c r="W61" s="844"/>
      <c r="X61" s="844"/>
      <c r="Y61" s="844"/>
      <c r="Z61" s="844"/>
      <c r="AA61" s="844"/>
      <c r="AB61" s="844"/>
      <c r="AC61" s="844"/>
      <c r="AD61" s="844"/>
      <c r="AE61" s="844"/>
      <c r="AF61" s="844"/>
    </row>
    <row r="62" spans="1:32">
      <c r="A62" s="844"/>
      <c r="B62" s="861"/>
      <c r="C62" s="861"/>
      <c r="D62" s="861"/>
      <c r="E62" s="861"/>
      <c r="F62" s="852"/>
      <c r="G62" s="852"/>
      <c r="H62" s="852"/>
      <c r="I62" s="852"/>
      <c r="J62" s="852"/>
      <c r="K62" s="852"/>
      <c r="L62" s="844"/>
      <c r="M62" s="844"/>
      <c r="N62" s="844"/>
      <c r="O62" s="844"/>
      <c r="P62" s="844"/>
      <c r="Q62" s="844"/>
      <c r="R62" s="844"/>
      <c r="S62" s="844"/>
      <c r="T62" s="844"/>
      <c r="U62" s="844"/>
      <c r="V62" s="844"/>
      <c r="W62" s="844"/>
      <c r="X62" s="844"/>
      <c r="Y62" s="844"/>
      <c r="Z62" s="844"/>
      <c r="AA62" s="844"/>
      <c r="AB62" s="844"/>
      <c r="AC62" s="844"/>
      <c r="AD62" s="844"/>
      <c r="AE62" s="844"/>
      <c r="AF62" s="844"/>
    </row>
    <row r="63" spans="1:32">
      <c r="A63" s="844"/>
      <c r="B63" s="861"/>
      <c r="C63" s="861"/>
      <c r="D63" s="861"/>
      <c r="E63" s="861"/>
      <c r="F63" s="852"/>
      <c r="G63" s="852"/>
      <c r="H63" s="852"/>
      <c r="I63" s="852"/>
      <c r="J63" s="852"/>
      <c r="K63" s="852"/>
      <c r="L63" s="844"/>
      <c r="M63" s="844"/>
      <c r="N63" s="844"/>
      <c r="O63" s="844"/>
      <c r="P63" s="844"/>
      <c r="Q63" s="844"/>
      <c r="R63" s="844"/>
      <c r="S63" s="844"/>
      <c r="T63" s="844"/>
      <c r="U63" s="844"/>
      <c r="V63" s="844"/>
      <c r="W63" s="844"/>
      <c r="X63" s="844"/>
      <c r="Y63" s="844"/>
      <c r="Z63" s="844"/>
      <c r="AA63" s="844"/>
      <c r="AB63" s="844"/>
      <c r="AC63" s="844"/>
      <c r="AD63" s="844"/>
      <c r="AE63" s="844"/>
      <c r="AF63" s="844"/>
    </row>
    <row r="64" spans="1:32">
      <c r="A64" s="844"/>
      <c r="B64" s="861"/>
      <c r="C64" s="861"/>
      <c r="D64" s="861"/>
      <c r="E64" s="861"/>
      <c r="F64" s="852"/>
      <c r="G64" s="852"/>
      <c r="H64" s="852"/>
      <c r="I64" s="852"/>
      <c r="J64" s="852"/>
      <c r="K64" s="852"/>
      <c r="L64" s="844"/>
      <c r="M64" s="844"/>
      <c r="N64" s="844"/>
      <c r="O64" s="844"/>
      <c r="P64" s="844"/>
      <c r="Q64" s="844"/>
      <c r="R64" s="844"/>
      <c r="S64" s="844"/>
      <c r="T64" s="844"/>
      <c r="U64" s="844"/>
      <c r="V64" s="844"/>
      <c r="W64" s="844"/>
      <c r="X64" s="844"/>
      <c r="Y64" s="844"/>
      <c r="Z64" s="844"/>
      <c r="AA64" s="844"/>
      <c r="AB64" s="844"/>
      <c r="AC64" s="844"/>
      <c r="AD64" s="844"/>
      <c r="AE64" s="844"/>
      <c r="AF64" s="844"/>
    </row>
    <row r="65" spans="1:32">
      <c r="A65" s="844"/>
      <c r="B65" s="861"/>
      <c r="C65" s="861"/>
      <c r="D65" s="861"/>
      <c r="E65" s="861"/>
      <c r="F65" s="852"/>
      <c r="G65" s="852"/>
      <c r="H65" s="852"/>
      <c r="I65" s="852"/>
      <c r="J65" s="852"/>
      <c r="K65" s="852"/>
      <c r="L65" s="844"/>
      <c r="M65" s="844"/>
      <c r="N65" s="844"/>
      <c r="O65" s="844"/>
      <c r="P65" s="844"/>
      <c r="Q65" s="844"/>
      <c r="R65" s="844"/>
      <c r="S65" s="844"/>
      <c r="T65" s="844"/>
      <c r="U65" s="844"/>
      <c r="V65" s="844"/>
      <c r="W65" s="844"/>
      <c r="X65" s="844"/>
      <c r="Y65" s="844"/>
      <c r="Z65" s="844"/>
      <c r="AA65" s="844"/>
      <c r="AB65" s="844"/>
      <c r="AC65" s="844"/>
      <c r="AD65" s="844"/>
      <c r="AE65" s="844"/>
      <c r="AF65" s="844"/>
    </row>
    <row r="66" spans="1:32">
      <c r="A66" s="844"/>
      <c r="B66" s="861"/>
      <c r="C66" s="861"/>
      <c r="D66" s="861"/>
      <c r="E66" s="861"/>
      <c r="F66" s="852"/>
      <c r="G66" s="852"/>
      <c r="H66" s="852"/>
      <c r="I66" s="852"/>
      <c r="J66" s="852"/>
      <c r="K66" s="852"/>
      <c r="L66" s="844"/>
      <c r="M66" s="844"/>
      <c r="N66" s="844"/>
      <c r="O66" s="844"/>
      <c r="P66" s="844"/>
      <c r="Q66" s="844"/>
      <c r="R66" s="844"/>
      <c r="S66" s="844"/>
      <c r="T66" s="844"/>
      <c r="U66" s="844"/>
      <c r="V66" s="844"/>
      <c r="W66" s="844"/>
      <c r="X66" s="844"/>
      <c r="Y66" s="844"/>
      <c r="Z66" s="844"/>
      <c r="AA66" s="844"/>
      <c r="AB66" s="844"/>
      <c r="AC66" s="844"/>
      <c r="AD66" s="844"/>
      <c r="AE66" s="844"/>
      <c r="AF66" s="844"/>
    </row>
    <row r="67" spans="1:32">
      <c r="A67" s="844"/>
      <c r="B67" s="861"/>
      <c r="C67" s="861"/>
      <c r="D67" s="861"/>
      <c r="E67" s="861"/>
      <c r="F67" s="852"/>
      <c r="G67" s="852"/>
      <c r="H67" s="852"/>
      <c r="I67" s="852"/>
      <c r="J67" s="852"/>
      <c r="K67" s="852"/>
      <c r="L67" s="844"/>
      <c r="M67" s="844"/>
      <c r="N67" s="844"/>
      <c r="O67" s="844"/>
      <c r="P67" s="844"/>
      <c r="Q67" s="844"/>
      <c r="R67" s="844"/>
      <c r="S67" s="844"/>
      <c r="T67" s="844"/>
      <c r="U67" s="844"/>
      <c r="V67" s="844"/>
      <c r="W67" s="844"/>
      <c r="X67" s="844"/>
      <c r="Y67" s="844"/>
      <c r="Z67" s="844"/>
      <c r="AA67" s="844"/>
      <c r="AB67" s="844"/>
      <c r="AC67" s="844"/>
      <c r="AD67" s="844"/>
      <c r="AE67" s="844"/>
      <c r="AF67" s="844"/>
    </row>
    <row r="68" spans="1:32">
      <c r="A68" s="844"/>
      <c r="B68" s="861"/>
      <c r="C68" s="861"/>
      <c r="D68" s="861"/>
      <c r="E68" s="861"/>
      <c r="F68" s="852"/>
      <c r="G68" s="852"/>
      <c r="H68" s="852"/>
      <c r="I68" s="852"/>
      <c r="J68" s="852"/>
      <c r="K68" s="852"/>
      <c r="L68" s="844"/>
      <c r="M68" s="844"/>
      <c r="N68" s="844"/>
      <c r="O68" s="844"/>
      <c r="P68" s="844"/>
      <c r="Q68" s="844"/>
      <c r="R68" s="844"/>
      <c r="S68" s="844"/>
      <c r="T68" s="844"/>
      <c r="U68" s="844"/>
      <c r="V68" s="844"/>
      <c r="W68" s="844"/>
      <c r="X68" s="844"/>
      <c r="Y68" s="844"/>
      <c r="Z68" s="844"/>
      <c r="AA68" s="844"/>
      <c r="AB68" s="844"/>
      <c r="AC68" s="844"/>
      <c r="AD68" s="844"/>
      <c r="AE68" s="844"/>
      <c r="AF68" s="844"/>
    </row>
    <row r="69" spans="1:32">
      <c r="A69" s="844"/>
      <c r="B69" s="861"/>
      <c r="C69" s="861"/>
      <c r="D69" s="861"/>
      <c r="E69" s="861"/>
      <c r="F69" s="852"/>
      <c r="G69" s="852"/>
      <c r="H69" s="852"/>
      <c r="I69" s="852"/>
      <c r="J69" s="852"/>
      <c r="K69" s="852"/>
      <c r="L69" s="844"/>
      <c r="M69" s="844"/>
      <c r="N69" s="844"/>
      <c r="O69" s="844"/>
      <c r="P69" s="844"/>
      <c r="Q69" s="844"/>
      <c r="R69" s="844"/>
      <c r="S69" s="844"/>
      <c r="T69" s="844"/>
      <c r="U69" s="844"/>
      <c r="V69" s="844"/>
      <c r="W69" s="844"/>
      <c r="X69" s="844"/>
      <c r="Y69" s="844"/>
      <c r="Z69" s="844"/>
      <c r="AA69" s="844"/>
      <c r="AB69" s="844"/>
      <c r="AC69" s="844"/>
      <c r="AD69" s="844"/>
      <c r="AE69" s="844"/>
      <c r="AF69" s="844"/>
    </row>
    <row r="70" spans="1:32">
      <c r="A70" s="844"/>
      <c r="B70" s="861"/>
      <c r="C70" s="861"/>
      <c r="D70" s="861"/>
      <c r="E70" s="861"/>
      <c r="F70" s="852"/>
      <c r="G70" s="852"/>
      <c r="H70" s="852"/>
      <c r="I70" s="852"/>
      <c r="J70" s="852"/>
      <c r="K70" s="852"/>
      <c r="L70" s="844"/>
      <c r="M70" s="844"/>
      <c r="N70" s="844"/>
      <c r="O70" s="844"/>
      <c r="P70" s="844"/>
      <c r="Q70" s="844"/>
      <c r="R70" s="844"/>
      <c r="S70" s="844"/>
      <c r="T70" s="844"/>
      <c r="U70" s="844"/>
      <c r="V70" s="844"/>
      <c r="W70" s="844"/>
      <c r="X70" s="844"/>
      <c r="Y70" s="844"/>
      <c r="Z70" s="844"/>
      <c r="AA70" s="844"/>
      <c r="AB70" s="844"/>
      <c r="AC70" s="844"/>
      <c r="AD70" s="844"/>
      <c r="AE70" s="844"/>
      <c r="AF70" s="844"/>
    </row>
    <row r="71" spans="1:32">
      <c r="A71" s="844"/>
      <c r="B71" s="861"/>
      <c r="C71" s="861"/>
      <c r="D71" s="861"/>
      <c r="E71" s="861"/>
      <c r="F71" s="852"/>
      <c r="G71" s="852"/>
      <c r="H71" s="852"/>
      <c r="I71" s="852"/>
      <c r="J71" s="852"/>
      <c r="K71" s="852"/>
      <c r="L71" s="844"/>
      <c r="M71" s="844"/>
      <c r="N71" s="844"/>
      <c r="O71" s="844"/>
      <c r="P71" s="844"/>
      <c r="Q71" s="844"/>
      <c r="R71" s="844"/>
      <c r="S71" s="844"/>
      <c r="T71" s="844"/>
      <c r="U71" s="844"/>
      <c r="V71" s="844"/>
      <c r="W71" s="844"/>
      <c r="X71" s="844"/>
      <c r="Y71" s="844"/>
      <c r="Z71" s="844"/>
      <c r="AA71" s="844"/>
      <c r="AB71" s="844"/>
      <c r="AC71" s="844"/>
      <c r="AD71" s="844"/>
      <c r="AE71" s="844"/>
      <c r="AF71" s="844"/>
    </row>
    <row r="72" spans="1:32">
      <c r="A72" s="844"/>
      <c r="B72" s="861"/>
      <c r="C72" s="861"/>
      <c r="D72" s="861"/>
      <c r="E72" s="861"/>
      <c r="F72" s="852"/>
      <c r="G72" s="852"/>
      <c r="H72" s="852"/>
      <c r="I72" s="852"/>
      <c r="J72" s="852"/>
      <c r="K72" s="852"/>
      <c r="L72" s="844"/>
      <c r="M72" s="844"/>
      <c r="N72" s="844"/>
      <c r="O72" s="844"/>
      <c r="P72" s="844"/>
      <c r="Q72" s="844"/>
      <c r="R72" s="844"/>
      <c r="S72" s="844"/>
      <c r="T72" s="844"/>
      <c r="U72" s="844"/>
      <c r="V72" s="844"/>
      <c r="W72" s="844"/>
      <c r="X72" s="844"/>
      <c r="Y72" s="844"/>
      <c r="Z72" s="844"/>
      <c r="AA72" s="844"/>
      <c r="AB72" s="844"/>
      <c r="AC72" s="844"/>
      <c r="AD72" s="844"/>
      <c r="AE72" s="844"/>
      <c r="AF72" s="844"/>
    </row>
    <row r="73" spans="1:32">
      <c r="A73" s="844"/>
      <c r="B73" s="861"/>
      <c r="C73" s="861"/>
      <c r="D73" s="861"/>
      <c r="E73" s="861"/>
      <c r="F73" s="852"/>
      <c r="G73" s="852"/>
      <c r="H73" s="852"/>
      <c r="I73" s="852"/>
      <c r="J73" s="852"/>
      <c r="K73" s="852"/>
      <c r="L73" s="844"/>
      <c r="M73" s="844"/>
      <c r="N73" s="844"/>
      <c r="O73" s="844"/>
      <c r="P73" s="844"/>
      <c r="Q73" s="844"/>
      <c r="R73" s="844"/>
      <c r="S73" s="844"/>
      <c r="T73" s="844"/>
      <c r="U73" s="844"/>
      <c r="V73" s="844"/>
      <c r="W73" s="844"/>
      <c r="X73" s="844"/>
      <c r="Y73" s="844"/>
      <c r="Z73" s="844"/>
      <c r="AA73" s="844"/>
      <c r="AB73" s="844"/>
      <c r="AC73" s="844"/>
      <c r="AD73" s="844"/>
      <c r="AE73" s="844"/>
      <c r="AF73" s="844"/>
    </row>
    <row r="74" spans="1:32">
      <c r="A74" s="844"/>
      <c r="B74" s="861"/>
      <c r="C74" s="861"/>
      <c r="D74" s="861"/>
      <c r="E74" s="861"/>
      <c r="F74" s="852"/>
      <c r="G74" s="852"/>
      <c r="H74" s="852"/>
      <c r="I74" s="852"/>
      <c r="J74" s="852"/>
      <c r="K74" s="852"/>
      <c r="L74" s="844"/>
      <c r="M74" s="844"/>
      <c r="N74" s="844"/>
      <c r="O74" s="844"/>
      <c r="P74" s="844"/>
      <c r="Q74" s="844"/>
      <c r="R74" s="844"/>
      <c r="S74" s="844"/>
      <c r="T74" s="844"/>
      <c r="U74" s="844"/>
      <c r="V74" s="844"/>
      <c r="W74" s="844"/>
      <c r="X74" s="844"/>
      <c r="Y74" s="844"/>
      <c r="Z74" s="844"/>
      <c r="AA74" s="844"/>
      <c r="AB74" s="844"/>
      <c r="AC74" s="844"/>
      <c r="AD74" s="844"/>
      <c r="AE74" s="844"/>
      <c r="AF74" s="844"/>
    </row>
    <row r="75" spans="1:32">
      <c r="A75" s="844"/>
      <c r="B75" s="861"/>
      <c r="C75" s="861"/>
      <c r="D75" s="861"/>
      <c r="E75" s="861"/>
      <c r="F75" s="852"/>
      <c r="G75" s="852"/>
      <c r="H75" s="852"/>
      <c r="I75" s="852"/>
      <c r="J75" s="852"/>
      <c r="K75" s="852"/>
      <c r="L75" s="844"/>
      <c r="M75" s="844"/>
      <c r="N75" s="844"/>
      <c r="O75" s="844"/>
      <c r="P75" s="844"/>
      <c r="Q75" s="844"/>
      <c r="R75" s="844"/>
      <c r="S75" s="844"/>
      <c r="T75" s="844"/>
      <c r="U75" s="844"/>
      <c r="V75" s="844"/>
      <c r="W75" s="844"/>
      <c r="X75" s="844"/>
      <c r="Y75" s="844"/>
      <c r="Z75" s="844"/>
      <c r="AA75" s="844"/>
      <c r="AB75" s="844"/>
      <c r="AC75" s="844"/>
      <c r="AD75" s="844"/>
      <c r="AE75" s="844"/>
      <c r="AF75" s="844"/>
    </row>
    <row r="76" spans="1:32">
      <c r="A76" s="844"/>
      <c r="B76" s="861"/>
      <c r="C76" s="861"/>
      <c r="D76" s="861"/>
      <c r="E76" s="861"/>
      <c r="F76" s="852"/>
      <c r="G76" s="852"/>
      <c r="H76" s="852"/>
      <c r="I76" s="852"/>
      <c r="J76" s="852"/>
      <c r="K76" s="852"/>
      <c r="L76" s="844"/>
      <c r="M76" s="844"/>
      <c r="N76" s="844"/>
      <c r="O76" s="844"/>
      <c r="P76" s="844"/>
      <c r="Q76" s="844"/>
      <c r="R76" s="844"/>
      <c r="S76" s="844"/>
      <c r="T76" s="844"/>
      <c r="U76" s="844"/>
      <c r="V76" s="844"/>
      <c r="W76" s="844"/>
      <c r="X76" s="844"/>
      <c r="Y76" s="844"/>
      <c r="Z76" s="844"/>
      <c r="AA76" s="844"/>
      <c r="AB76" s="844"/>
      <c r="AC76" s="844"/>
      <c r="AD76" s="844"/>
      <c r="AE76" s="844"/>
      <c r="AF76" s="844"/>
    </row>
    <row r="77" spans="1:32">
      <c r="A77" s="844"/>
      <c r="B77" s="861"/>
      <c r="C77" s="861"/>
      <c r="D77" s="861"/>
      <c r="E77" s="861"/>
      <c r="F77" s="852"/>
      <c r="G77" s="852"/>
      <c r="H77" s="852"/>
      <c r="I77" s="852"/>
      <c r="J77" s="852"/>
      <c r="K77" s="852"/>
      <c r="L77" s="844"/>
      <c r="M77" s="844"/>
      <c r="N77" s="844"/>
      <c r="O77" s="844"/>
      <c r="P77" s="844"/>
      <c r="Q77" s="844"/>
      <c r="R77" s="844"/>
      <c r="S77" s="844"/>
      <c r="T77" s="844"/>
      <c r="U77" s="844"/>
      <c r="V77" s="844"/>
      <c r="W77" s="844"/>
      <c r="X77" s="844"/>
      <c r="Y77" s="844"/>
      <c r="Z77" s="844"/>
      <c r="AA77" s="844"/>
      <c r="AB77" s="844"/>
      <c r="AC77" s="844"/>
      <c r="AD77" s="844"/>
      <c r="AE77" s="844"/>
      <c r="AF77" s="844"/>
    </row>
    <row r="78" spans="1:32">
      <c r="A78" s="844"/>
      <c r="B78" s="861"/>
      <c r="C78" s="861"/>
      <c r="D78" s="861"/>
      <c r="E78" s="861"/>
      <c r="F78" s="852"/>
      <c r="G78" s="852"/>
      <c r="H78" s="852"/>
      <c r="I78" s="852"/>
      <c r="J78" s="852"/>
      <c r="K78" s="852"/>
      <c r="L78" s="844"/>
      <c r="M78" s="844"/>
      <c r="N78" s="844"/>
      <c r="O78" s="844"/>
      <c r="P78" s="844"/>
      <c r="Q78" s="844"/>
      <c r="R78" s="844"/>
      <c r="S78" s="844"/>
      <c r="T78" s="844"/>
      <c r="U78" s="844"/>
      <c r="V78" s="844"/>
      <c r="W78" s="844"/>
      <c r="X78" s="844"/>
      <c r="Y78" s="844"/>
      <c r="Z78" s="844"/>
      <c r="AA78" s="844"/>
      <c r="AB78" s="844"/>
      <c r="AC78" s="844"/>
      <c r="AD78" s="844"/>
      <c r="AE78" s="844"/>
      <c r="AF78" s="844"/>
    </row>
    <row r="79" spans="1:32">
      <c r="A79" s="844"/>
      <c r="B79" s="861"/>
      <c r="C79" s="861"/>
      <c r="D79" s="861"/>
      <c r="E79" s="861"/>
      <c r="F79" s="852"/>
      <c r="G79" s="852"/>
      <c r="H79" s="852"/>
      <c r="I79" s="852"/>
      <c r="J79" s="852"/>
      <c r="K79" s="852"/>
      <c r="L79" s="844"/>
      <c r="M79" s="844"/>
      <c r="N79" s="844"/>
      <c r="O79" s="844"/>
      <c r="P79" s="844"/>
      <c r="Q79" s="844"/>
      <c r="R79" s="844"/>
      <c r="S79" s="844"/>
      <c r="T79" s="844"/>
      <c r="U79" s="844"/>
      <c r="V79" s="844"/>
      <c r="W79" s="844"/>
      <c r="X79" s="844"/>
      <c r="Y79" s="844"/>
      <c r="Z79" s="844"/>
      <c r="AA79" s="844"/>
      <c r="AB79" s="844"/>
      <c r="AC79" s="844"/>
      <c r="AD79" s="844"/>
      <c r="AE79" s="844"/>
      <c r="AF79" s="844"/>
    </row>
    <row r="80" spans="1:32">
      <c r="A80" s="844"/>
      <c r="B80" s="861"/>
      <c r="C80" s="861"/>
      <c r="D80" s="861"/>
      <c r="E80" s="861"/>
      <c r="F80" s="852"/>
      <c r="G80" s="852"/>
      <c r="H80" s="852"/>
      <c r="I80" s="852"/>
      <c r="J80" s="852"/>
      <c r="K80" s="852"/>
      <c r="L80" s="844"/>
      <c r="M80" s="844"/>
      <c r="N80" s="844"/>
      <c r="O80" s="844"/>
      <c r="P80" s="844"/>
      <c r="Q80" s="844"/>
      <c r="R80" s="844"/>
      <c r="S80" s="844"/>
      <c r="T80" s="844"/>
      <c r="U80" s="844"/>
      <c r="V80" s="844"/>
      <c r="W80" s="844"/>
      <c r="X80" s="844"/>
      <c r="Y80" s="844"/>
      <c r="Z80" s="844"/>
      <c r="AA80" s="844"/>
      <c r="AB80" s="844"/>
      <c r="AC80" s="844"/>
      <c r="AD80" s="844"/>
      <c r="AE80" s="844"/>
      <c r="AF80" s="844"/>
    </row>
    <row r="81" spans="1:32">
      <c r="A81" s="844"/>
      <c r="B81" s="861"/>
      <c r="C81" s="861"/>
      <c r="D81" s="861"/>
      <c r="E81" s="861"/>
      <c r="F81" s="852"/>
      <c r="G81" s="852"/>
      <c r="H81" s="852"/>
      <c r="I81" s="852"/>
      <c r="J81" s="852"/>
      <c r="K81" s="852"/>
      <c r="L81" s="844"/>
      <c r="M81" s="844"/>
      <c r="N81" s="844"/>
      <c r="O81" s="844"/>
      <c r="P81" s="844"/>
      <c r="Q81" s="844"/>
      <c r="R81" s="844"/>
      <c r="S81" s="844"/>
      <c r="T81" s="844"/>
      <c r="U81" s="844"/>
      <c r="V81" s="844"/>
      <c r="W81" s="844"/>
      <c r="X81" s="844"/>
      <c r="Y81" s="844"/>
      <c r="Z81" s="844"/>
      <c r="AA81" s="844"/>
      <c r="AB81" s="844"/>
      <c r="AC81" s="844"/>
      <c r="AD81" s="844"/>
      <c r="AE81" s="844"/>
      <c r="AF81" s="844"/>
    </row>
    <row r="82" spans="1:32">
      <c r="A82" s="844"/>
      <c r="B82" s="861"/>
      <c r="C82" s="861"/>
      <c r="D82" s="861"/>
      <c r="E82" s="861"/>
      <c r="F82" s="852"/>
      <c r="G82" s="852"/>
      <c r="H82" s="852"/>
      <c r="I82" s="852"/>
      <c r="J82" s="852"/>
      <c r="K82" s="852"/>
      <c r="L82" s="844"/>
      <c r="M82" s="844"/>
      <c r="N82" s="844"/>
      <c r="O82" s="844"/>
      <c r="P82" s="844"/>
      <c r="Q82" s="844"/>
      <c r="R82" s="844"/>
      <c r="S82" s="844"/>
      <c r="T82" s="844"/>
      <c r="U82" s="844"/>
      <c r="V82" s="844"/>
      <c r="W82" s="844"/>
      <c r="X82" s="844"/>
      <c r="Y82" s="844"/>
      <c r="Z82" s="844"/>
      <c r="AA82" s="844"/>
      <c r="AB82" s="844"/>
      <c r="AC82" s="844"/>
      <c r="AD82" s="844"/>
      <c r="AE82" s="844"/>
      <c r="AF82" s="844"/>
    </row>
    <row r="83" spans="1:32">
      <c r="A83" s="844"/>
      <c r="B83" s="861"/>
      <c r="C83" s="861"/>
      <c r="D83" s="861"/>
      <c r="E83" s="861"/>
      <c r="F83" s="852"/>
      <c r="G83" s="852"/>
      <c r="H83" s="852"/>
      <c r="I83" s="852"/>
      <c r="J83" s="852"/>
      <c r="K83" s="852"/>
      <c r="L83" s="844"/>
      <c r="M83" s="844"/>
      <c r="N83" s="844"/>
      <c r="O83" s="844"/>
      <c r="P83" s="844"/>
      <c r="Q83" s="844"/>
      <c r="R83" s="844"/>
      <c r="S83" s="844"/>
      <c r="T83" s="844"/>
      <c r="U83" s="844"/>
      <c r="V83" s="844"/>
      <c r="W83" s="844"/>
      <c r="X83" s="844"/>
      <c r="Y83" s="844"/>
      <c r="Z83" s="844"/>
      <c r="AA83" s="844"/>
      <c r="AB83" s="844"/>
      <c r="AC83" s="844"/>
      <c r="AD83" s="844"/>
      <c r="AE83" s="844"/>
      <c r="AF83" s="844"/>
    </row>
    <row r="84" spans="1:32">
      <c r="A84" s="844"/>
      <c r="B84" s="861"/>
      <c r="C84" s="861"/>
      <c r="D84" s="861"/>
      <c r="E84" s="861"/>
      <c r="F84" s="852"/>
      <c r="G84" s="852"/>
      <c r="H84" s="852"/>
      <c r="I84" s="852"/>
      <c r="J84" s="852"/>
      <c r="K84" s="852"/>
      <c r="L84" s="844"/>
      <c r="M84" s="844"/>
      <c r="N84" s="844"/>
      <c r="O84" s="844"/>
      <c r="P84" s="844"/>
      <c r="Q84" s="844"/>
      <c r="R84" s="844"/>
      <c r="S84" s="844"/>
      <c r="T84" s="844"/>
      <c r="U84" s="844"/>
      <c r="V84" s="844"/>
      <c r="W84" s="844"/>
      <c r="X84" s="844"/>
      <c r="Y84" s="844"/>
      <c r="Z84" s="844"/>
      <c r="AA84" s="844"/>
      <c r="AB84" s="844"/>
      <c r="AC84" s="844"/>
      <c r="AD84" s="844"/>
      <c r="AE84" s="844"/>
      <c r="AF84" s="844"/>
    </row>
    <row r="85" spans="1:32">
      <c r="A85" s="844"/>
      <c r="B85" s="861"/>
      <c r="C85" s="861"/>
      <c r="D85" s="861"/>
      <c r="E85" s="861"/>
      <c r="F85" s="852"/>
      <c r="G85" s="852"/>
      <c r="H85" s="852"/>
      <c r="I85" s="852"/>
      <c r="J85" s="852"/>
      <c r="K85" s="852"/>
      <c r="L85" s="844"/>
      <c r="M85" s="844"/>
      <c r="N85" s="844"/>
      <c r="O85" s="844"/>
      <c r="P85" s="844"/>
      <c r="Q85" s="844"/>
      <c r="R85" s="844"/>
      <c r="S85" s="844"/>
      <c r="T85" s="844"/>
      <c r="U85" s="844"/>
      <c r="V85" s="844"/>
      <c r="W85" s="844"/>
      <c r="X85" s="844"/>
      <c r="Y85" s="844"/>
      <c r="Z85" s="844"/>
      <c r="AA85" s="844"/>
      <c r="AB85" s="844"/>
      <c r="AC85" s="844"/>
      <c r="AD85" s="844"/>
      <c r="AE85" s="844"/>
      <c r="AF85" s="844"/>
    </row>
    <row r="86" spans="1:32">
      <c r="A86" s="844"/>
      <c r="B86" s="861"/>
      <c r="C86" s="861"/>
      <c r="D86" s="861"/>
      <c r="E86" s="861"/>
      <c r="F86" s="852"/>
      <c r="G86" s="852"/>
      <c r="H86" s="852"/>
      <c r="I86" s="852"/>
      <c r="J86" s="852"/>
      <c r="K86" s="852"/>
      <c r="L86" s="844"/>
      <c r="M86" s="844"/>
      <c r="N86" s="844"/>
      <c r="O86" s="844"/>
      <c r="P86" s="844"/>
      <c r="Q86" s="844"/>
      <c r="R86" s="844"/>
      <c r="S86" s="844"/>
      <c r="T86" s="844"/>
      <c r="U86" s="844"/>
      <c r="V86" s="844"/>
      <c r="W86" s="844"/>
      <c r="X86" s="844"/>
      <c r="Y86" s="844"/>
      <c r="Z86" s="844"/>
      <c r="AA86" s="844"/>
      <c r="AB86" s="844"/>
      <c r="AC86" s="844"/>
      <c r="AD86" s="844"/>
      <c r="AE86" s="844"/>
      <c r="AF86" s="844"/>
    </row>
    <row r="87" spans="1:32">
      <c r="A87" s="844"/>
      <c r="B87" s="861"/>
      <c r="C87" s="861"/>
      <c r="D87" s="861"/>
      <c r="E87" s="861"/>
      <c r="F87" s="852"/>
      <c r="G87" s="852"/>
      <c r="H87" s="852"/>
      <c r="I87" s="852"/>
      <c r="J87" s="852"/>
      <c r="K87" s="852"/>
      <c r="L87" s="844"/>
      <c r="M87" s="844"/>
      <c r="N87" s="844"/>
      <c r="O87" s="844"/>
      <c r="P87" s="844"/>
      <c r="Q87" s="844"/>
      <c r="R87" s="844"/>
      <c r="S87" s="844"/>
      <c r="T87" s="844"/>
      <c r="U87" s="844"/>
      <c r="V87" s="844"/>
      <c r="W87" s="844"/>
      <c r="X87" s="844"/>
      <c r="Y87" s="844"/>
      <c r="Z87" s="844"/>
      <c r="AA87" s="844"/>
      <c r="AB87" s="844"/>
      <c r="AC87" s="844"/>
      <c r="AD87" s="844"/>
      <c r="AE87" s="844"/>
      <c r="AF87" s="844"/>
    </row>
    <row r="88" spans="1:32">
      <c r="A88" s="844"/>
      <c r="B88" s="861"/>
      <c r="C88" s="861"/>
      <c r="D88" s="861"/>
      <c r="E88" s="861"/>
      <c r="F88" s="852"/>
      <c r="G88" s="852"/>
      <c r="H88" s="852"/>
      <c r="I88" s="852"/>
      <c r="J88" s="852"/>
      <c r="K88" s="852"/>
      <c r="L88" s="844"/>
      <c r="M88" s="844"/>
      <c r="N88" s="844"/>
      <c r="O88" s="844"/>
      <c r="P88" s="844"/>
      <c r="Q88" s="844"/>
      <c r="R88" s="844"/>
      <c r="S88" s="844"/>
      <c r="T88" s="844"/>
      <c r="U88" s="844"/>
      <c r="V88" s="844"/>
      <c r="W88" s="844"/>
      <c r="X88" s="844"/>
      <c r="Y88" s="844"/>
      <c r="Z88" s="844"/>
      <c r="AA88" s="844"/>
      <c r="AB88" s="844"/>
      <c r="AC88" s="844"/>
      <c r="AD88" s="844"/>
      <c r="AE88" s="844"/>
      <c r="AF88" s="844"/>
    </row>
    <row r="89" spans="1:32">
      <c r="A89" s="844"/>
      <c r="B89" s="861"/>
      <c r="C89" s="861"/>
      <c r="D89" s="861"/>
      <c r="E89" s="861"/>
      <c r="F89" s="852"/>
      <c r="G89" s="852"/>
      <c r="H89" s="852"/>
      <c r="I89" s="852"/>
      <c r="J89" s="852"/>
      <c r="K89" s="852"/>
      <c r="L89" s="844"/>
      <c r="M89" s="844"/>
      <c r="N89" s="844"/>
      <c r="O89" s="844"/>
      <c r="P89" s="844"/>
      <c r="Q89" s="844"/>
      <c r="R89" s="844"/>
      <c r="S89" s="844"/>
      <c r="T89" s="844"/>
      <c r="U89" s="844"/>
      <c r="V89" s="844"/>
      <c r="W89" s="844"/>
      <c r="X89" s="844"/>
      <c r="Y89" s="844"/>
      <c r="Z89" s="844"/>
      <c r="AA89" s="844"/>
      <c r="AB89" s="844"/>
      <c r="AC89" s="844"/>
      <c r="AD89" s="844"/>
      <c r="AE89" s="844"/>
      <c r="AF89" s="844"/>
    </row>
    <row r="90" spans="1:32">
      <c r="A90" s="844"/>
      <c r="B90" s="861"/>
      <c r="C90" s="861"/>
      <c r="D90" s="861"/>
      <c r="E90" s="861"/>
      <c r="F90" s="852"/>
      <c r="G90" s="852"/>
      <c r="H90" s="852"/>
      <c r="I90" s="852"/>
      <c r="J90" s="852"/>
      <c r="K90" s="852"/>
      <c r="L90" s="844"/>
      <c r="M90" s="844"/>
      <c r="N90" s="844"/>
      <c r="O90" s="844"/>
      <c r="P90" s="844"/>
      <c r="Q90" s="844"/>
      <c r="R90" s="844"/>
      <c r="S90" s="844"/>
      <c r="T90" s="844"/>
      <c r="U90" s="844"/>
      <c r="V90" s="844"/>
      <c r="W90" s="844"/>
      <c r="X90" s="844"/>
      <c r="Y90" s="844"/>
      <c r="Z90" s="844"/>
      <c r="AA90" s="844"/>
      <c r="AB90" s="844"/>
      <c r="AC90" s="844"/>
      <c r="AD90" s="844"/>
      <c r="AE90" s="844"/>
      <c r="AF90" s="844"/>
    </row>
    <row r="91" spans="1:32">
      <c r="A91" s="844"/>
      <c r="B91" s="861"/>
      <c r="C91" s="861"/>
      <c r="D91" s="861"/>
      <c r="E91" s="861"/>
      <c r="F91" s="852"/>
      <c r="G91" s="852"/>
      <c r="H91" s="852"/>
      <c r="I91" s="852"/>
      <c r="J91" s="852"/>
      <c r="K91" s="852"/>
      <c r="L91" s="844"/>
      <c r="M91" s="844"/>
      <c r="N91" s="844"/>
      <c r="O91" s="844"/>
      <c r="P91" s="844"/>
      <c r="Q91" s="844"/>
      <c r="R91" s="844"/>
      <c r="S91" s="844"/>
      <c r="T91" s="844"/>
      <c r="U91" s="844"/>
      <c r="V91" s="844"/>
      <c r="W91" s="844"/>
      <c r="X91" s="844"/>
      <c r="Y91" s="844"/>
      <c r="Z91" s="844"/>
      <c r="AA91" s="844"/>
      <c r="AB91" s="844"/>
      <c r="AC91" s="844"/>
      <c r="AD91" s="844"/>
      <c r="AE91" s="844"/>
      <c r="AF91" s="844"/>
    </row>
    <row r="92" spans="1:32">
      <c r="A92" s="844"/>
      <c r="B92" s="861"/>
      <c r="C92" s="861"/>
      <c r="D92" s="861"/>
      <c r="E92" s="861"/>
      <c r="F92" s="852"/>
      <c r="G92" s="852"/>
      <c r="H92" s="852"/>
      <c r="I92" s="852"/>
      <c r="J92" s="852"/>
      <c r="K92" s="852"/>
      <c r="L92" s="844"/>
      <c r="M92" s="844"/>
      <c r="N92" s="844"/>
      <c r="O92" s="844"/>
      <c r="P92" s="844"/>
      <c r="Q92" s="844"/>
      <c r="R92" s="844"/>
      <c r="S92" s="844"/>
      <c r="T92" s="844"/>
      <c r="U92" s="844"/>
      <c r="V92" s="844"/>
      <c r="W92" s="844"/>
      <c r="X92" s="844"/>
      <c r="Y92" s="844"/>
      <c r="Z92" s="844"/>
      <c r="AA92" s="844"/>
      <c r="AB92" s="844"/>
      <c r="AC92" s="844"/>
      <c r="AD92" s="844"/>
      <c r="AE92" s="844"/>
      <c r="AF92" s="844"/>
    </row>
    <row r="93" spans="1:32">
      <c r="A93" s="844"/>
      <c r="B93" s="861"/>
      <c r="C93" s="861"/>
      <c r="D93" s="861"/>
      <c r="E93" s="861"/>
      <c r="F93" s="852"/>
      <c r="G93" s="852"/>
      <c r="H93" s="852"/>
      <c r="I93" s="852"/>
      <c r="J93" s="852"/>
      <c r="K93" s="852"/>
      <c r="L93" s="844"/>
      <c r="M93" s="844"/>
      <c r="N93" s="844"/>
      <c r="O93" s="844"/>
      <c r="P93" s="844"/>
      <c r="Q93" s="844"/>
      <c r="R93" s="844"/>
      <c r="S93" s="844"/>
      <c r="T93" s="844"/>
      <c r="U93" s="844"/>
      <c r="V93" s="844"/>
      <c r="W93" s="844"/>
      <c r="X93" s="844"/>
      <c r="Y93" s="844"/>
      <c r="Z93" s="844"/>
      <c r="AA93" s="844"/>
      <c r="AB93" s="844"/>
      <c r="AC93" s="844"/>
      <c r="AD93" s="844"/>
      <c r="AE93" s="844"/>
      <c r="AF93" s="844"/>
    </row>
    <row r="94" spans="1:32">
      <c r="A94" s="844"/>
      <c r="B94" s="861"/>
      <c r="C94" s="861"/>
      <c r="D94" s="861"/>
      <c r="E94" s="861"/>
      <c r="F94" s="852"/>
      <c r="G94" s="852"/>
      <c r="H94" s="852"/>
      <c r="I94" s="852"/>
      <c r="J94" s="852"/>
      <c r="K94" s="852"/>
      <c r="L94" s="844"/>
      <c r="M94" s="844"/>
      <c r="N94" s="844"/>
      <c r="O94" s="844"/>
      <c r="P94" s="844"/>
      <c r="Q94" s="844"/>
      <c r="R94" s="844"/>
      <c r="S94" s="844"/>
      <c r="T94" s="844"/>
      <c r="U94" s="844"/>
      <c r="V94" s="844"/>
      <c r="W94" s="844"/>
      <c r="X94" s="844"/>
      <c r="Y94" s="844"/>
      <c r="Z94" s="844"/>
      <c r="AA94" s="844"/>
      <c r="AB94" s="844"/>
      <c r="AC94" s="844"/>
      <c r="AD94" s="844"/>
      <c r="AE94" s="844"/>
      <c r="AF94" s="844"/>
    </row>
    <row r="95" spans="1:32">
      <c r="A95" s="844"/>
      <c r="B95" s="861"/>
      <c r="C95" s="861"/>
      <c r="D95" s="861"/>
      <c r="E95" s="861"/>
      <c r="F95" s="852"/>
      <c r="G95" s="852"/>
      <c r="H95" s="852"/>
      <c r="I95" s="852"/>
      <c r="J95" s="852"/>
      <c r="K95" s="852"/>
      <c r="L95" s="844"/>
      <c r="M95" s="844"/>
      <c r="N95" s="844"/>
      <c r="O95" s="844"/>
      <c r="P95" s="844"/>
      <c r="Q95" s="844"/>
      <c r="R95" s="844"/>
      <c r="S95" s="844"/>
      <c r="T95" s="844"/>
      <c r="U95" s="844"/>
      <c r="V95" s="844"/>
      <c r="W95" s="844"/>
      <c r="X95" s="844"/>
      <c r="Y95" s="844"/>
      <c r="Z95" s="844"/>
      <c r="AA95" s="844"/>
      <c r="AB95" s="844"/>
      <c r="AC95" s="844"/>
      <c r="AD95" s="844"/>
      <c r="AE95" s="844"/>
      <c r="AF95" s="844"/>
    </row>
    <row r="96" spans="1:32">
      <c r="A96" s="844"/>
      <c r="B96" s="861"/>
      <c r="C96" s="861"/>
      <c r="D96" s="861"/>
      <c r="E96" s="861"/>
      <c r="F96" s="852"/>
      <c r="G96" s="852"/>
      <c r="H96" s="852"/>
      <c r="I96" s="852"/>
      <c r="J96" s="852"/>
      <c r="K96" s="852"/>
      <c r="L96" s="844"/>
      <c r="M96" s="844"/>
      <c r="N96" s="844"/>
      <c r="O96" s="844"/>
      <c r="P96" s="844"/>
      <c r="Q96" s="844"/>
      <c r="R96" s="844"/>
      <c r="S96" s="844"/>
      <c r="T96" s="844"/>
      <c r="U96" s="844"/>
      <c r="V96" s="844"/>
      <c r="W96" s="844"/>
      <c r="X96" s="844"/>
      <c r="Y96" s="844"/>
      <c r="Z96" s="844"/>
      <c r="AA96" s="844"/>
      <c r="AB96" s="844"/>
      <c r="AC96" s="844"/>
      <c r="AD96" s="844"/>
      <c r="AE96" s="844"/>
      <c r="AF96" s="844"/>
    </row>
    <row r="97" spans="1:32">
      <c r="A97" s="844"/>
      <c r="B97" s="861"/>
      <c r="C97" s="861"/>
      <c r="D97" s="861"/>
      <c r="E97" s="861"/>
      <c r="F97" s="852"/>
      <c r="G97" s="852"/>
      <c r="H97" s="852"/>
      <c r="I97" s="852"/>
      <c r="J97" s="852"/>
      <c r="K97" s="852"/>
      <c r="L97" s="844"/>
      <c r="M97" s="844"/>
      <c r="N97" s="844"/>
      <c r="O97" s="844"/>
      <c r="P97" s="844"/>
      <c r="Q97" s="844"/>
      <c r="R97" s="844"/>
      <c r="S97" s="844"/>
      <c r="T97" s="844"/>
      <c r="U97" s="844"/>
      <c r="V97" s="844"/>
      <c r="W97" s="844"/>
      <c r="X97" s="844"/>
      <c r="Y97" s="844"/>
      <c r="Z97" s="844"/>
      <c r="AA97" s="844"/>
      <c r="AB97" s="844"/>
      <c r="AC97" s="844"/>
      <c r="AD97" s="844"/>
      <c r="AE97" s="844"/>
      <c r="AF97" s="844"/>
    </row>
    <row r="98" spans="1:32">
      <c r="A98" s="844"/>
      <c r="B98" s="861"/>
      <c r="C98" s="861"/>
      <c r="D98" s="861"/>
      <c r="E98" s="861"/>
      <c r="F98" s="852"/>
      <c r="G98" s="852"/>
      <c r="H98" s="852"/>
      <c r="I98" s="852"/>
      <c r="J98" s="852"/>
      <c r="K98" s="852"/>
      <c r="L98" s="844"/>
      <c r="M98" s="844"/>
      <c r="N98" s="844"/>
      <c r="O98" s="844"/>
      <c r="P98" s="844"/>
      <c r="Q98" s="844"/>
      <c r="R98" s="844"/>
      <c r="S98" s="844"/>
      <c r="T98" s="844"/>
      <c r="U98" s="844"/>
      <c r="V98" s="844"/>
      <c r="W98" s="844"/>
      <c r="X98" s="844"/>
      <c r="Y98" s="844"/>
      <c r="Z98" s="844"/>
      <c r="AA98" s="844"/>
      <c r="AB98" s="844"/>
      <c r="AC98" s="844"/>
      <c r="AD98" s="844"/>
      <c r="AE98" s="844"/>
      <c r="AF98" s="844"/>
    </row>
    <row r="99" spans="1:32">
      <c r="A99" s="844"/>
      <c r="B99" s="861"/>
      <c r="C99" s="861"/>
      <c r="D99" s="861"/>
      <c r="E99" s="861"/>
      <c r="F99" s="852"/>
      <c r="G99" s="852"/>
      <c r="H99" s="852"/>
      <c r="I99" s="852"/>
      <c r="J99" s="852"/>
      <c r="K99" s="852"/>
      <c r="L99" s="844"/>
      <c r="M99" s="844"/>
      <c r="N99" s="844"/>
      <c r="O99" s="844"/>
      <c r="P99" s="844"/>
      <c r="Q99" s="844"/>
      <c r="R99" s="844"/>
      <c r="S99" s="844"/>
      <c r="T99" s="844"/>
      <c r="U99" s="844"/>
      <c r="V99" s="844"/>
      <c r="W99" s="844"/>
      <c r="X99" s="844"/>
      <c r="Y99" s="844"/>
      <c r="Z99" s="844"/>
      <c r="AA99" s="844"/>
      <c r="AB99" s="844"/>
      <c r="AC99" s="844"/>
      <c r="AD99" s="844"/>
      <c r="AE99" s="844"/>
      <c r="AF99" s="844"/>
    </row>
    <row r="100" spans="1:32">
      <c r="A100" s="844"/>
      <c r="B100" s="861"/>
      <c r="C100" s="861"/>
      <c r="D100" s="861"/>
      <c r="E100" s="861"/>
      <c r="F100" s="852"/>
      <c r="G100" s="852"/>
      <c r="H100" s="852"/>
      <c r="I100" s="852"/>
      <c r="J100" s="852"/>
      <c r="K100" s="852"/>
      <c r="L100" s="844"/>
      <c r="M100" s="844"/>
      <c r="N100" s="844"/>
      <c r="O100" s="844"/>
      <c r="P100" s="844"/>
      <c r="Q100" s="844"/>
      <c r="R100" s="844"/>
      <c r="S100" s="844"/>
      <c r="T100" s="844"/>
      <c r="U100" s="844"/>
      <c r="V100" s="844"/>
      <c r="W100" s="844"/>
      <c r="X100" s="844"/>
      <c r="Y100" s="844"/>
      <c r="Z100" s="844"/>
      <c r="AA100" s="844"/>
      <c r="AB100" s="844"/>
      <c r="AC100" s="844"/>
      <c r="AD100" s="844"/>
      <c r="AE100" s="844"/>
      <c r="AF100" s="844"/>
    </row>
    <row r="101" spans="1:32">
      <c r="A101" s="844"/>
      <c r="B101" s="861"/>
      <c r="C101" s="861"/>
      <c r="D101" s="861"/>
      <c r="E101" s="861"/>
      <c r="F101" s="852"/>
      <c r="G101" s="852"/>
      <c r="H101" s="852"/>
      <c r="I101" s="852"/>
      <c r="J101" s="852"/>
      <c r="K101" s="852"/>
      <c r="L101" s="844"/>
      <c r="M101" s="844"/>
      <c r="N101" s="844"/>
      <c r="O101" s="844"/>
      <c r="P101" s="844"/>
      <c r="Q101" s="844"/>
      <c r="R101" s="844"/>
      <c r="S101" s="844"/>
      <c r="T101" s="844"/>
      <c r="U101" s="844"/>
      <c r="V101" s="844"/>
      <c r="W101" s="844"/>
      <c r="X101" s="844"/>
      <c r="Y101" s="844"/>
      <c r="Z101" s="844"/>
      <c r="AA101" s="844"/>
      <c r="AB101" s="844"/>
      <c r="AC101" s="844"/>
      <c r="AD101" s="844"/>
      <c r="AE101" s="844"/>
      <c r="AF101" s="844"/>
    </row>
    <row r="102" spans="1:32">
      <c r="A102" s="844"/>
      <c r="B102" s="861"/>
      <c r="C102" s="861"/>
      <c r="D102" s="861"/>
      <c r="E102" s="861"/>
      <c r="F102" s="852"/>
      <c r="G102" s="852"/>
      <c r="H102" s="852"/>
      <c r="I102" s="852"/>
      <c r="J102" s="852"/>
      <c r="K102" s="852"/>
      <c r="L102" s="844"/>
      <c r="M102" s="844"/>
      <c r="N102" s="844"/>
      <c r="O102" s="844"/>
      <c r="P102" s="844"/>
      <c r="Q102" s="844"/>
      <c r="R102" s="844"/>
      <c r="S102" s="844"/>
      <c r="T102" s="844"/>
      <c r="U102" s="844"/>
      <c r="V102" s="844"/>
      <c r="W102" s="844"/>
      <c r="X102" s="844"/>
      <c r="Y102" s="844"/>
      <c r="Z102" s="844"/>
      <c r="AA102" s="844"/>
      <c r="AB102" s="844"/>
      <c r="AC102" s="844"/>
      <c r="AD102" s="844"/>
      <c r="AE102" s="844"/>
      <c r="AF102" s="844"/>
    </row>
    <row r="103" spans="1:32">
      <c r="A103" s="844"/>
      <c r="B103" s="861"/>
      <c r="C103" s="861"/>
      <c r="D103" s="861"/>
      <c r="E103" s="861"/>
      <c r="F103" s="852"/>
      <c r="G103" s="852"/>
      <c r="H103" s="852"/>
      <c r="I103" s="852"/>
      <c r="J103" s="852"/>
      <c r="K103" s="852"/>
      <c r="L103" s="844"/>
      <c r="M103" s="844"/>
      <c r="N103" s="844"/>
      <c r="O103" s="844"/>
      <c r="P103" s="844"/>
      <c r="Q103" s="844"/>
      <c r="R103" s="844"/>
      <c r="S103" s="844"/>
      <c r="T103" s="844"/>
      <c r="U103" s="844"/>
      <c r="V103" s="844"/>
      <c r="W103" s="844"/>
      <c r="X103" s="844"/>
      <c r="Y103" s="844"/>
      <c r="Z103" s="844"/>
      <c r="AA103" s="844"/>
      <c r="AB103" s="844"/>
      <c r="AC103" s="844"/>
      <c r="AD103" s="844"/>
      <c r="AE103" s="844"/>
      <c r="AF103" s="844"/>
    </row>
    <row r="104" spans="1:32">
      <c r="A104" s="844"/>
      <c r="B104" s="861"/>
      <c r="C104" s="861"/>
      <c r="D104" s="861"/>
      <c r="E104" s="861"/>
      <c r="F104" s="852"/>
      <c r="G104" s="852"/>
      <c r="H104" s="852"/>
      <c r="I104" s="852"/>
      <c r="J104" s="852"/>
      <c r="K104" s="852"/>
      <c r="L104" s="844"/>
      <c r="M104" s="844"/>
      <c r="N104" s="844"/>
      <c r="O104" s="844"/>
      <c r="P104" s="844"/>
      <c r="Q104" s="844"/>
      <c r="R104" s="844"/>
      <c r="S104" s="844"/>
      <c r="T104" s="844"/>
      <c r="U104" s="844"/>
      <c r="V104" s="844"/>
      <c r="W104" s="844"/>
      <c r="X104" s="844"/>
      <c r="Y104" s="844"/>
      <c r="Z104" s="844"/>
      <c r="AA104" s="844"/>
      <c r="AB104" s="844"/>
      <c r="AC104" s="844"/>
      <c r="AD104" s="844"/>
      <c r="AE104" s="844"/>
      <c r="AF104" s="844"/>
    </row>
    <row r="105" spans="1:32">
      <c r="A105" s="844"/>
      <c r="B105" s="861"/>
      <c r="C105" s="861"/>
      <c r="D105" s="861"/>
      <c r="E105" s="861"/>
      <c r="F105" s="852"/>
      <c r="G105" s="852"/>
      <c r="H105" s="852"/>
      <c r="I105" s="852"/>
      <c r="J105" s="852"/>
      <c r="K105" s="852"/>
      <c r="L105" s="844"/>
      <c r="M105" s="844"/>
      <c r="N105" s="844"/>
      <c r="O105" s="844"/>
      <c r="P105" s="844"/>
      <c r="Q105" s="844"/>
      <c r="R105" s="844"/>
      <c r="S105" s="844"/>
      <c r="T105" s="844"/>
      <c r="U105" s="844"/>
      <c r="V105" s="844"/>
      <c r="W105" s="844"/>
      <c r="X105" s="844"/>
      <c r="Y105" s="844"/>
      <c r="Z105" s="844"/>
      <c r="AA105" s="844"/>
      <c r="AB105" s="844"/>
      <c r="AC105" s="844"/>
      <c r="AD105" s="844"/>
      <c r="AE105" s="844"/>
      <c r="AF105" s="844"/>
    </row>
    <row r="106" spans="1:32">
      <c r="A106" s="844"/>
      <c r="B106" s="861"/>
      <c r="C106" s="861"/>
      <c r="D106" s="861"/>
      <c r="E106" s="861"/>
      <c r="F106" s="852"/>
      <c r="G106" s="852"/>
      <c r="H106" s="852"/>
      <c r="I106" s="852"/>
      <c r="J106" s="852"/>
      <c r="K106" s="852"/>
      <c r="L106" s="844"/>
      <c r="M106" s="844"/>
      <c r="N106" s="844"/>
      <c r="O106" s="844"/>
      <c r="P106" s="844"/>
      <c r="Q106" s="844"/>
      <c r="R106" s="844"/>
      <c r="S106" s="844"/>
      <c r="T106" s="844"/>
      <c r="U106" s="844"/>
      <c r="V106" s="844"/>
      <c r="W106" s="844"/>
      <c r="X106" s="844"/>
      <c r="Y106" s="844"/>
      <c r="Z106" s="844"/>
      <c r="AA106" s="844"/>
      <c r="AB106" s="844"/>
      <c r="AC106" s="844"/>
      <c r="AD106" s="844"/>
      <c r="AE106" s="844"/>
      <c r="AF106" s="844"/>
    </row>
    <row r="107" spans="1:32">
      <c r="A107" s="844"/>
      <c r="B107" s="861"/>
      <c r="C107" s="861"/>
      <c r="D107" s="861"/>
      <c r="E107" s="861"/>
      <c r="F107" s="852"/>
      <c r="G107" s="852"/>
      <c r="H107" s="852"/>
      <c r="I107" s="852"/>
      <c r="J107" s="852"/>
      <c r="K107" s="852"/>
      <c r="L107" s="844"/>
      <c r="M107" s="844"/>
      <c r="N107" s="844"/>
      <c r="O107" s="844"/>
      <c r="P107" s="844"/>
      <c r="Q107" s="844"/>
      <c r="R107" s="844"/>
      <c r="S107" s="844"/>
      <c r="T107" s="844"/>
      <c r="U107" s="844"/>
      <c r="V107" s="844"/>
      <c r="W107" s="844"/>
      <c r="X107" s="844"/>
      <c r="Y107" s="844"/>
      <c r="Z107" s="844"/>
      <c r="AA107" s="844"/>
      <c r="AB107" s="844"/>
      <c r="AC107" s="844"/>
      <c r="AD107" s="844"/>
      <c r="AE107" s="844"/>
      <c r="AF107" s="844"/>
    </row>
    <row r="108" spans="1:32">
      <c r="A108" s="844"/>
      <c r="B108" s="861"/>
      <c r="C108" s="861"/>
      <c r="D108" s="861"/>
      <c r="E108" s="861"/>
      <c r="F108" s="852"/>
      <c r="G108" s="852"/>
      <c r="H108" s="852"/>
      <c r="I108" s="852"/>
      <c r="J108" s="852"/>
      <c r="K108" s="852"/>
      <c r="L108" s="844"/>
      <c r="M108" s="844"/>
      <c r="N108" s="844"/>
      <c r="O108" s="844"/>
      <c r="P108" s="844"/>
      <c r="Q108" s="844"/>
      <c r="R108" s="844"/>
      <c r="S108" s="844"/>
      <c r="T108" s="844"/>
      <c r="U108" s="844"/>
      <c r="V108" s="844"/>
      <c r="W108" s="844"/>
      <c r="X108" s="844"/>
      <c r="Y108" s="844"/>
      <c r="Z108" s="844"/>
      <c r="AA108" s="844"/>
      <c r="AB108" s="844"/>
      <c r="AC108" s="844"/>
      <c r="AD108" s="844"/>
      <c r="AE108" s="844"/>
      <c r="AF108" s="844"/>
    </row>
    <row r="109" spans="1:32">
      <c r="A109" s="844"/>
      <c r="B109" s="861"/>
      <c r="C109" s="861"/>
      <c r="D109" s="861"/>
      <c r="E109" s="861"/>
      <c r="F109" s="852"/>
      <c r="G109" s="852"/>
      <c r="H109" s="852"/>
      <c r="I109" s="852"/>
      <c r="J109" s="852"/>
      <c r="K109" s="852"/>
      <c r="L109" s="844"/>
      <c r="M109" s="844"/>
      <c r="N109" s="844"/>
      <c r="O109" s="844"/>
      <c r="P109" s="844"/>
      <c r="Q109" s="844"/>
      <c r="R109" s="844"/>
      <c r="S109" s="844"/>
      <c r="T109" s="844"/>
      <c r="U109" s="844"/>
      <c r="V109" s="844"/>
      <c r="W109" s="844"/>
      <c r="X109" s="844"/>
      <c r="Y109" s="844"/>
      <c r="Z109" s="844"/>
      <c r="AA109" s="844"/>
      <c r="AB109" s="844"/>
      <c r="AC109" s="844"/>
      <c r="AD109" s="844"/>
      <c r="AE109" s="844"/>
      <c r="AF109" s="844"/>
    </row>
    <row r="110" spans="1:32">
      <c r="A110" s="844"/>
      <c r="B110" s="861"/>
      <c r="C110" s="861"/>
      <c r="D110" s="861"/>
      <c r="E110" s="861"/>
      <c r="F110" s="852"/>
      <c r="G110" s="852"/>
      <c r="H110" s="852"/>
      <c r="I110" s="852"/>
      <c r="J110" s="852"/>
      <c r="K110" s="852"/>
      <c r="L110" s="844"/>
      <c r="M110" s="844"/>
      <c r="N110" s="844"/>
      <c r="O110" s="844"/>
      <c r="P110" s="844"/>
      <c r="Q110" s="844"/>
      <c r="R110" s="844"/>
      <c r="S110" s="844"/>
      <c r="T110" s="844"/>
      <c r="U110" s="844"/>
      <c r="V110" s="844"/>
      <c r="W110" s="844"/>
      <c r="X110" s="844"/>
      <c r="Y110" s="844"/>
      <c r="Z110" s="844"/>
      <c r="AA110" s="844"/>
      <c r="AB110" s="844"/>
      <c r="AC110" s="844"/>
      <c r="AD110" s="844"/>
      <c r="AE110" s="844"/>
      <c r="AF110" s="844"/>
    </row>
    <row r="111" spans="1:32">
      <c r="A111" s="844"/>
      <c r="B111" s="861"/>
      <c r="C111" s="861"/>
      <c r="D111" s="861"/>
      <c r="E111" s="861"/>
      <c r="F111" s="852"/>
      <c r="G111" s="852"/>
      <c r="H111" s="852"/>
      <c r="I111" s="852"/>
      <c r="J111" s="852"/>
      <c r="K111" s="852"/>
      <c r="L111" s="844"/>
      <c r="M111" s="844"/>
      <c r="N111" s="844"/>
      <c r="O111" s="844"/>
      <c r="P111" s="844"/>
      <c r="Q111" s="844"/>
      <c r="R111" s="844"/>
      <c r="S111" s="844"/>
      <c r="T111" s="844"/>
      <c r="U111" s="844"/>
      <c r="V111" s="844"/>
      <c r="W111" s="844"/>
      <c r="X111" s="844"/>
      <c r="Y111" s="844"/>
      <c r="Z111" s="844"/>
      <c r="AA111" s="844"/>
      <c r="AB111" s="844"/>
      <c r="AC111" s="844"/>
      <c r="AD111" s="844"/>
      <c r="AE111" s="844"/>
      <c r="AF111" s="844"/>
    </row>
    <row r="112" spans="1:32">
      <c r="A112" s="844"/>
      <c r="B112" s="861"/>
      <c r="C112" s="861"/>
      <c r="D112" s="861"/>
      <c r="E112" s="861"/>
      <c r="F112" s="852"/>
      <c r="G112" s="852"/>
      <c r="H112" s="852"/>
      <c r="I112" s="852"/>
      <c r="J112" s="852"/>
      <c r="K112" s="852"/>
      <c r="L112" s="844"/>
      <c r="M112" s="844"/>
      <c r="N112" s="844"/>
      <c r="O112" s="844"/>
      <c r="P112" s="844"/>
      <c r="Q112" s="844"/>
      <c r="R112" s="844"/>
      <c r="S112" s="844"/>
      <c r="T112" s="844"/>
      <c r="U112" s="844"/>
      <c r="V112" s="844"/>
      <c r="W112" s="844"/>
      <c r="X112" s="844"/>
      <c r="Y112" s="844"/>
      <c r="Z112" s="844"/>
      <c r="AA112" s="844"/>
      <c r="AB112" s="844"/>
      <c r="AC112" s="844"/>
      <c r="AD112" s="844"/>
      <c r="AE112" s="844"/>
      <c r="AF112" s="844"/>
    </row>
    <row r="113" spans="1:32">
      <c r="A113" s="844"/>
      <c r="B113" s="861"/>
      <c r="C113" s="861"/>
      <c r="D113" s="861"/>
      <c r="E113" s="861"/>
      <c r="F113" s="852"/>
      <c r="G113" s="852"/>
      <c r="H113" s="852"/>
      <c r="I113" s="852"/>
      <c r="J113" s="852"/>
      <c r="K113" s="852"/>
      <c r="L113" s="844"/>
      <c r="M113" s="844"/>
      <c r="N113" s="844"/>
      <c r="O113" s="844"/>
      <c r="P113" s="844"/>
      <c r="Q113" s="844"/>
      <c r="R113" s="844"/>
      <c r="S113" s="844"/>
      <c r="T113" s="844"/>
      <c r="U113" s="844"/>
      <c r="V113" s="844"/>
      <c r="W113" s="844"/>
      <c r="X113" s="844"/>
      <c r="Y113" s="844"/>
      <c r="Z113" s="844"/>
      <c r="AA113" s="844"/>
      <c r="AB113" s="844"/>
      <c r="AC113" s="844"/>
      <c r="AD113" s="844"/>
      <c r="AE113" s="844"/>
      <c r="AF113" s="844"/>
    </row>
    <row r="114" spans="1:32">
      <c r="A114" s="844"/>
      <c r="B114" s="861"/>
      <c r="C114" s="861"/>
      <c r="D114" s="861"/>
      <c r="E114" s="861"/>
      <c r="F114" s="852"/>
      <c r="G114" s="852"/>
      <c r="H114" s="852"/>
      <c r="I114" s="852"/>
      <c r="J114" s="852"/>
      <c r="K114" s="852"/>
      <c r="L114" s="844"/>
      <c r="M114" s="844"/>
      <c r="N114" s="844"/>
      <c r="O114" s="844"/>
      <c r="P114" s="844"/>
      <c r="Q114" s="844"/>
      <c r="R114" s="844"/>
      <c r="S114" s="844"/>
      <c r="T114" s="844"/>
      <c r="U114" s="844"/>
      <c r="V114" s="844"/>
      <c r="W114" s="844"/>
      <c r="X114" s="844"/>
      <c r="Y114" s="844"/>
      <c r="Z114" s="844"/>
      <c r="AA114" s="844"/>
      <c r="AB114" s="844"/>
      <c r="AC114" s="844"/>
      <c r="AD114" s="844"/>
      <c r="AE114" s="844"/>
      <c r="AF114" s="844"/>
    </row>
    <row r="115" spans="1:32">
      <c r="A115" s="844"/>
      <c r="B115" s="861"/>
      <c r="C115" s="861"/>
      <c r="D115" s="861"/>
      <c r="E115" s="861"/>
      <c r="F115" s="852"/>
      <c r="G115" s="852"/>
      <c r="H115" s="852"/>
      <c r="I115" s="852"/>
      <c r="J115" s="852"/>
      <c r="K115" s="852"/>
      <c r="L115" s="844"/>
      <c r="M115" s="844"/>
      <c r="N115" s="844"/>
      <c r="O115" s="844"/>
      <c r="P115" s="844"/>
      <c r="Q115" s="844"/>
      <c r="R115" s="844"/>
      <c r="S115" s="844"/>
      <c r="T115" s="844"/>
      <c r="U115" s="844"/>
      <c r="V115" s="844"/>
      <c r="W115" s="844"/>
      <c r="X115" s="844"/>
      <c r="Y115" s="844"/>
      <c r="Z115" s="844"/>
      <c r="AA115" s="844"/>
      <c r="AB115" s="844"/>
      <c r="AC115" s="844"/>
      <c r="AD115" s="844"/>
      <c r="AE115" s="844"/>
      <c r="AF115" s="844"/>
    </row>
    <row r="116" spans="1:32">
      <c r="A116" s="844"/>
      <c r="B116" s="861"/>
      <c r="C116" s="861"/>
      <c r="D116" s="861"/>
      <c r="E116" s="861"/>
      <c r="F116" s="852"/>
      <c r="G116" s="852"/>
      <c r="H116" s="852"/>
      <c r="I116" s="852"/>
      <c r="J116" s="852"/>
      <c r="K116" s="852"/>
      <c r="L116" s="844"/>
      <c r="M116" s="844"/>
      <c r="N116" s="844"/>
      <c r="O116" s="844"/>
      <c r="P116" s="844"/>
      <c r="Q116" s="844"/>
      <c r="R116" s="844"/>
      <c r="S116" s="844"/>
      <c r="T116" s="844"/>
      <c r="U116" s="844"/>
      <c r="V116" s="844"/>
      <c r="W116" s="844"/>
      <c r="X116" s="844"/>
      <c r="Y116" s="844"/>
      <c r="Z116" s="844"/>
      <c r="AA116" s="844"/>
      <c r="AB116" s="844"/>
      <c r="AC116" s="844"/>
      <c r="AD116" s="844"/>
      <c r="AE116" s="844"/>
      <c r="AF116" s="844"/>
    </row>
    <row r="117" spans="1:32">
      <c r="A117" s="844"/>
      <c r="B117" s="861"/>
      <c r="C117" s="861"/>
      <c r="D117" s="861"/>
      <c r="E117" s="861"/>
      <c r="F117" s="852"/>
      <c r="G117" s="852"/>
      <c r="H117" s="852"/>
      <c r="I117" s="852"/>
      <c r="J117" s="852"/>
      <c r="K117" s="852"/>
      <c r="L117" s="844"/>
      <c r="M117" s="844"/>
      <c r="N117" s="844"/>
      <c r="O117" s="844"/>
      <c r="P117" s="844"/>
      <c r="Q117" s="844"/>
      <c r="R117" s="844"/>
      <c r="S117" s="844"/>
      <c r="T117" s="844"/>
      <c r="U117" s="844"/>
      <c r="V117" s="844"/>
      <c r="W117" s="844"/>
      <c r="X117" s="844"/>
      <c r="Y117" s="844"/>
      <c r="Z117" s="844"/>
      <c r="AA117" s="844"/>
      <c r="AB117" s="844"/>
      <c r="AC117" s="844"/>
      <c r="AD117" s="844"/>
      <c r="AE117" s="844"/>
      <c r="AF117" s="844"/>
    </row>
    <row r="118" spans="1:32">
      <c r="A118" s="844"/>
      <c r="B118" s="861"/>
      <c r="C118" s="861"/>
      <c r="D118" s="861"/>
      <c r="E118" s="861"/>
      <c r="F118" s="852"/>
      <c r="G118" s="852"/>
      <c r="H118" s="852"/>
      <c r="I118" s="852"/>
      <c r="J118" s="852"/>
      <c r="K118" s="852"/>
      <c r="L118" s="844"/>
      <c r="M118" s="844"/>
      <c r="N118" s="844"/>
      <c r="O118" s="844"/>
      <c r="P118" s="844"/>
      <c r="Q118" s="844"/>
      <c r="R118" s="844"/>
      <c r="S118" s="844"/>
      <c r="T118" s="844"/>
      <c r="U118" s="844"/>
      <c r="V118" s="844"/>
      <c r="W118" s="844"/>
      <c r="X118" s="844"/>
      <c r="Y118" s="844"/>
      <c r="Z118" s="844"/>
      <c r="AA118" s="844"/>
      <c r="AB118" s="844"/>
      <c r="AC118" s="844"/>
      <c r="AD118" s="844"/>
      <c r="AE118" s="844"/>
      <c r="AF118" s="844"/>
    </row>
    <row r="119" spans="1:32">
      <c r="A119" s="844"/>
      <c r="B119" s="861"/>
      <c r="C119" s="861"/>
      <c r="D119" s="861"/>
      <c r="E119" s="861"/>
      <c r="F119" s="852"/>
      <c r="G119" s="852"/>
      <c r="H119" s="852"/>
      <c r="I119" s="852"/>
      <c r="J119" s="852"/>
      <c r="K119" s="852"/>
      <c r="L119" s="844"/>
      <c r="M119" s="844"/>
      <c r="N119" s="844"/>
      <c r="O119" s="844"/>
      <c r="P119" s="844"/>
      <c r="Q119" s="844"/>
      <c r="R119" s="844"/>
      <c r="S119" s="844"/>
      <c r="T119" s="844"/>
      <c r="U119" s="844"/>
      <c r="V119" s="844"/>
      <c r="W119" s="844"/>
      <c r="X119" s="844"/>
      <c r="Y119" s="844"/>
      <c r="Z119" s="844"/>
      <c r="AA119" s="844"/>
      <c r="AB119" s="844"/>
      <c r="AC119" s="844"/>
      <c r="AD119" s="844"/>
      <c r="AE119" s="844"/>
      <c r="AF119" s="844"/>
    </row>
    <row r="120" spans="1:32">
      <c r="A120" s="844"/>
      <c r="B120" s="861"/>
      <c r="C120" s="861"/>
      <c r="D120" s="861"/>
      <c r="E120" s="861"/>
      <c r="F120" s="852"/>
      <c r="G120" s="852"/>
      <c r="H120" s="852"/>
      <c r="I120" s="852"/>
      <c r="J120" s="852"/>
      <c r="K120" s="852"/>
      <c r="L120" s="844"/>
      <c r="M120" s="844"/>
      <c r="N120" s="844"/>
      <c r="O120" s="844"/>
      <c r="P120" s="844"/>
      <c r="Q120" s="844"/>
      <c r="R120" s="844"/>
      <c r="S120" s="844"/>
      <c r="T120" s="844"/>
      <c r="U120" s="844"/>
      <c r="V120" s="844"/>
      <c r="W120" s="844"/>
      <c r="X120" s="844"/>
      <c r="Y120" s="844"/>
      <c r="Z120" s="844"/>
      <c r="AA120" s="844"/>
      <c r="AB120" s="844"/>
      <c r="AC120" s="844"/>
      <c r="AD120" s="844"/>
      <c r="AE120" s="844"/>
      <c r="AF120" s="844"/>
    </row>
    <row r="121" spans="1:32">
      <c r="A121" s="844"/>
      <c r="B121" s="861"/>
      <c r="C121" s="861"/>
      <c r="D121" s="861"/>
      <c r="E121" s="861"/>
      <c r="F121" s="852"/>
      <c r="G121" s="852"/>
      <c r="H121" s="852"/>
      <c r="I121" s="852"/>
      <c r="J121" s="852"/>
      <c r="K121" s="852"/>
      <c r="L121" s="844"/>
      <c r="M121" s="844"/>
      <c r="N121" s="844"/>
      <c r="O121" s="844"/>
      <c r="P121" s="844"/>
      <c r="Q121" s="844"/>
      <c r="R121" s="844"/>
      <c r="S121" s="844"/>
      <c r="T121" s="844"/>
      <c r="U121" s="844"/>
      <c r="V121" s="844"/>
      <c r="W121" s="844"/>
      <c r="X121" s="844"/>
      <c r="Y121" s="844"/>
      <c r="Z121" s="844"/>
      <c r="AA121" s="844"/>
      <c r="AB121" s="844"/>
      <c r="AC121" s="844"/>
      <c r="AD121" s="844"/>
      <c r="AE121" s="844"/>
      <c r="AF121" s="844"/>
    </row>
    <row r="122" spans="1:32">
      <c r="A122" s="844"/>
      <c r="B122" s="861"/>
      <c r="C122" s="861"/>
      <c r="D122" s="861"/>
      <c r="E122" s="861"/>
      <c r="F122" s="852"/>
      <c r="G122" s="852"/>
      <c r="H122" s="852"/>
      <c r="I122" s="852"/>
      <c r="J122" s="852"/>
      <c r="K122" s="852"/>
      <c r="L122" s="844"/>
      <c r="M122" s="844"/>
      <c r="N122" s="844"/>
      <c r="O122" s="844"/>
      <c r="P122" s="844"/>
      <c r="Q122" s="844"/>
      <c r="R122" s="844"/>
      <c r="S122" s="844"/>
      <c r="T122" s="844"/>
      <c r="U122" s="844"/>
      <c r="V122" s="844"/>
      <c r="W122" s="844"/>
      <c r="X122" s="844"/>
      <c r="Y122" s="844"/>
      <c r="Z122" s="844"/>
      <c r="AA122" s="844"/>
      <c r="AB122" s="844"/>
      <c r="AC122" s="844"/>
      <c r="AD122" s="844"/>
      <c r="AE122" s="844"/>
      <c r="AF122" s="844"/>
    </row>
    <row r="123" spans="1:32">
      <c r="A123" s="844"/>
      <c r="B123" s="861"/>
      <c r="C123" s="861"/>
      <c r="D123" s="861"/>
      <c r="E123" s="861"/>
      <c r="F123" s="852"/>
      <c r="G123" s="852"/>
      <c r="H123" s="852"/>
      <c r="I123" s="852"/>
      <c r="J123" s="852"/>
      <c r="K123" s="852"/>
      <c r="L123" s="844"/>
      <c r="M123" s="844"/>
      <c r="N123" s="844"/>
      <c r="O123" s="844"/>
      <c r="P123" s="844"/>
      <c r="Q123" s="844"/>
      <c r="R123" s="844"/>
      <c r="S123" s="844"/>
      <c r="T123" s="844"/>
      <c r="U123" s="844"/>
      <c r="V123" s="844"/>
      <c r="W123" s="844"/>
      <c r="X123" s="844"/>
      <c r="Y123" s="844"/>
      <c r="Z123" s="844"/>
      <c r="AA123" s="844"/>
      <c r="AB123" s="844"/>
      <c r="AC123" s="844"/>
      <c r="AD123" s="844"/>
      <c r="AE123" s="844"/>
      <c r="AF123" s="844"/>
    </row>
    <row r="124" spans="1:32">
      <c r="A124" s="844"/>
      <c r="B124" s="861"/>
      <c r="C124" s="861"/>
      <c r="D124" s="861"/>
      <c r="E124" s="861"/>
      <c r="F124" s="852"/>
      <c r="G124" s="852"/>
      <c r="H124" s="852"/>
      <c r="I124" s="852"/>
      <c r="J124" s="852"/>
      <c r="K124" s="852"/>
      <c r="L124" s="844"/>
      <c r="M124" s="844"/>
      <c r="N124" s="844"/>
      <c r="O124" s="844"/>
      <c r="P124" s="844"/>
      <c r="Q124" s="844"/>
      <c r="R124" s="844"/>
      <c r="S124" s="844"/>
      <c r="T124" s="844"/>
      <c r="U124" s="844"/>
      <c r="V124" s="844"/>
      <c r="W124" s="844"/>
      <c r="X124" s="844"/>
      <c r="Y124" s="844"/>
      <c r="Z124" s="844"/>
      <c r="AA124" s="844"/>
      <c r="AB124" s="844"/>
      <c r="AC124" s="844"/>
      <c r="AD124" s="844"/>
      <c r="AE124" s="844"/>
      <c r="AF124" s="844"/>
    </row>
    <row r="125" spans="1:32">
      <c r="A125" s="844"/>
      <c r="B125" s="861"/>
      <c r="C125" s="861"/>
      <c r="D125" s="861"/>
      <c r="E125" s="861"/>
      <c r="F125" s="852"/>
      <c r="G125" s="852"/>
      <c r="H125" s="852"/>
      <c r="I125" s="852"/>
      <c r="J125" s="852"/>
      <c r="K125" s="852"/>
      <c r="L125" s="844"/>
      <c r="M125" s="844"/>
      <c r="N125" s="844"/>
      <c r="O125" s="844"/>
      <c r="P125" s="844"/>
      <c r="Q125" s="844"/>
      <c r="R125" s="844"/>
      <c r="S125" s="844"/>
      <c r="T125" s="844"/>
      <c r="U125" s="844"/>
      <c r="V125" s="844"/>
      <c r="W125" s="844"/>
      <c r="X125" s="844"/>
      <c r="Y125" s="844"/>
      <c r="Z125" s="844"/>
      <c r="AA125" s="844"/>
      <c r="AB125" s="844"/>
      <c r="AC125" s="844"/>
      <c r="AD125" s="844"/>
      <c r="AE125" s="844"/>
      <c r="AF125" s="844"/>
    </row>
    <row r="126" spans="1:32">
      <c r="A126" s="844"/>
      <c r="B126" s="861"/>
      <c r="C126" s="861"/>
      <c r="D126" s="861"/>
      <c r="E126" s="861"/>
      <c r="F126" s="852"/>
      <c r="G126" s="852"/>
      <c r="H126" s="852"/>
      <c r="I126" s="852"/>
      <c r="J126" s="852"/>
      <c r="K126" s="852"/>
      <c r="L126" s="844"/>
      <c r="M126" s="844"/>
      <c r="N126" s="844"/>
      <c r="O126" s="844"/>
      <c r="P126" s="844"/>
      <c r="Q126" s="844"/>
      <c r="R126" s="844"/>
      <c r="S126" s="844"/>
      <c r="T126" s="844"/>
      <c r="U126" s="844"/>
      <c r="V126" s="844"/>
      <c r="W126" s="844"/>
      <c r="X126" s="844"/>
      <c r="Y126" s="844"/>
      <c r="Z126" s="844"/>
      <c r="AA126" s="844"/>
      <c r="AB126" s="844"/>
      <c r="AC126" s="844"/>
      <c r="AD126" s="844"/>
      <c r="AE126" s="844"/>
      <c r="AF126" s="844"/>
    </row>
    <row r="127" spans="1:32">
      <c r="A127" s="844"/>
      <c r="B127" s="861"/>
      <c r="C127" s="861"/>
      <c r="D127" s="861"/>
      <c r="E127" s="861"/>
      <c r="F127" s="852"/>
      <c r="G127" s="852"/>
      <c r="H127" s="852"/>
      <c r="I127" s="852"/>
      <c r="J127" s="852"/>
      <c r="K127" s="852"/>
      <c r="L127" s="844"/>
      <c r="M127" s="844"/>
      <c r="N127" s="844"/>
      <c r="O127" s="844"/>
      <c r="P127" s="844"/>
      <c r="Q127" s="844"/>
      <c r="R127" s="844"/>
      <c r="S127" s="844"/>
      <c r="T127" s="844"/>
      <c r="U127" s="844"/>
      <c r="V127" s="844"/>
      <c r="W127" s="844"/>
      <c r="X127" s="844"/>
      <c r="Y127" s="844"/>
      <c r="Z127" s="844"/>
      <c r="AA127" s="844"/>
      <c r="AB127" s="844"/>
      <c r="AC127" s="844"/>
      <c r="AD127" s="844"/>
      <c r="AE127" s="844"/>
      <c r="AF127" s="844"/>
    </row>
    <row r="128" spans="1:32">
      <c r="A128" s="844"/>
      <c r="B128" s="861"/>
      <c r="C128" s="861"/>
      <c r="D128" s="861"/>
      <c r="E128" s="861"/>
      <c r="F128" s="852"/>
      <c r="G128" s="852"/>
      <c r="H128" s="852"/>
      <c r="I128" s="852"/>
      <c r="J128" s="852"/>
      <c r="K128" s="852"/>
      <c r="L128" s="844"/>
      <c r="M128" s="844"/>
      <c r="N128" s="844"/>
      <c r="O128" s="844"/>
      <c r="P128" s="844"/>
      <c r="Q128" s="844"/>
      <c r="R128" s="844"/>
      <c r="S128" s="844"/>
      <c r="T128" s="844"/>
      <c r="U128" s="844"/>
      <c r="V128" s="844"/>
      <c r="W128" s="844"/>
      <c r="X128" s="844"/>
      <c r="Y128" s="844"/>
      <c r="Z128" s="844"/>
      <c r="AA128" s="844"/>
      <c r="AB128" s="844"/>
      <c r="AC128" s="844"/>
      <c r="AD128" s="844"/>
      <c r="AE128" s="844"/>
      <c r="AF128" s="844"/>
    </row>
  </sheetData>
  <mergeCells count="10">
    <mergeCell ref="B1:J4"/>
    <mergeCell ref="K1:M1"/>
    <mergeCell ref="F19:M19"/>
    <mergeCell ref="F21:M21"/>
    <mergeCell ref="F17:M17"/>
    <mergeCell ref="B5:M5"/>
    <mergeCell ref="F9:M9"/>
    <mergeCell ref="F11:M11"/>
    <mergeCell ref="F15:M15"/>
    <mergeCell ref="F13:M13"/>
  </mergeCells>
  <phoneticPr fontId="0" type="noConversion"/>
  <dataValidations count="4">
    <dataValidation type="date" operator="greaterThanOrEqual" showInputMessage="1" showErrorMessage="1" errorTitle="xEdiS" error="Cette cellule doit contenir une Date et être supérieure ou égale à Date Début._x000a_" sqref="F17:M17" xr:uid="{00000000-0002-0000-0000-000000000000}">
      <formula1>F15</formula1>
    </dataValidation>
    <dataValidation type="date" operator="greaterThan" showInputMessage="1" showErrorMessage="1" errorTitle="xEdiS" error="Cette cellule doit contenir une Date." sqref="F15:M15" xr:uid="{00000000-0002-0000-0000-000001000000}">
      <formula1>366</formula1>
    </dataValidation>
    <dataValidation type="whole" operator="greaterThan" allowBlank="1" showInputMessage="1" showErrorMessage="1" sqref="F11:M11" xr:uid="{00000000-0002-0000-0000-000002000000}">
      <formula1>0</formula1>
    </dataValidation>
    <dataValidation operator="greaterThan" allowBlank="1" showInputMessage="1" showErrorMessage="1" sqref="F13" xr:uid="{00000000-0002-0000-0000-000003000000}"/>
  </dataValidations>
  <printOptions horizontalCentered="1" verticalCentered="1"/>
  <pageMargins left="0.19685039370078741" right="0.19685039370078741" top="0.19685039370078741" bottom="0.19685039370078741" header="0.51181102362204722" footer="0.51181102362204722"/>
  <pageSetup paperSize="9" scale="95" orientation="landscape" r:id="rId1"/>
  <headerFooter alignWithMargins="0"/>
  <ignoredErrors>
    <ignoredError sqref="F1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GoToTableau_Selection">
              <controlPr defaultSize="0" print="0" autoLine="0" autoPict="0" macro="[0]!GoToTableau">
                <anchor>
                  <from>
                    <xdr:col>1</xdr:col>
                    <xdr:colOff>0</xdr:colOff>
                    <xdr:row>5</xdr:row>
                    <xdr:rowOff>152400</xdr:rowOff>
                  </from>
                  <to>
                    <xdr:col>12</xdr:col>
                    <xdr:colOff>251460</xdr:colOff>
                    <xdr:row>6</xdr:row>
                    <xdr:rowOff>137160</xdr:rowOff>
                  </to>
                </anchor>
              </controlPr>
            </control>
          </mc:Choice>
        </mc:AlternateContent>
        <mc:AlternateContent xmlns:mc="http://schemas.openxmlformats.org/markup-compatibility/2006">
          <mc:Choice Requires="x14">
            <control shapeId="2050" r:id="rId5" name="GoToLast">
              <controlPr defaultSize="0" print="0" autoFill="0" autoPict="0" macro="[0]!GoToLastSelection">
                <anchor moveWithCells="1" sizeWithCells="1">
                  <from>
                    <xdr:col>12</xdr:col>
                    <xdr:colOff>297180</xdr:colOff>
                    <xdr:row>5</xdr:row>
                    <xdr:rowOff>152400</xdr:rowOff>
                  </from>
                  <to>
                    <xdr:col>13</xdr:col>
                    <xdr:colOff>7620</xdr:colOff>
                    <xdr:row>6</xdr:row>
                    <xdr:rowOff>144780</xdr:rowOff>
                  </to>
                </anchor>
              </controlPr>
            </control>
          </mc:Choice>
        </mc:AlternateContent>
        <mc:AlternateContent xmlns:mc="http://schemas.openxmlformats.org/markup-compatibility/2006">
          <mc:Choice Requires="x14">
            <control shapeId="2051" r:id="rId6" name="Bouton_Convertir_En_Excel_2003">
              <controlPr defaultSize="0" print="0" autoFill="0" autoPict="0" macro="[0]!Cadres_Neant.Save_To_Excel_2003">
                <anchor moveWithCells="1" sizeWithCells="1">
                  <from>
                    <xdr:col>10</xdr:col>
                    <xdr:colOff>342900</xdr:colOff>
                    <xdr:row>7</xdr:row>
                    <xdr:rowOff>45720</xdr:rowOff>
                  </from>
                  <to>
                    <xdr:col>13</xdr:col>
                    <xdr:colOff>7620</xdr:colOff>
                    <xdr:row>7</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6B3AA-8027-48D6-8FA7-6CD35F49FF4B}">
  <dimension ref="A1:D62"/>
  <sheetViews>
    <sheetView topLeftCell="A33" workbookViewId="0">
      <selection activeCell="F14" sqref="F14"/>
    </sheetView>
  </sheetViews>
  <sheetFormatPr baseColWidth="10" defaultRowHeight="13.2"/>
  <cols>
    <col min="1" max="1" width="10.5546875" bestFit="1" customWidth="1"/>
    <col min="2" max="2" width="80.88671875" bestFit="1" customWidth="1"/>
    <col min="3" max="3" width="13.6640625" bestFit="1" customWidth="1"/>
    <col min="4" max="4" width="14.21875" bestFit="1" customWidth="1"/>
  </cols>
  <sheetData>
    <row r="1" spans="1:4">
      <c r="A1" t="s">
        <v>1453</v>
      </c>
      <c r="B1" t="s">
        <v>1454</v>
      </c>
      <c r="C1" t="s">
        <v>1455</v>
      </c>
      <c r="D1" t="s">
        <v>1456</v>
      </c>
    </row>
    <row r="2" spans="1:4">
      <c r="A2">
        <v>11110000</v>
      </c>
      <c r="B2" t="s">
        <v>1457</v>
      </c>
      <c r="C2">
        <v>0</v>
      </c>
      <c r="D2">
        <v>200000</v>
      </c>
    </row>
    <row r="3" spans="1:4">
      <c r="A3">
        <v>11690000</v>
      </c>
      <c r="B3" t="s">
        <v>1458</v>
      </c>
      <c r="C3">
        <v>311644.68</v>
      </c>
      <c r="D3">
        <v>0</v>
      </c>
    </row>
    <row r="4" spans="1:4">
      <c r="A4">
        <v>11990000</v>
      </c>
      <c r="B4" t="s">
        <v>1459</v>
      </c>
      <c r="C4">
        <v>0</v>
      </c>
      <c r="D4">
        <v>0</v>
      </c>
    </row>
    <row r="5" spans="1:4">
      <c r="A5">
        <v>21110000</v>
      </c>
      <c r="B5" t="s">
        <v>1460</v>
      </c>
      <c r="C5">
        <v>4106</v>
      </c>
      <c r="D5">
        <v>0</v>
      </c>
    </row>
    <row r="6" spans="1:4">
      <c r="A6">
        <v>22200000</v>
      </c>
      <c r="B6" t="s">
        <v>38</v>
      </c>
      <c r="C6">
        <v>28250</v>
      </c>
      <c r="D6">
        <v>0</v>
      </c>
    </row>
    <row r="7" spans="1:4">
      <c r="A7">
        <v>23310000</v>
      </c>
      <c r="B7" t="s">
        <v>1461</v>
      </c>
      <c r="C7">
        <v>14860</v>
      </c>
      <c r="D7">
        <v>0</v>
      </c>
    </row>
    <row r="8" spans="1:4">
      <c r="A8">
        <v>23400000</v>
      </c>
      <c r="B8" t="s">
        <v>44</v>
      </c>
      <c r="C8">
        <v>235875</v>
      </c>
      <c r="D8">
        <v>0</v>
      </c>
    </row>
    <row r="9" spans="1:4">
      <c r="A9">
        <v>23510000</v>
      </c>
      <c r="B9" t="s">
        <v>1462</v>
      </c>
      <c r="C9">
        <v>67024.66</v>
      </c>
      <c r="D9">
        <v>0</v>
      </c>
    </row>
    <row r="10" spans="1:4">
      <c r="A10">
        <v>23550000</v>
      </c>
      <c r="B10" t="s">
        <v>1463</v>
      </c>
      <c r="C10">
        <v>13287.35</v>
      </c>
      <c r="D10">
        <v>0</v>
      </c>
    </row>
    <row r="11" spans="1:4">
      <c r="A11">
        <v>23560000</v>
      </c>
      <c r="B11" t="s">
        <v>1464</v>
      </c>
      <c r="C11">
        <v>4590</v>
      </c>
      <c r="D11">
        <v>0</v>
      </c>
    </row>
    <row r="12" spans="1:4">
      <c r="A12">
        <v>28110000</v>
      </c>
      <c r="B12" t="s">
        <v>1465</v>
      </c>
      <c r="C12">
        <v>0</v>
      </c>
      <c r="D12">
        <v>4105.6000000000004</v>
      </c>
    </row>
    <row r="13" spans="1:4">
      <c r="A13">
        <v>28220000</v>
      </c>
      <c r="B13" t="s">
        <v>1466</v>
      </c>
      <c r="C13">
        <v>0</v>
      </c>
      <c r="D13">
        <v>25895.83</v>
      </c>
    </row>
    <row r="14" spans="1:4">
      <c r="A14">
        <v>28280000</v>
      </c>
      <c r="B14" t="s">
        <v>1467</v>
      </c>
      <c r="C14">
        <v>0</v>
      </c>
      <c r="D14">
        <v>2354.17</v>
      </c>
    </row>
    <row r="15" spans="1:4">
      <c r="A15">
        <v>28330000</v>
      </c>
      <c r="B15" t="s">
        <v>1468</v>
      </c>
      <c r="C15">
        <v>0</v>
      </c>
      <c r="D15">
        <v>1795.58</v>
      </c>
    </row>
    <row r="16" spans="1:4">
      <c r="A16">
        <v>28340000</v>
      </c>
      <c r="B16" t="s">
        <v>1469</v>
      </c>
      <c r="C16">
        <v>0</v>
      </c>
      <c r="D16">
        <v>235873</v>
      </c>
    </row>
    <row r="17" spans="1:4">
      <c r="A17">
        <v>28356000</v>
      </c>
      <c r="B17" t="s">
        <v>1470</v>
      </c>
      <c r="C17">
        <v>0</v>
      </c>
      <c r="D17">
        <v>87403.12</v>
      </c>
    </row>
    <row r="18" spans="1:4">
      <c r="A18">
        <v>31510000</v>
      </c>
      <c r="B18" t="s">
        <v>1471</v>
      </c>
      <c r="C18">
        <v>471035.17</v>
      </c>
      <c r="D18">
        <v>0</v>
      </c>
    </row>
    <row r="19" spans="1:4">
      <c r="A19">
        <v>34210000</v>
      </c>
      <c r="B19" t="s">
        <v>1472</v>
      </c>
      <c r="C19">
        <v>691462.83</v>
      </c>
      <c r="D19">
        <v>0</v>
      </c>
    </row>
    <row r="20" spans="1:4">
      <c r="A20">
        <v>34530000</v>
      </c>
      <c r="B20" t="s">
        <v>1473</v>
      </c>
      <c r="C20">
        <v>6268</v>
      </c>
      <c r="D20">
        <v>0</v>
      </c>
    </row>
    <row r="21" spans="1:4">
      <c r="A21">
        <v>34550000</v>
      </c>
      <c r="B21" t="s">
        <v>1474</v>
      </c>
      <c r="C21">
        <v>4847.3500000000004</v>
      </c>
      <c r="D21">
        <v>0</v>
      </c>
    </row>
    <row r="22" spans="1:4">
      <c r="A22">
        <v>34551000</v>
      </c>
      <c r="B22" t="s">
        <v>1475</v>
      </c>
      <c r="C22">
        <v>6370</v>
      </c>
      <c r="D22">
        <v>0</v>
      </c>
    </row>
    <row r="23" spans="1:4">
      <c r="A23">
        <v>34552000</v>
      </c>
      <c r="B23" t="s">
        <v>1476</v>
      </c>
      <c r="C23">
        <v>6057.28</v>
      </c>
      <c r="D23">
        <v>0</v>
      </c>
    </row>
    <row r="24" spans="1:4">
      <c r="A24">
        <v>44110000</v>
      </c>
      <c r="B24" t="s">
        <v>1477</v>
      </c>
      <c r="C24">
        <v>0</v>
      </c>
      <c r="D24">
        <v>1023.97</v>
      </c>
    </row>
    <row r="25" spans="1:4">
      <c r="A25">
        <v>44110001</v>
      </c>
      <c r="B25" t="s">
        <v>1478</v>
      </c>
      <c r="C25">
        <v>0</v>
      </c>
      <c r="D25">
        <v>4400</v>
      </c>
    </row>
    <row r="26" spans="1:4">
      <c r="A26">
        <v>44110002</v>
      </c>
      <c r="B26" t="s">
        <v>1479</v>
      </c>
      <c r="C26">
        <v>0</v>
      </c>
      <c r="D26">
        <v>1.8189894035459999E-12</v>
      </c>
    </row>
    <row r="27" spans="1:4">
      <c r="A27">
        <v>44110003</v>
      </c>
      <c r="B27" t="s">
        <v>1480</v>
      </c>
      <c r="C27">
        <v>0</v>
      </c>
      <c r="D27">
        <v>1941.53</v>
      </c>
    </row>
    <row r="28" spans="1:4">
      <c r="A28">
        <v>44110012</v>
      </c>
      <c r="B28" t="s">
        <v>1481</v>
      </c>
      <c r="C28">
        <v>0</v>
      </c>
      <c r="D28">
        <v>142.80000000000001</v>
      </c>
    </row>
    <row r="29" spans="1:4">
      <c r="A29">
        <v>44110013</v>
      </c>
      <c r="B29" t="s">
        <v>1482</v>
      </c>
      <c r="C29">
        <v>0</v>
      </c>
      <c r="D29">
        <v>991.42</v>
      </c>
    </row>
    <row r="30" spans="1:4">
      <c r="A30">
        <v>44110015</v>
      </c>
      <c r="B30" t="s">
        <v>1483</v>
      </c>
      <c r="C30">
        <v>0</v>
      </c>
      <c r="D30">
        <v>8006.2</v>
      </c>
    </row>
    <row r="31" spans="1:4">
      <c r="A31">
        <v>44110018</v>
      </c>
      <c r="B31" t="s">
        <v>1484</v>
      </c>
      <c r="C31">
        <v>0</v>
      </c>
      <c r="D31">
        <v>16500</v>
      </c>
    </row>
    <row r="32" spans="1:4">
      <c r="A32">
        <v>44110024</v>
      </c>
      <c r="B32" t="s">
        <v>1485</v>
      </c>
      <c r="C32">
        <v>0</v>
      </c>
      <c r="D32">
        <v>4465.6000000000004</v>
      </c>
    </row>
    <row r="33" spans="1:4">
      <c r="A33">
        <v>44110223</v>
      </c>
      <c r="B33" t="s">
        <v>1486</v>
      </c>
      <c r="C33">
        <v>0</v>
      </c>
      <c r="D33">
        <v>0</v>
      </c>
    </row>
    <row r="34" spans="1:4">
      <c r="A34">
        <v>44110689</v>
      </c>
      <c r="B34" t="s">
        <v>1487</v>
      </c>
      <c r="C34">
        <v>0</v>
      </c>
      <c r="D34">
        <v>7870.8</v>
      </c>
    </row>
    <row r="35" spans="1:4">
      <c r="A35">
        <v>44320000</v>
      </c>
      <c r="B35" t="s">
        <v>1488</v>
      </c>
      <c r="C35">
        <v>0</v>
      </c>
      <c r="D35">
        <v>636333.21</v>
      </c>
    </row>
    <row r="36" spans="1:4">
      <c r="A36">
        <v>44410000</v>
      </c>
      <c r="B36" t="s">
        <v>1489</v>
      </c>
      <c r="C36">
        <v>0</v>
      </c>
      <c r="D36">
        <v>3462.77</v>
      </c>
    </row>
    <row r="37" spans="1:4">
      <c r="A37">
        <v>44522000</v>
      </c>
      <c r="B37" t="s">
        <v>1490</v>
      </c>
      <c r="C37">
        <v>0</v>
      </c>
      <c r="D37">
        <v>4800</v>
      </c>
    </row>
    <row r="38" spans="1:4">
      <c r="A38">
        <v>44525000</v>
      </c>
      <c r="B38" t="s">
        <v>1491</v>
      </c>
      <c r="C38">
        <v>0</v>
      </c>
      <c r="D38">
        <v>1637.69</v>
      </c>
    </row>
    <row r="39" spans="1:4">
      <c r="A39">
        <v>44530000</v>
      </c>
      <c r="B39" t="s">
        <v>1492</v>
      </c>
      <c r="C39">
        <v>0</v>
      </c>
      <c r="D39">
        <v>2842</v>
      </c>
    </row>
    <row r="40" spans="1:4">
      <c r="A40">
        <v>44550000</v>
      </c>
      <c r="B40" t="s">
        <v>1493</v>
      </c>
      <c r="C40">
        <v>0</v>
      </c>
      <c r="D40">
        <v>120708.12</v>
      </c>
    </row>
    <row r="41" spans="1:4">
      <c r="A41">
        <v>44560000</v>
      </c>
      <c r="B41" t="s">
        <v>1494</v>
      </c>
      <c r="C41">
        <v>0</v>
      </c>
      <c r="D41">
        <v>9198.09</v>
      </c>
    </row>
    <row r="42" spans="1:4">
      <c r="A42">
        <v>44630000</v>
      </c>
      <c r="B42" t="s">
        <v>1495</v>
      </c>
      <c r="C42">
        <v>0</v>
      </c>
      <c r="D42">
        <v>497987.24</v>
      </c>
    </row>
    <row r="43" spans="1:4">
      <c r="A43">
        <v>51410000</v>
      </c>
      <c r="B43" t="s">
        <v>1496</v>
      </c>
      <c r="C43">
        <v>6157.27</v>
      </c>
      <c r="D43">
        <v>0</v>
      </c>
    </row>
    <row r="44" spans="1:4">
      <c r="A44">
        <v>51610000</v>
      </c>
      <c r="B44" t="s">
        <v>1497</v>
      </c>
      <c r="C44">
        <v>5237.53</v>
      </c>
      <c r="D44">
        <v>0</v>
      </c>
    </row>
    <row r="45" spans="1:4">
      <c r="A45">
        <v>61250000</v>
      </c>
      <c r="B45" t="s">
        <v>1498</v>
      </c>
      <c r="C45">
        <v>10334.040000000001</v>
      </c>
      <c r="D45">
        <v>0</v>
      </c>
    </row>
    <row r="46" spans="1:4">
      <c r="A46">
        <v>61310000</v>
      </c>
      <c r="B46" t="s">
        <v>1499</v>
      </c>
      <c r="C46">
        <v>52800</v>
      </c>
      <c r="D46">
        <v>0</v>
      </c>
    </row>
    <row r="47" spans="1:4">
      <c r="A47">
        <v>61450000</v>
      </c>
      <c r="B47" t="s">
        <v>1500</v>
      </c>
      <c r="C47">
        <v>12179.26</v>
      </c>
      <c r="D47">
        <v>0</v>
      </c>
    </row>
    <row r="48" spans="1:4">
      <c r="A48">
        <v>61470000</v>
      </c>
      <c r="B48" t="s">
        <v>1501</v>
      </c>
      <c r="C48">
        <v>949.82</v>
      </c>
      <c r="D48">
        <v>0</v>
      </c>
    </row>
    <row r="49" spans="1:4">
      <c r="A49">
        <v>61612000</v>
      </c>
      <c r="B49" t="s">
        <v>1502</v>
      </c>
      <c r="C49">
        <v>4800</v>
      </c>
      <c r="D49">
        <v>0</v>
      </c>
    </row>
    <row r="50" spans="1:4">
      <c r="A50">
        <v>61671000</v>
      </c>
      <c r="B50" t="s">
        <v>1503</v>
      </c>
      <c r="C50">
        <v>16</v>
      </c>
      <c r="D50">
        <v>0</v>
      </c>
    </row>
    <row r="51" spans="1:4">
      <c r="A51">
        <v>61680000</v>
      </c>
      <c r="B51" t="s">
        <v>1504</v>
      </c>
      <c r="C51">
        <v>9600</v>
      </c>
      <c r="D51">
        <v>0</v>
      </c>
    </row>
    <row r="52" spans="1:4">
      <c r="A52">
        <v>61710000</v>
      </c>
      <c r="B52" t="s">
        <v>1505</v>
      </c>
      <c r="C52">
        <v>151856</v>
      </c>
      <c r="D52">
        <v>0</v>
      </c>
    </row>
    <row r="53" spans="1:4">
      <c r="A53">
        <v>61712000</v>
      </c>
      <c r="B53" t="s">
        <v>1506</v>
      </c>
      <c r="C53">
        <v>50905</v>
      </c>
      <c r="D53">
        <v>0</v>
      </c>
    </row>
    <row r="54" spans="1:4">
      <c r="A54">
        <v>61740000</v>
      </c>
      <c r="B54" t="s">
        <v>1507</v>
      </c>
      <c r="C54">
        <v>31223.279999999999</v>
      </c>
      <c r="D54">
        <v>0</v>
      </c>
    </row>
    <row r="55" spans="1:4">
      <c r="A55">
        <v>61850000</v>
      </c>
      <c r="B55" t="s">
        <v>1508</v>
      </c>
      <c r="C55">
        <v>8.0399999999999991</v>
      </c>
      <c r="D55">
        <v>0</v>
      </c>
    </row>
    <row r="56" spans="1:4">
      <c r="A56">
        <v>61935000</v>
      </c>
      <c r="B56" t="s">
        <v>1509</v>
      </c>
      <c r="C56">
        <v>7815.47</v>
      </c>
      <c r="D56">
        <v>0</v>
      </c>
    </row>
    <row r="57" spans="1:4">
      <c r="A57">
        <v>65830000</v>
      </c>
      <c r="B57" t="s">
        <v>1510</v>
      </c>
      <c r="C57">
        <v>2040</v>
      </c>
      <c r="D57">
        <v>0</v>
      </c>
    </row>
    <row r="58" spans="1:4">
      <c r="A58">
        <v>67050000</v>
      </c>
      <c r="B58" t="s">
        <v>1511</v>
      </c>
      <c r="C58">
        <v>3000</v>
      </c>
      <c r="D58">
        <v>0</v>
      </c>
    </row>
    <row r="59" spans="1:4">
      <c r="A59">
        <v>71210000</v>
      </c>
      <c r="B59" t="s">
        <v>1512</v>
      </c>
      <c r="C59">
        <v>0</v>
      </c>
      <c r="D59">
        <v>1500</v>
      </c>
    </row>
    <row r="60" spans="1:4">
      <c r="A60">
        <v>71240000</v>
      </c>
      <c r="B60" t="s">
        <v>1513</v>
      </c>
      <c r="C60">
        <v>0</v>
      </c>
      <c r="D60">
        <v>263357.67</v>
      </c>
    </row>
    <row r="61" spans="1:4">
      <c r="A61">
        <v>71312000</v>
      </c>
      <c r="B61" t="s">
        <v>1514</v>
      </c>
      <c r="C61">
        <v>0</v>
      </c>
      <c r="D61">
        <v>70000</v>
      </c>
    </row>
    <row r="62" spans="1:4">
      <c r="A62">
        <v>71850000</v>
      </c>
      <c r="B62" t="s">
        <v>1515</v>
      </c>
      <c r="C62">
        <v>0</v>
      </c>
      <c r="D62">
        <v>3.62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alanceN">
    <pageSetUpPr fitToPage="1"/>
  </sheetPr>
  <dimension ref="A1:G10001"/>
  <sheetViews>
    <sheetView topLeftCell="C1" workbookViewId="0">
      <pane ySplit="1" topLeftCell="A2" activePane="bottomLeft" state="frozen"/>
      <selection activeCell="F9" sqref="F9:M9"/>
      <selection pane="bottomLeft" activeCell="C2" sqref="C2"/>
    </sheetView>
  </sheetViews>
  <sheetFormatPr baseColWidth="10" defaultColWidth="11.44140625" defaultRowHeight="13.2"/>
  <cols>
    <col min="1" max="1" width="9.5546875" style="617" hidden="1" customWidth="1"/>
    <col min="2" max="2" width="10" style="617" hidden="1" customWidth="1"/>
    <col min="3" max="3" width="23.6640625" style="202" customWidth="1"/>
    <col min="4" max="4" width="70.6640625" style="202" customWidth="1"/>
    <col min="5" max="6" width="19.6640625" style="203" customWidth="1"/>
    <col min="7" max="16384" width="11.44140625" style="204"/>
  </cols>
  <sheetData>
    <row r="1" spans="1:7" customFormat="1" ht="32.25" customHeight="1">
      <c r="A1" s="616"/>
      <c r="B1" s="682" t="s">
        <v>1205</v>
      </c>
      <c r="C1" s="891" t="s">
        <v>1453</v>
      </c>
      <c r="D1" s="135" t="s">
        <v>556</v>
      </c>
      <c r="E1" s="136" t="s">
        <v>559</v>
      </c>
      <c r="F1" s="136" t="s">
        <v>560</v>
      </c>
      <c r="G1" s="618"/>
    </row>
    <row r="2" spans="1:7">
      <c r="A2" t="str">
        <f t="shared" ref="A2:A65" ca="1" si="0">CONCATENATE(INDIRECT(ADDRESS(ROW(),3)))</f>
        <v>11110000</v>
      </c>
      <c r="B2">
        <f t="shared" ref="B2:B65" ca="1" si="1">IF(IF(INDIRECT(ADDRESS(ROW(),1))&lt;&gt;"",IF(ISNA(MATCH(LEFT(INDIRECT(ADDRESS(ROW(),1)),2),PCNG_MN,0))=TRUE,1,0),0)+IF(INDIRECT(ADDRESS(ROW(),1))&lt;&gt;"",IF(ISNA(MATCH(LEFT(INDIRECT(ADDRESS(ROW(),1)),3),PCNG_MN,0))=TRUE,1,0),0)+IF(INDIRECT(ADDRESS(ROW(),1))&lt;&gt;"",IF(ISNA(MATCH(LEFT(INDIRECT(ADDRESS(ROW(),1)),4),PCNG_MN,0))=TRUE,1,0),0)&gt;=3,1,0)</f>
        <v>0</v>
      </c>
      <c r="C2" s="204">
        <v>11110000</v>
      </c>
      <c r="D2" s="204" t="s">
        <v>1457</v>
      </c>
      <c r="E2" s="204">
        <v>0</v>
      </c>
      <c r="F2" s="204">
        <v>200000</v>
      </c>
    </row>
    <row r="3" spans="1:7">
      <c r="A3" t="str">
        <f t="shared" ca="1" si="0"/>
        <v>11690000</v>
      </c>
      <c r="B3">
        <f t="shared" ca="1" si="1"/>
        <v>0</v>
      </c>
      <c r="C3" s="204">
        <v>11690000</v>
      </c>
      <c r="D3" s="204" t="s">
        <v>1458</v>
      </c>
      <c r="E3" s="204">
        <v>311644.68</v>
      </c>
      <c r="F3" s="204">
        <v>0</v>
      </c>
    </row>
    <row r="4" spans="1:7">
      <c r="A4" t="str">
        <f t="shared" ca="1" si="0"/>
        <v>11990000</v>
      </c>
      <c r="B4">
        <f t="shared" ca="1" si="1"/>
        <v>0</v>
      </c>
      <c r="C4" s="204">
        <v>11990000</v>
      </c>
      <c r="D4" s="204" t="s">
        <v>1459</v>
      </c>
      <c r="E4" s="204">
        <v>0</v>
      </c>
      <c r="F4" s="204">
        <v>0</v>
      </c>
    </row>
    <row r="5" spans="1:7">
      <c r="A5" t="str">
        <f t="shared" ca="1" si="0"/>
        <v>21110000</v>
      </c>
      <c r="B5">
        <f t="shared" ca="1" si="1"/>
        <v>0</v>
      </c>
      <c r="C5" s="204">
        <v>21110000</v>
      </c>
      <c r="D5" s="204" t="s">
        <v>1460</v>
      </c>
      <c r="E5" s="204">
        <v>4106</v>
      </c>
      <c r="F5" s="204">
        <v>0</v>
      </c>
    </row>
    <row r="6" spans="1:7">
      <c r="A6" t="str">
        <f t="shared" ca="1" si="0"/>
        <v>22200000</v>
      </c>
      <c r="B6">
        <f t="shared" ca="1" si="1"/>
        <v>0</v>
      </c>
      <c r="C6" s="204">
        <v>22200000</v>
      </c>
      <c r="D6" s="204" t="s">
        <v>38</v>
      </c>
      <c r="E6" s="204">
        <v>28250</v>
      </c>
      <c r="F6" s="204">
        <v>0</v>
      </c>
    </row>
    <row r="7" spans="1:7">
      <c r="A7" t="str">
        <f t="shared" ca="1" si="0"/>
        <v>23310000</v>
      </c>
      <c r="B7">
        <f t="shared" ca="1" si="1"/>
        <v>0</v>
      </c>
      <c r="C7" s="204">
        <v>23310000</v>
      </c>
      <c r="D7" s="204" t="s">
        <v>1461</v>
      </c>
      <c r="E7" s="204">
        <v>14860</v>
      </c>
      <c r="F7" s="204">
        <v>0</v>
      </c>
    </row>
    <row r="8" spans="1:7">
      <c r="A8" t="str">
        <f t="shared" ca="1" si="0"/>
        <v>23400000</v>
      </c>
      <c r="B8">
        <f t="shared" ca="1" si="1"/>
        <v>0</v>
      </c>
      <c r="C8" s="204">
        <v>23400000</v>
      </c>
      <c r="D8" s="204" t="s">
        <v>44</v>
      </c>
      <c r="E8" s="204">
        <v>235875</v>
      </c>
      <c r="F8" s="204">
        <v>0</v>
      </c>
    </row>
    <row r="9" spans="1:7">
      <c r="A9" t="str">
        <f t="shared" ca="1" si="0"/>
        <v>23510000</v>
      </c>
      <c r="B9">
        <f t="shared" ca="1" si="1"/>
        <v>0</v>
      </c>
      <c r="C9" s="204">
        <v>23510000</v>
      </c>
      <c r="D9" s="204" t="s">
        <v>1462</v>
      </c>
      <c r="E9" s="204">
        <v>67024.66</v>
      </c>
      <c r="F9" s="204">
        <v>0</v>
      </c>
    </row>
    <row r="10" spans="1:7">
      <c r="A10" t="str">
        <f t="shared" ca="1" si="0"/>
        <v>23550000</v>
      </c>
      <c r="B10">
        <f t="shared" ca="1" si="1"/>
        <v>0</v>
      </c>
      <c r="C10" s="204">
        <v>23550000</v>
      </c>
      <c r="D10" s="204" t="s">
        <v>1463</v>
      </c>
      <c r="E10" s="204">
        <v>13287.35</v>
      </c>
      <c r="F10" s="204">
        <v>0</v>
      </c>
    </row>
    <row r="11" spans="1:7">
      <c r="A11" t="str">
        <f t="shared" ca="1" si="0"/>
        <v>23560000</v>
      </c>
      <c r="B11">
        <f t="shared" ca="1" si="1"/>
        <v>0</v>
      </c>
      <c r="C11" s="204">
        <v>23560000</v>
      </c>
      <c r="D11" s="204" t="s">
        <v>1464</v>
      </c>
      <c r="E11" s="204">
        <v>4590</v>
      </c>
      <c r="F11" s="204">
        <v>0</v>
      </c>
    </row>
    <row r="12" spans="1:7">
      <c r="A12" t="str">
        <f t="shared" ca="1" si="0"/>
        <v>28110000</v>
      </c>
      <c r="B12">
        <f t="shared" ca="1" si="1"/>
        <v>0</v>
      </c>
      <c r="C12" s="204">
        <v>28110000</v>
      </c>
      <c r="D12" s="204" t="s">
        <v>1465</v>
      </c>
      <c r="E12" s="204">
        <v>0</v>
      </c>
      <c r="F12" s="204">
        <v>4105.6000000000004</v>
      </c>
    </row>
    <row r="13" spans="1:7">
      <c r="A13" t="str">
        <f t="shared" ca="1" si="0"/>
        <v>28220000</v>
      </c>
      <c r="B13">
        <f t="shared" ca="1" si="1"/>
        <v>0</v>
      </c>
      <c r="C13" s="204">
        <v>28220000</v>
      </c>
      <c r="D13" s="204" t="s">
        <v>1466</v>
      </c>
      <c r="E13" s="204">
        <v>0</v>
      </c>
      <c r="F13" s="204">
        <v>25895.83</v>
      </c>
    </row>
    <row r="14" spans="1:7">
      <c r="A14" t="str">
        <f t="shared" ca="1" si="0"/>
        <v>28280000</v>
      </c>
      <c r="B14">
        <f t="shared" ca="1" si="1"/>
        <v>0</v>
      </c>
      <c r="C14" s="204">
        <v>28280000</v>
      </c>
      <c r="D14" s="204" t="s">
        <v>1467</v>
      </c>
      <c r="E14" s="204">
        <v>0</v>
      </c>
      <c r="F14" s="204">
        <v>2354.17</v>
      </c>
    </row>
    <row r="15" spans="1:7">
      <c r="A15" t="str">
        <f t="shared" ca="1" si="0"/>
        <v>28330000</v>
      </c>
      <c r="B15">
        <f t="shared" ca="1" si="1"/>
        <v>0</v>
      </c>
      <c r="C15" s="204">
        <v>28330000</v>
      </c>
      <c r="D15" s="204" t="s">
        <v>1468</v>
      </c>
      <c r="E15" s="204">
        <v>0</v>
      </c>
      <c r="F15" s="204">
        <v>1795.58</v>
      </c>
    </row>
    <row r="16" spans="1:7">
      <c r="A16" t="str">
        <f t="shared" ca="1" si="0"/>
        <v>28340000</v>
      </c>
      <c r="B16">
        <f t="shared" ca="1" si="1"/>
        <v>0</v>
      </c>
      <c r="C16" s="204">
        <v>28340000</v>
      </c>
      <c r="D16" s="204" t="s">
        <v>1469</v>
      </c>
      <c r="E16" s="204">
        <v>0</v>
      </c>
      <c r="F16" s="204">
        <v>235873</v>
      </c>
    </row>
    <row r="17" spans="1:6">
      <c r="A17" t="str">
        <f t="shared" ca="1" si="0"/>
        <v>28356000</v>
      </c>
      <c r="B17">
        <f t="shared" ca="1" si="1"/>
        <v>0</v>
      </c>
      <c r="C17" s="204">
        <v>28356000</v>
      </c>
      <c r="D17" s="204" t="s">
        <v>1470</v>
      </c>
      <c r="E17" s="204">
        <v>0</v>
      </c>
      <c r="F17" s="204">
        <v>87403.12</v>
      </c>
    </row>
    <row r="18" spans="1:6">
      <c r="A18" t="str">
        <f t="shared" ca="1" si="0"/>
        <v>31510000</v>
      </c>
      <c r="B18">
        <f t="shared" ca="1" si="1"/>
        <v>0</v>
      </c>
      <c r="C18" s="204">
        <v>31510000</v>
      </c>
      <c r="D18" s="204" t="s">
        <v>1471</v>
      </c>
      <c r="E18" s="204">
        <v>471035.17</v>
      </c>
      <c r="F18" s="204">
        <v>0</v>
      </c>
    </row>
    <row r="19" spans="1:6">
      <c r="A19" t="str">
        <f t="shared" ca="1" si="0"/>
        <v>34210000</v>
      </c>
      <c r="B19">
        <f t="shared" ca="1" si="1"/>
        <v>0</v>
      </c>
      <c r="C19" s="204">
        <v>34210000</v>
      </c>
      <c r="D19" s="204" t="s">
        <v>1472</v>
      </c>
      <c r="E19" s="204">
        <v>691462.83</v>
      </c>
      <c r="F19" s="204">
        <v>0</v>
      </c>
    </row>
    <row r="20" spans="1:6">
      <c r="A20" t="str">
        <f t="shared" ca="1" si="0"/>
        <v>34530000</v>
      </c>
      <c r="B20">
        <f t="shared" ca="1" si="1"/>
        <v>0</v>
      </c>
      <c r="C20" s="204">
        <v>34530000</v>
      </c>
      <c r="D20" s="204" t="s">
        <v>1473</v>
      </c>
      <c r="E20" s="204">
        <v>6268</v>
      </c>
      <c r="F20" s="204">
        <v>0</v>
      </c>
    </row>
    <row r="21" spans="1:6">
      <c r="A21" t="str">
        <f t="shared" ca="1" si="0"/>
        <v>34550000</v>
      </c>
      <c r="B21">
        <f t="shared" ca="1" si="1"/>
        <v>0</v>
      </c>
      <c r="C21" s="204">
        <v>34550000</v>
      </c>
      <c r="D21" s="204" t="s">
        <v>1474</v>
      </c>
      <c r="E21" s="204">
        <v>4847.3500000000004</v>
      </c>
      <c r="F21" s="204">
        <v>0</v>
      </c>
    </row>
    <row r="22" spans="1:6">
      <c r="A22" t="str">
        <f t="shared" ca="1" si="0"/>
        <v>34551000</v>
      </c>
      <c r="B22">
        <f t="shared" ca="1" si="1"/>
        <v>0</v>
      </c>
      <c r="C22" s="204">
        <v>34551000</v>
      </c>
      <c r="D22" s="204" t="s">
        <v>1475</v>
      </c>
      <c r="E22" s="204">
        <v>6370</v>
      </c>
      <c r="F22" s="204">
        <v>0</v>
      </c>
    </row>
    <row r="23" spans="1:6">
      <c r="A23" t="str">
        <f t="shared" ca="1" si="0"/>
        <v>34552000</v>
      </c>
      <c r="B23">
        <f t="shared" ca="1" si="1"/>
        <v>0</v>
      </c>
      <c r="C23" s="204">
        <v>34552000</v>
      </c>
      <c r="D23" s="204" t="s">
        <v>1476</v>
      </c>
      <c r="E23" s="204">
        <v>6057.28</v>
      </c>
      <c r="F23" s="204">
        <v>0</v>
      </c>
    </row>
    <row r="24" spans="1:6">
      <c r="A24" t="str">
        <f t="shared" ca="1" si="0"/>
        <v>44110000</v>
      </c>
      <c r="B24">
        <f t="shared" ca="1" si="1"/>
        <v>0</v>
      </c>
      <c r="C24" s="204">
        <v>44110000</v>
      </c>
      <c r="D24" s="204" t="s">
        <v>1477</v>
      </c>
      <c r="E24" s="204">
        <v>0</v>
      </c>
      <c r="F24" s="204">
        <v>1023.97</v>
      </c>
    </row>
    <row r="25" spans="1:6">
      <c r="A25" t="str">
        <f t="shared" ca="1" si="0"/>
        <v>44110001</v>
      </c>
      <c r="B25">
        <f t="shared" ca="1" si="1"/>
        <v>0</v>
      </c>
      <c r="C25" s="204">
        <v>44110001</v>
      </c>
      <c r="D25" s="204" t="s">
        <v>1478</v>
      </c>
      <c r="E25" s="204">
        <v>0</v>
      </c>
      <c r="F25" s="204">
        <v>4400</v>
      </c>
    </row>
    <row r="26" spans="1:6">
      <c r="A26" t="str">
        <f t="shared" ca="1" si="0"/>
        <v>44110002</v>
      </c>
      <c r="B26">
        <f t="shared" ca="1" si="1"/>
        <v>0</v>
      </c>
      <c r="C26" s="204">
        <v>44110002</v>
      </c>
      <c r="D26" s="204" t="s">
        <v>1479</v>
      </c>
      <c r="E26" s="204">
        <v>0</v>
      </c>
      <c r="F26" s="204">
        <v>1.8189894035459999E-12</v>
      </c>
    </row>
    <row r="27" spans="1:6">
      <c r="A27" t="str">
        <f t="shared" ca="1" si="0"/>
        <v>44110003</v>
      </c>
      <c r="B27">
        <f t="shared" ca="1" si="1"/>
        <v>0</v>
      </c>
      <c r="C27" s="204">
        <v>44110003</v>
      </c>
      <c r="D27" s="204" t="s">
        <v>1480</v>
      </c>
      <c r="E27" s="204">
        <v>0</v>
      </c>
      <c r="F27" s="204">
        <v>1941.53</v>
      </c>
    </row>
    <row r="28" spans="1:6">
      <c r="A28" t="str">
        <f t="shared" ca="1" si="0"/>
        <v>44110012</v>
      </c>
      <c r="B28">
        <f t="shared" ca="1" si="1"/>
        <v>0</v>
      </c>
      <c r="C28" s="204">
        <v>44110012</v>
      </c>
      <c r="D28" s="204" t="s">
        <v>1481</v>
      </c>
      <c r="E28" s="204">
        <v>0</v>
      </c>
      <c r="F28" s="204">
        <v>142.80000000000001</v>
      </c>
    </row>
    <row r="29" spans="1:6">
      <c r="A29" t="str">
        <f t="shared" ca="1" si="0"/>
        <v>44110013</v>
      </c>
      <c r="B29">
        <f t="shared" ca="1" si="1"/>
        <v>0</v>
      </c>
      <c r="C29" s="204">
        <v>44110013</v>
      </c>
      <c r="D29" s="204" t="s">
        <v>1482</v>
      </c>
      <c r="E29" s="204">
        <v>0</v>
      </c>
      <c r="F29" s="204">
        <v>991.42</v>
      </c>
    </row>
    <row r="30" spans="1:6">
      <c r="A30" t="str">
        <f t="shared" ca="1" si="0"/>
        <v>44110015</v>
      </c>
      <c r="B30">
        <f t="shared" ca="1" si="1"/>
        <v>0</v>
      </c>
      <c r="C30" s="204">
        <v>44110015</v>
      </c>
      <c r="D30" s="204" t="s">
        <v>1483</v>
      </c>
      <c r="E30" s="204">
        <v>0</v>
      </c>
      <c r="F30" s="204">
        <v>8006.2</v>
      </c>
    </row>
    <row r="31" spans="1:6">
      <c r="A31" t="str">
        <f t="shared" ca="1" si="0"/>
        <v>44110018</v>
      </c>
      <c r="B31">
        <f t="shared" ca="1" si="1"/>
        <v>0</v>
      </c>
      <c r="C31" s="204">
        <v>44110018</v>
      </c>
      <c r="D31" s="204" t="s">
        <v>1484</v>
      </c>
      <c r="E31" s="204">
        <v>0</v>
      </c>
      <c r="F31" s="204">
        <v>16500</v>
      </c>
    </row>
    <row r="32" spans="1:6">
      <c r="A32" t="str">
        <f t="shared" ca="1" si="0"/>
        <v>44110024</v>
      </c>
      <c r="B32">
        <f t="shared" ca="1" si="1"/>
        <v>0</v>
      </c>
      <c r="C32" s="204">
        <v>44110024</v>
      </c>
      <c r="D32" s="204" t="s">
        <v>1485</v>
      </c>
      <c r="E32" s="204">
        <v>0</v>
      </c>
      <c r="F32" s="204">
        <v>4465.6000000000004</v>
      </c>
    </row>
    <row r="33" spans="1:6">
      <c r="A33" t="str">
        <f t="shared" ca="1" si="0"/>
        <v>44110223</v>
      </c>
      <c r="B33">
        <f t="shared" ca="1" si="1"/>
        <v>0</v>
      </c>
      <c r="C33" s="204">
        <v>44110223</v>
      </c>
      <c r="D33" s="204" t="s">
        <v>1486</v>
      </c>
      <c r="E33" s="204">
        <v>0</v>
      </c>
      <c r="F33" s="204">
        <v>0</v>
      </c>
    </row>
    <row r="34" spans="1:6">
      <c r="A34" t="str">
        <f t="shared" ca="1" si="0"/>
        <v>44110689</v>
      </c>
      <c r="B34">
        <f t="shared" ca="1" si="1"/>
        <v>0</v>
      </c>
      <c r="C34" s="204">
        <v>44110689</v>
      </c>
      <c r="D34" s="204" t="s">
        <v>1487</v>
      </c>
      <c r="E34" s="204">
        <v>0</v>
      </c>
      <c r="F34" s="204">
        <v>7870.8</v>
      </c>
    </row>
    <row r="35" spans="1:6">
      <c r="A35" t="str">
        <f t="shared" ca="1" si="0"/>
        <v>44320000</v>
      </c>
      <c r="B35">
        <f t="shared" ca="1" si="1"/>
        <v>0</v>
      </c>
      <c r="C35" s="204">
        <v>44320000</v>
      </c>
      <c r="D35" s="204" t="s">
        <v>1488</v>
      </c>
      <c r="E35" s="204">
        <v>0</v>
      </c>
      <c r="F35" s="204">
        <v>636333.21</v>
      </c>
    </row>
    <row r="36" spans="1:6">
      <c r="A36" t="str">
        <f t="shared" ca="1" si="0"/>
        <v>44410000</v>
      </c>
      <c r="B36">
        <f t="shared" ca="1" si="1"/>
        <v>0</v>
      </c>
      <c r="C36" s="204">
        <v>44410000</v>
      </c>
      <c r="D36" s="204" t="s">
        <v>1489</v>
      </c>
      <c r="E36" s="204">
        <v>0</v>
      </c>
      <c r="F36" s="204">
        <v>3462.77</v>
      </c>
    </row>
    <row r="37" spans="1:6">
      <c r="A37" t="str">
        <f t="shared" ca="1" si="0"/>
        <v>44522000</v>
      </c>
      <c r="B37">
        <f t="shared" ca="1" si="1"/>
        <v>0</v>
      </c>
      <c r="C37" s="204">
        <v>44522000</v>
      </c>
      <c r="D37" s="204" t="s">
        <v>1490</v>
      </c>
      <c r="E37" s="204">
        <v>0</v>
      </c>
      <c r="F37" s="204">
        <v>4800</v>
      </c>
    </row>
    <row r="38" spans="1:6">
      <c r="A38" t="str">
        <f t="shared" ca="1" si="0"/>
        <v>44525000</v>
      </c>
      <c r="B38">
        <f t="shared" ca="1" si="1"/>
        <v>0</v>
      </c>
      <c r="C38" s="204">
        <v>44525000</v>
      </c>
      <c r="D38" s="204" t="s">
        <v>1491</v>
      </c>
      <c r="E38" s="204">
        <v>0</v>
      </c>
      <c r="F38" s="204">
        <v>1637.69</v>
      </c>
    </row>
    <row r="39" spans="1:6">
      <c r="A39" t="str">
        <f t="shared" ca="1" si="0"/>
        <v>44530000</v>
      </c>
      <c r="B39">
        <f t="shared" ca="1" si="1"/>
        <v>0</v>
      </c>
      <c r="C39" s="204">
        <v>44530000</v>
      </c>
      <c r="D39" s="204" t="s">
        <v>1492</v>
      </c>
      <c r="E39" s="204">
        <v>0</v>
      </c>
      <c r="F39" s="204">
        <v>2842</v>
      </c>
    </row>
    <row r="40" spans="1:6">
      <c r="A40" t="str">
        <f t="shared" ca="1" si="0"/>
        <v>44550000</v>
      </c>
      <c r="B40">
        <f t="shared" ca="1" si="1"/>
        <v>0</v>
      </c>
      <c r="C40" s="204">
        <v>44550000</v>
      </c>
      <c r="D40" s="204" t="s">
        <v>1493</v>
      </c>
      <c r="E40" s="204">
        <v>0</v>
      </c>
      <c r="F40" s="204">
        <v>120708.12</v>
      </c>
    </row>
    <row r="41" spans="1:6">
      <c r="A41" t="str">
        <f t="shared" ca="1" si="0"/>
        <v>44560000</v>
      </c>
      <c r="B41">
        <f t="shared" ca="1" si="1"/>
        <v>0</v>
      </c>
      <c r="C41" s="204">
        <v>44560000</v>
      </c>
      <c r="D41" s="204" t="s">
        <v>1494</v>
      </c>
      <c r="E41" s="204">
        <v>0</v>
      </c>
      <c r="F41" s="204">
        <v>9198.09</v>
      </c>
    </row>
    <row r="42" spans="1:6">
      <c r="A42" t="str">
        <f t="shared" ca="1" si="0"/>
        <v>44630000</v>
      </c>
      <c r="B42">
        <f t="shared" ca="1" si="1"/>
        <v>0</v>
      </c>
      <c r="C42" s="204">
        <v>44630000</v>
      </c>
      <c r="D42" s="204" t="s">
        <v>1495</v>
      </c>
      <c r="E42" s="204">
        <v>0</v>
      </c>
      <c r="F42" s="204">
        <v>497987.24</v>
      </c>
    </row>
    <row r="43" spans="1:6">
      <c r="A43" t="str">
        <f t="shared" ca="1" si="0"/>
        <v>51410000</v>
      </c>
      <c r="B43">
        <f t="shared" ca="1" si="1"/>
        <v>0</v>
      </c>
      <c r="C43" s="204">
        <v>51410000</v>
      </c>
      <c r="D43" s="204" t="s">
        <v>1496</v>
      </c>
      <c r="E43" s="204">
        <v>6157.27</v>
      </c>
      <c r="F43" s="204">
        <v>0</v>
      </c>
    </row>
    <row r="44" spans="1:6">
      <c r="A44" t="str">
        <f t="shared" ca="1" si="0"/>
        <v>51610000</v>
      </c>
      <c r="B44">
        <f t="shared" ca="1" si="1"/>
        <v>0</v>
      </c>
      <c r="C44" s="204">
        <v>51610000</v>
      </c>
      <c r="D44" s="204" t="s">
        <v>1497</v>
      </c>
      <c r="E44" s="204">
        <v>5237.53</v>
      </c>
      <c r="F44" s="204">
        <v>0</v>
      </c>
    </row>
    <row r="45" spans="1:6">
      <c r="A45" t="str">
        <f t="shared" ca="1" si="0"/>
        <v>61250000</v>
      </c>
      <c r="B45">
        <f t="shared" ca="1" si="1"/>
        <v>0</v>
      </c>
      <c r="C45" s="204">
        <v>61250000</v>
      </c>
      <c r="D45" s="204" t="s">
        <v>1498</v>
      </c>
      <c r="E45" s="204">
        <v>10334.040000000001</v>
      </c>
      <c r="F45" s="204">
        <v>0</v>
      </c>
    </row>
    <row r="46" spans="1:6">
      <c r="A46" t="str">
        <f t="shared" ca="1" si="0"/>
        <v>61310000</v>
      </c>
      <c r="B46">
        <f t="shared" ca="1" si="1"/>
        <v>0</v>
      </c>
      <c r="C46" s="204">
        <v>61310000</v>
      </c>
      <c r="D46" s="204" t="s">
        <v>1499</v>
      </c>
      <c r="E46" s="204">
        <v>52800</v>
      </c>
      <c r="F46" s="204">
        <v>0</v>
      </c>
    </row>
    <row r="47" spans="1:6">
      <c r="A47" t="str">
        <f t="shared" ca="1" si="0"/>
        <v>61450000</v>
      </c>
      <c r="B47">
        <f t="shared" ca="1" si="1"/>
        <v>0</v>
      </c>
      <c r="C47" s="204">
        <v>61450000</v>
      </c>
      <c r="D47" s="204" t="s">
        <v>1500</v>
      </c>
      <c r="E47" s="204">
        <v>12179.26</v>
      </c>
      <c r="F47" s="204">
        <v>0</v>
      </c>
    </row>
    <row r="48" spans="1:6">
      <c r="A48" t="str">
        <f t="shared" ca="1" si="0"/>
        <v>61470000</v>
      </c>
      <c r="B48">
        <f t="shared" ca="1" si="1"/>
        <v>0</v>
      </c>
      <c r="C48" s="204">
        <v>61470000</v>
      </c>
      <c r="D48" s="204" t="s">
        <v>1501</v>
      </c>
      <c r="E48" s="204">
        <v>949.82</v>
      </c>
      <c r="F48" s="204">
        <v>0</v>
      </c>
    </row>
    <row r="49" spans="1:6">
      <c r="A49" t="str">
        <f t="shared" ca="1" si="0"/>
        <v>61612000</v>
      </c>
      <c r="B49">
        <f t="shared" ca="1" si="1"/>
        <v>0</v>
      </c>
      <c r="C49" s="204">
        <v>61612000</v>
      </c>
      <c r="D49" s="204" t="s">
        <v>1502</v>
      </c>
      <c r="E49" s="204">
        <v>4800</v>
      </c>
      <c r="F49" s="204">
        <v>0</v>
      </c>
    </row>
    <row r="50" spans="1:6">
      <c r="A50" t="str">
        <f t="shared" ca="1" si="0"/>
        <v>61671000</v>
      </c>
      <c r="B50">
        <f t="shared" ca="1" si="1"/>
        <v>0</v>
      </c>
      <c r="C50" s="204">
        <v>61671000</v>
      </c>
      <c r="D50" s="204" t="s">
        <v>1503</v>
      </c>
      <c r="E50" s="204">
        <v>16</v>
      </c>
      <c r="F50" s="204">
        <v>0</v>
      </c>
    </row>
    <row r="51" spans="1:6">
      <c r="A51" t="str">
        <f t="shared" ca="1" si="0"/>
        <v>61680000</v>
      </c>
      <c r="B51">
        <f t="shared" ca="1" si="1"/>
        <v>0</v>
      </c>
      <c r="C51" s="204">
        <v>61680000</v>
      </c>
      <c r="D51" s="204" t="s">
        <v>1504</v>
      </c>
      <c r="E51" s="204">
        <v>9600</v>
      </c>
      <c r="F51" s="204">
        <v>0</v>
      </c>
    </row>
    <row r="52" spans="1:6">
      <c r="A52" t="str">
        <f t="shared" ca="1" si="0"/>
        <v>61710000</v>
      </c>
      <c r="B52">
        <f t="shared" ca="1" si="1"/>
        <v>0</v>
      </c>
      <c r="C52" s="204">
        <v>61710000</v>
      </c>
      <c r="D52" s="204" t="s">
        <v>1505</v>
      </c>
      <c r="E52" s="204">
        <v>151856</v>
      </c>
      <c r="F52" s="204">
        <v>0</v>
      </c>
    </row>
    <row r="53" spans="1:6">
      <c r="A53" t="str">
        <f t="shared" ca="1" si="0"/>
        <v>61712000</v>
      </c>
      <c r="B53">
        <f t="shared" ca="1" si="1"/>
        <v>0</v>
      </c>
      <c r="C53" s="204">
        <v>61712000</v>
      </c>
      <c r="D53" s="204" t="s">
        <v>1506</v>
      </c>
      <c r="E53" s="204">
        <v>50905</v>
      </c>
      <c r="F53" s="204">
        <v>0</v>
      </c>
    </row>
    <row r="54" spans="1:6">
      <c r="A54" t="str">
        <f t="shared" ca="1" si="0"/>
        <v>61740000</v>
      </c>
      <c r="B54">
        <f t="shared" ca="1" si="1"/>
        <v>0</v>
      </c>
      <c r="C54" s="204">
        <v>61740000</v>
      </c>
      <c r="D54" s="204" t="s">
        <v>1507</v>
      </c>
      <c r="E54" s="204">
        <v>31223.279999999999</v>
      </c>
      <c r="F54" s="204">
        <v>0</v>
      </c>
    </row>
    <row r="55" spans="1:6">
      <c r="A55" t="str">
        <f t="shared" ca="1" si="0"/>
        <v>61850000</v>
      </c>
      <c r="B55">
        <f t="shared" ca="1" si="1"/>
        <v>0</v>
      </c>
      <c r="C55" s="204">
        <v>61850000</v>
      </c>
      <c r="D55" s="204" t="s">
        <v>1508</v>
      </c>
      <c r="E55" s="204">
        <v>8.0399999999999991</v>
      </c>
      <c r="F55" s="204">
        <v>0</v>
      </c>
    </row>
    <row r="56" spans="1:6">
      <c r="A56" t="str">
        <f t="shared" ca="1" si="0"/>
        <v>61935000</v>
      </c>
      <c r="B56">
        <f t="shared" ca="1" si="1"/>
        <v>0</v>
      </c>
      <c r="C56" s="204">
        <v>61935000</v>
      </c>
      <c r="D56" s="204" t="s">
        <v>1509</v>
      </c>
      <c r="E56" s="204">
        <v>7815.47</v>
      </c>
      <c r="F56" s="204">
        <v>0</v>
      </c>
    </row>
    <row r="57" spans="1:6">
      <c r="A57" t="str">
        <f t="shared" ca="1" si="0"/>
        <v>65830000</v>
      </c>
      <c r="B57">
        <f t="shared" ca="1" si="1"/>
        <v>0</v>
      </c>
      <c r="C57" s="204">
        <v>65830000</v>
      </c>
      <c r="D57" s="204" t="s">
        <v>1510</v>
      </c>
      <c r="E57" s="204">
        <v>2040</v>
      </c>
      <c r="F57" s="204">
        <v>0</v>
      </c>
    </row>
    <row r="58" spans="1:6">
      <c r="A58" t="str">
        <f t="shared" ca="1" si="0"/>
        <v>67050000</v>
      </c>
      <c r="B58">
        <f t="shared" ca="1" si="1"/>
        <v>0</v>
      </c>
      <c r="C58" s="204">
        <v>67050000</v>
      </c>
      <c r="D58" s="204" t="s">
        <v>1511</v>
      </c>
      <c r="E58" s="204">
        <v>3000</v>
      </c>
      <c r="F58" s="204">
        <v>0</v>
      </c>
    </row>
    <row r="59" spans="1:6">
      <c r="A59" t="str">
        <f t="shared" ca="1" si="0"/>
        <v>71210000</v>
      </c>
      <c r="B59">
        <f t="shared" ca="1" si="1"/>
        <v>0</v>
      </c>
      <c r="C59" s="204">
        <v>71210000</v>
      </c>
      <c r="D59" s="204" t="s">
        <v>1512</v>
      </c>
      <c r="E59" s="204">
        <v>0</v>
      </c>
      <c r="F59" s="204">
        <v>1500</v>
      </c>
    </row>
    <row r="60" spans="1:6">
      <c r="A60" t="str">
        <f t="shared" ca="1" si="0"/>
        <v>71240000</v>
      </c>
      <c r="B60">
        <f t="shared" ca="1" si="1"/>
        <v>0</v>
      </c>
      <c r="C60" s="204">
        <v>71240000</v>
      </c>
      <c r="D60" s="204" t="s">
        <v>1513</v>
      </c>
      <c r="E60" s="204">
        <v>0</v>
      </c>
      <c r="F60" s="204">
        <v>263357.67</v>
      </c>
    </row>
    <row r="61" spans="1:6">
      <c r="A61" t="str">
        <f t="shared" ca="1" si="0"/>
        <v>71312000</v>
      </c>
      <c r="B61">
        <f t="shared" ca="1" si="1"/>
        <v>0</v>
      </c>
      <c r="C61" s="204">
        <v>71312000</v>
      </c>
      <c r="D61" s="204" t="s">
        <v>1514</v>
      </c>
      <c r="E61" s="204">
        <v>0</v>
      </c>
      <c r="F61" s="204">
        <v>70000</v>
      </c>
    </row>
    <row r="62" spans="1:6">
      <c r="A62" t="str">
        <f t="shared" ca="1" si="0"/>
        <v>71850000</v>
      </c>
      <c r="B62">
        <f t="shared" ca="1" si="1"/>
        <v>0</v>
      </c>
      <c r="C62" s="204">
        <v>71850000</v>
      </c>
      <c r="D62" s="204" t="s">
        <v>1515</v>
      </c>
      <c r="E62" s="204">
        <v>0</v>
      </c>
      <c r="F62" s="204">
        <v>3.62</v>
      </c>
    </row>
    <row r="63" spans="1:6">
      <c r="A63" t="str">
        <f t="shared" ca="1" si="0"/>
        <v/>
      </c>
      <c r="B63">
        <f t="shared" ca="1" si="1"/>
        <v>0</v>
      </c>
    </row>
    <row r="64" spans="1:6">
      <c r="A64" t="str">
        <f t="shared" ca="1" si="0"/>
        <v/>
      </c>
      <c r="B64">
        <f t="shared" ca="1" si="1"/>
        <v>0</v>
      </c>
    </row>
    <row r="65" spans="1:2">
      <c r="A65" t="str">
        <f t="shared" ca="1" si="0"/>
        <v/>
      </c>
      <c r="B65">
        <f t="shared" ca="1" si="1"/>
        <v>0</v>
      </c>
    </row>
    <row r="66" spans="1:2">
      <c r="A66" t="str">
        <f t="shared" ref="A66:A129" ca="1" si="2">CONCATENATE(INDIRECT(ADDRESS(ROW(),3)))</f>
        <v/>
      </c>
      <c r="B66">
        <f t="shared" ref="B66:B129" ca="1" si="3">IF(IF(INDIRECT(ADDRESS(ROW(),1))&lt;&gt;"",IF(ISNA(MATCH(LEFT(INDIRECT(ADDRESS(ROW(),1)),2),PCNG_MN,0))=TRUE,1,0),0)+IF(INDIRECT(ADDRESS(ROW(),1))&lt;&gt;"",IF(ISNA(MATCH(LEFT(INDIRECT(ADDRESS(ROW(),1)),3),PCNG_MN,0))=TRUE,1,0),0)+IF(INDIRECT(ADDRESS(ROW(),1))&lt;&gt;"",IF(ISNA(MATCH(LEFT(INDIRECT(ADDRESS(ROW(),1)),4),PCNG_MN,0))=TRUE,1,0),0)&gt;=3,1,0)</f>
        <v>0</v>
      </c>
    </row>
    <row r="67" spans="1:2">
      <c r="A67" t="str">
        <f t="shared" ca="1" si="2"/>
        <v/>
      </c>
      <c r="B67">
        <f t="shared" ca="1" si="3"/>
        <v>0</v>
      </c>
    </row>
    <row r="68" spans="1:2">
      <c r="A68" t="str">
        <f t="shared" ca="1" si="2"/>
        <v/>
      </c>
      <c r="B68">
        <f t="shared" ca="1" si="3"/>
        <v>0</v>
      </c>
    </row>
    <row r="69" spans="1:2">
      <c r="A69" t="str">
        <f t="shared" ca="1" si="2"/>
        <v/>
      </c>
      <c r="B69">
        <f t="shared" ca="1" si="3"/>
        <v>0</v>
      </c>
    </row>
    <row r="70" spans="1:2">
      <c r="A70" t="str">
        <f t="shared" ca="1" si="2"/>
        <v/>
      </c>
      <c r="B70">
        <f t="shared" ca="1" si="3"/>
        <v>0</v>
      </c>
    </row>
    <row r="71" spans="1:2">
      <c r="A71" t="str">
        <f t="shared" ca="1" si="2"/>
        <v/>
      </c>
      <c r="B71">
        <f t="shared" ca="1" si="3"/>
        <v>0</v>
      </c>
    </row>
    <row r="72" spans="1:2">
      <c r="A72" t="str">
        <f t="shared" ca="1" si="2"/>
        <v/>
      </c>
      <c r="B72">
        <f t="shared" ca="1" si="3"/>
        <v>0</v>
      </c>
    </row>
    <row r="73" spans="1:2">
      <c r="A73" t="str">
        <f t="shared" ca="1" si="2"/>
        <v/>
      </c>
      <c r="B73">
        <f t="shared" ca="1" si="3"/>
        <v>0</v>
      </c>
    </row>
    <row r="74" spans="1:2">
      <c r="A74" t="str">
        <f t="shared" ca="1" si="2"/>
        <v/>
      </c>
      <c r="B74">
        <f t="shared" ca="1" si="3"/>
        <v>0</v>
      </c>
    </row>
    <row r="75" spans="1:2">
      <c r="A75" t="str">
        <f t="shared" ca="1" si="2"/>
        <v/>
      </c>
      <c r="B75">
        <f t="shared" ca="1" si="3"/>
        <v>0</v>
      </c>
    </row>
    <row r="76" spans="1:2">
      <c r="A76" t="str">
        <f t="shared" ca="1" si="2"/>
        <v/>
      </c>
      <c r="B76">
        <f t="shared" ca="1" si="3"/>
        <v>0</v>
      </c>
    </row>
    <row r="77" spans="1:2">
      <c r="A77" t="str">
        <f t="shared" ca="1" si="2"/>
        <v/>
      </c>
      <c r="B77">
        <f t="shared" ca="1" si="3"/>
        <v>0</v>
      </c>
    </row>
    <row r="78" spans="1:2">
      <c r="A78" t="str">
        <f t="shared" ca="1" si="2"/>
        <v/>
      </c>
      <c r="B78">
        <f t="shared" ca="1" si="3"/>
        <v>0</v>
      </c>
    </row>
    <row r="79" spans="1:2">
      <c r="A79" t="str">
        <f t="shared" ca="1" si="2"/>
        <v/>
      </c>
      <c r="B79">
        <f t="shared" ca="1" si="3"/>
        <v>0</v>
      </c>
    </row>
    <row r="80" spans="1:2">
      <c r="A80" t="str">
        <f t="shared" ca="1" si="2"/>
        <v/>
      </c>
      <c r="B80">
        <f t="shared" ca="1" si="3"/>
        <v>0</v>
      </c>
    </row>
    <row r="81" spans="1:2">
      <c r="A81" t="str">
        <f t="shared" ca="1" si="2"/>
        <v/>
      </c>
      <c r="B81">
        <f t="shared" ca="1" si="3"/>
        <v>0</v>
      </c>
    </row>
    <row r="82" spans="1:2">
      <c r="A82" t="str">
        <f t="shared" ca="1" si="2"/>
        <v/>
      </c>
      <c r="B82">
        <f t="shared" ca="1" si="3"/>
        <v>0</v>
      </c>
    </row>
    <row r="83" spans="1:2">
      <c r="A83" t="str">
        <f t="shared" ca="1" si="2"/>
        <v/>
      </c>
      <c r="B83">
        <f t="shared" ca="1" si="3"/>
        <v>0</v>
      </c>
    </row>
    <row r="84" spans="1:2">
      <c r="A84" t="str">
        <f t="shared" ca="1" si="2"/>
        <v/>
      </c>
      <c r="B84">
        <f t="shared" ca="1" si="3"/>
        <v>0</v>
      </c>
    </row>
    <row r="85" spans="1:2">
      <c r="A85" t="str">
        <f t="shared" ca="1" si="2"/>
        <v/>
      </c>
      <c r="B85">
        <f t="shared" ca="1" si="3"/>
        <v>0</v>
      </c>
    </row>
    <row r="86" spans="1:2">
      <c r="A86" t="str">
        <f t="shared" ca="1" si="2"/>
        <v/>
      </c>
      <c r="B86">
        <f t="shared" ca="1" si="3"/>
        <v>0</v>
      </c>
    </row>
    <row r="87" spans="1:2">
      <c r="A87" t="str">
        <f t="shared" ca="1" si="2"/>
        <v/>
      </c>
      <c r="B87">
        <f t="shared" ca="1" si="3"/>
        <v>0</v>
      </c>
    </row>
    <row r="88" spans="1:2">
      <c r="A88" t="str">
        <f t="shared" ca="1" si="2"/>
        <v/>
      </c>
      <c r="B88">
        <f t="shared" ca="1" si="3"/>
        <v>0</v>
      </c>
    </row>
    <row r="89" spans="1:2">
      <c r="A89" t="str">
        <f t="shared" ca="1" si="2"/>
        <v/>
      </c>
      <c r="B89">
        <f t="shared" ca="1" si="3"/>
        <v>0</v>
      </c>
    </row>
    <row r="90" spans="1:2">
      <c r="A90" t="str">
        <f t="shared" ca="1" si="2"/>
        <v/>
      </c>
      <c r="B90">
        <f t="shared" ca="1" si="3"/>
        <v>0</v>
      </c>
    </row>
    <row r="91" spans="1:2">
      <c r="A91" t="str">
        <f t="shared" ca="1" si="2"/>
        <v/>
      </c>
      <c r="B91">
        <f t="shared" ca="1" si="3"/>
        <v>0</v>
      </c>
    </row>
    <row r="92" spans="1:2">
      <c r="A92" t="str">
        <f t="shared" ca="1" si="2"/>
        <v/>
      </c>
      <c r="B92">
        <f t="shared" ca="1" si="3"/>
        <v>0</v>
      </c>
    </row>
    <row r="93" spans="1:2">
      <c r="A93" t="str">
        <f t="shared" ca="1" si="2"/>
        <v/>
      </c>
      <c r="B93">
        <f t="shared" ca="1" si="3"/>
        <v>0</v>
      </c>
    </row>
    <row r="94" spans="1:2">
      <c r="A94" t="str">
        <f t="shared" ca="1" si="2"/>
        <v/>
      </c>
      <c r="B94">
        <f t="shared" ca="1" si="3"/>
        <v>0</v>
      </c>
    </row>
    <row r="95" spans="1:2">
      <c r="A95" t="str">
        <f t="shared" ca="1" si="2"/>
        <v/>
      </c>
      <c r="B95">
        <f t="shared" ca="1" si="3"/>
        <v>0</v>
      </c>
    </row>
    <row r="96" spans="1:2">
      <c r="A96" t="str">
        <f t="shared" ca="1" si="2"/>
        <v/>
      </c>
      <c r="B96">
        <f t="shared" ca="1" si="3"/>
        <v>0</v>
      </c>
    </row>
    <row r="97" spans="1:2">
      <c r="A97" t="str">
        <f t="shared" ca="1" si="2"/>
        <v/>
      </c>
      <c r="B97">
        <f t="shared" ca="1" si="3"/>
        <v>0</v>
      </c>
    </row>
    <row r="98" spans="1:2">
      <c r="A98" t="str">
        <f t="shared" ca="1" si="2"/>
        <v/>
      </c>
      <c r="B98">
        <f t="shared" ca="1" si="3"/>
        <v>0</v>
      </c>
    </row>
    <row r="99" spans="1:2">
      <c r="A99" t="str">
        <f t="shared" ca="1" si="2"/>
        <v/>
      </c>
      <c r="B99">
        <f t="shared" ca="1" si="3"/>
        <v>0</v>
      </c>
    </row>
    <row r="100" spans="1:2">
      <c r="A100" t="str">
        <f t="shared" ca="1" si="2"/>
        <v/>
      </c>
      <c r="B100">
        <f t="shared" ca="1" si="3"/>
        <v>0</v>
      </c>
    </row>
    <row r="101" spans="1:2">
      <c r="A101" t="str">
        <f t="shared" ca="1" si="2"/>
        <v/>
      </c>
      <c r="B101">
        <f t="shared" ca="1" si="3"/>
        <v>0</v>
      </c>
    </row>
    <row r="102" spans="1:2">
      <c r="A102" t="str">
        <f t="shared" ca="1" si="2"/>
        <v/>
      </c>
      <c r="B102">
        <f t="shared" ca="1" si="3"/>
        <v>0</v>
      </c>
    </row>
    <row r="103" spans="1:2">
      <c r="A103" t="str">
        <f t="shared" ca="1" si="2"/>
        <v/>
      </c>
      <c r="B103">
        <f t="shared" ca="1" si="3"/>
        <v>0</v>
      </c>
    </row>
    <row r="104" spans="1:2">
      <c r="A104" t="str">
        <f t="shared" ca="1" si="2"/>
        <v/>
      </c>
      <c r="B104">
        <f t="shared" ca="1" si="3"/>
        <v>0</v>
      </c>
    </row>
    <row r="105" spans="1:2">
      <c r="A105" t="str">
        <f t="shared" ca="1" si="2"/>
        <v/>
      </c>
      <c r="B105">
        <f t="shared" ca="1" si="3"/>
        <v>0</v>
      </c>
    </row>
    <row r="106" spans="1:2">
      <c r="A106" t="str">
        <f t="shared" ca="1" si="2"/>
        <v/>
      </c>
      <c r="B106">
        <f t="shared" ca="1" si="3"/>
        <v>0</v>
      </c>
    </row>
    <row r="107" spans="1:2">
      <c r="A107" t="str">
        <f t="shared" ca="1" si="2"/>
        <v/>
      </c>
      <c r="B107">
        <f t="shared" ca="1" si="3"/>
        <v>0</v>
      </c>
    </row>
    <row r="108" spans="1:2">
      <c r="A108" t="str">
        <f t="shared" ca="1" si="2"/>
        <v/>
      </c>
      <c r="B108">
        <f t="shared" ca="1" si="3"/>
        <v>0</v>
      </c>
    </row>
    <row r="109" spans="1:2">
      <c r="A109" t="str">
        <f t="shared" ca="1" si="2"/>
        <v/>
      </c>
      <c r="B109">
        <f t="shared" ca="1" si="3"/>
        <v>0</v>
      </c>
    </row>
    <row r="110" spans="1:2">
      <c r="A110" t="str">
        <f t="shared" ca="1" si="2"/>
        <v/>
      </c>
      <c r="B110">
        <f t="shared" ca="1" si="3"/>
        <v>0</v>
      </c>
    </row>
    <row r="111" spans="1:2">
      <c r="A111" t="str">
        <f t="shared" ca="1" si="2"/>
        <v/>
      </c>
      <c r="B111">
        <f t="shared" ca="1" si="3"/>
        <v>0</v>
      </c>
    </row>
    <row r="112" spans="1:2">
      <c r="A112" t="str">
        <f t="shared" ca="1" si="2"/>
        <v/>
      </c>
      <c r="B112">
        <f t="shared" ca="1" si="3"/>
        <v>0</v>
      </c>
    </row>
    <row r="113" spans="1:2">
      <c r="A113" t="str">
        <f t="shared" ca="1" si="2"/>
        <v/>
      </c>
      <c r="B113">
        <f t="shared" ca="1" si="3"/>
        <v>0</v>
      </c>
    </row>
    <row r="114" spans="1:2">
      <c r="A114" t="str">
        <f t="shared" ca="1" si="2"/>
        <v/>
      </c>
      <c r="B114">
        <f t="shared" ca="1" si="3"/>
        <v>0</v>
      </c>
    </row>
    <row r="115" spans="1:2">
      <c r="A115" t="str">
        <f t="shared" ca="1" si="2"/>
        <v/>
      </c>
      <c r="B115">
        <f t="shared" ca="1" si="3"/>
        <v>0</v>
      </c>
    </row>
    <row r="116" spans="1:2">
      <c r="A116" t="str">
        <f t="shared" ca="1" si="2"/>
        <v/>
      </c>
      <c r="B116">
        <f t="shared" ca="1" si="3"/>
        <v>0</v>
      </c>
    </row>
    <row r="117" spans="1:2">
      <c r="A117" t="str">
        <f t="shared" ca="1" si="2"/>
        <v/>
      </c>
      <c r="B117">
        <f t="shared" ca="1" si="3"/>
        <v>0</v>
      </c>
    </row>
    <row r="118" spans="1:2">
      <c r="A118" t="str">
        <f t="shared" ca="1" si="2"/>
        <v/>
      </c>
      <c r="B118">
        <f t="shared" ca="1" si="3"/>
        <v>0</v>
      </c>
    </row>
    <row r="119" spans="1:2">
      <c r="A119" t="str">
        <f t="shared" ca="1" si="2"/>
        <v/>
      </c>
      <c r="B119">
        <f t="shared" ca="1" si="3"/>
        <v>0</v>
      </c>
    </row>
    <row r="120" spans="1:2">
      <c r="A120" t="str">
        <f t="shared" ca="1" si="2"/>
        <v/>
      </c>
      <c r="B120">
        <f t="shared" ca="1" si="3"/>
        <v>0</v>
      </c>
    </row>
    <row r="121" spans="1:2">
      <c r="A121" t="str">
        <f t="shared" ca="1" si="2"/>
        <v/>
      </c>
      <c r="B121">
        <f t="shared" ca="1" si="3"/>
        <v>0</v>
      </c>
    </row>
    <row r="122" spans="1:2">
      <c r="A122" t="str">
        <f t="shared" ca="1" si="2"/>
        <v/>
      </c>
      <c r="B122">
        <f t="shared" ca="1" si="3"/>
        <v>0</v>
      </c>
    </row>
    <row r="123" spans="1:2">
      <c r="A123" t="str">
        <f t="shared" ca="1" si="2"/>
        <v/>
      </c>
      <c r="B123">
        <f t="shared" ca="1" si="3"/>
        <v>0</v>
      </c>
    </row>
    <row r="124" spans="1:2">
      <c r="A124" t="str">
        <f t="shared" ca="1" si="2"/>
        <v/>
      </c>
      <c r="B124">
        <f t="shared" ca="1" si="3"/>
        <v>0</v>
      </c>
    </row>
    <row r="125" spans="1:2">
      <c r="A125" t="str">
        <f t="shared" ca="1" si="2"/>
        <v/>
      </c>
      <c r="B125">
        <f t="shared" ca="1" si="3"/>
        <v>0</v>
      </c>
    </row>
    <row r="126" spans="1:2">
      <c r="A126" t="str">
        <f t="shared" ca="1" si="2"/>
        <v/>
      </c>
      <c r="B126">
        <f t="shared" ca="1" si="3"/>
        <v>0</v>
      </c>
    </row>
    <row r="127" spans="1:2">
      <c r="A127" t="str">
        <f t="shared" ca="1" si="2"/>
        <v/>
      </c>
      <c r="B127">
        <f t="shared" ca="1" si="3"/>
        <v>0</v>
      </c>
    </row>
    <row r="128" spans="1:2">
      <c r="A128" t="str">
        <f t="shared" ca="1" si="2"/>
        <v/>
      </c>
      <c r="B128">
        <f t="shared" ca="1" si="3"/>
        <v>0</v>
      </c>
    </row>
    <row r="129" spans="1:2">
      <c r="A129" t="str">
        <f t="shared" ca="1" si="2"/>
        <v/>
      </c>
      <c r="B129">
        <f t="shared" ca="1" si="3"/>
        <v>0</v>
      </c>
    </row>
    <row r="130" spans="1:2">
      <c r="A130" t="str">
        <f t="shared" ref="A130:A193" ca="1" si="4">CONCATENATE(INDIRECT(ADDRESS(ROW(),3)))</f>
        <v/>
      </c>
      <c r="B130">
        <f t="shared" ref="B130:B193" ca="1" si="5">IF(IF(INDIRECT(ADDRESS(ROW(),1))&lt;&gt;"",IF(ISNA(MATCH(LEFT(INDIRECT(ADDRESS(ROW(),1)),2),PCNG_MN,0))=TRUE,1,0),0)+IF(INDIRECT(ADDRESS(ROW(),1))&lt;&gt;"",IF(ISNA(MATCH(LEFT(INDIRECT(ADDRESS(ROW(),1)),3),PCNG_MN,0))=TRUE,1,0),0)+IF(INDIRECT(ADDRESS(ROW(),1))&lt;&gt;"",IF(ISNA(MATCH(LEFT(INDIRECT(ADDRESS(ROW(),1)),4),PCNG_MN,0))=TRUE,1,0),0)&gt;=3,1,0)</f>
        <v>0</v>
      </c>
    </row>
    <row r="131" spans="1:2">
      <c r="A131" t="str">
        <f t="shared" ca="1" si="4"/>
        <v/>
      </c>
      <c r="B131">
        <f t="shared" ca="1" si="5"/>
        <v>0</v>
      </c>
    </row>
    <row r="132" spans="1:2">
      <c r="A132" t="str">
        <f t="shared" ca="1" si="4"/>
        <v/>
      </c>
      <c r="B132">
        <f t="shared" ca="1" si="5"/>
        <v>0</v>
      </c>
    </row>
    <row r="133" spans="1:2">
      <c r="A133" t="str">
        <f t="shared" ca="1" si="4"/>
        <v/>
      </c>
      <c r="B133">
        <f t="shared" ca="1" si="5"/>
        <v>0</v>
      </c>
    </row>
    <row r="134" spans="1:2">
      <c r="A134" t="str">
        <f t="shared" ca="1" si="4"/>
        <v/>
      </c>
      <c r="B134">
        <f t="shared" ca="1" si="5"/>
        <v>0</v>
      </c>
    </row>
    <row r="135" spans="1:2">
      <c r="A135" t="str">
        <f t="shared" ca="1" si="4"/>
        <v/>
      </c>
      <c r="B135">
        <f t="shared" ca="1" si="5"/>
        <v>0</v>
      </c>
    </row>
    <row r="136" spans="1:2">
      <c r="A136" t="str">
        <f t="shared" ca="1" si="4"/>
        <v/>
      </c>
      <c r="B136">
        <f t="shared" ca="1" si="5"/>
        <v>0</v>
      </c>
    </row>
    <row r="137" spans="1:2">
      <c r="A137" t="str">
        <f t="shared" ca="1" si="4"/>
        <v/>
      </c>
      <c r="B137">
        <f t="shared" ca="1" si="5"/>
        <v>0</v>
      </c>
    </row>
    <row r="138" spans="1:2">
      <c r="A138" t="str">
        <f t="shared" ca="1" si="4"/>
        <v/>
      </c>
      <c r="B138">
        <f t="shared" ca="1" si="5"/>
        <v>0</v>
      </c>
    </row>
    <row r="139" spans="1:2">
      <c r="A139" t="str">
        <f t="shared" ca="1" si="4"/>
        <v/>
      </c>
      <c r="B139">
        <f t="shared" ca="1" si="5"/>
        <v>0</v>
      </c>
    </row>
    <row r="140" spans="1:2">
      <c r="A140" t="str">
        <f t="shared" ca="1" si="4"/>
        <v/>
      </c>
      <c r="B140">
        <f t="shared" ca="1" si="5"/>
        <v>0</v>
      </c>
    </row>
    <row r="141" spans="1:2">
      <c r="A141" t="str">
        <f t="shared" ca="1" si="4"/>
        <v/>
      </c>
      <c r="B141">
        <f t="shared" ca="1" si="5"/>
        <v>0</v>
      </c>
    </row>
    <row r="142" spans="1:2">
      <c r="A142" t="str">
        <f t="shared" ca="1" si="4"/>
        <v/>
      </c>
      <c r="B142">
        <f t="shared" ca="1" si="5"/>
        <v>0</v>
      </c>
    </row>
    <row r="143" spans="1:2">
      <c r="A143" t="str">
        <f t="shared" ca="1" si="4"/>
        <v/>
      </c>
      <c r="B143">
        <f t="shared" ca="1" si="5"/>
        <v>0</v>
      </c>
    </row>
    <row r="144" spans="1:2">
      <c r="A144" t="str">
        <f t="shared" ca="1" si="4"/>
        <v/>
      </c>
      <c r="B144">
        <f t="shared" ca="1" si="5"/>
        <v>0</v>
      </c>
    </row>
    <row r="145" spans="1:2">
      <c r="A145" t="str">
        <f t="shared" ca="1" si="4"/>
        <v/>
      </c>
      <c r="B145">
        <f t="shared" ca="1" si="5"/>
        <v>0</v>
      </c>
    </row>
    <row r="146" spans="1:2">
      <c r="A146" t="str">
        <f t="shared" ca="1" si="4"/>
        <v/>
      </c>
      <c r="B146">
        <f t="shared" ca="1" si="5"/>
        <v>0</v>
      </c>
    </row>
    <row r="147" spans="1:2">
      <c r="A147" t="str">
        <f t="shared" ca="1" si="4"/>
        <v/>
      </c>
      <c r="B147">
        <f t="shared" ca="1" si="5"/>
        <v>0</v>
      </c>
    </row>
    <row r="148" spans="1:2">
      <c r="A148" t="str">
        <f t="shared" ca="1" si="4"/>
        <v/>
      </c>
      <c r="B148">
        <f t="shared" ca="1" si="5"/>
        <v>0</v>
      </c>
    </row>
    <row r="149" spans="1:2">
      <c r="A149" t="str">
        <f t="shared" ca="1" si="4"/>
        <v/>
      </c>
      <c r="B149">
        <f t="shared" ca="1" si="5"/>
        <v>0</v>
      </c>
    </row>
    <row r="150" spans="1:2">
      <c r="A150" t="str">
        <f t="shared" ca="1" si="4"/>
        <v/>
      </c>
      <c r="B150">
        <f t="shared" ca="1" si="5"/>
        <v>0</v>
      </c>
    </row>
    <row r="151" spans="1:2">
      <c r="A151" t="str">
        <f t="shared" ca="1" si="4"/>
        <v/>
      </c>
      <c r="B151">
        <f t="shared" ca="1" si="5"/>
        <v>0</v>
      </c>
    </row>
    <row r="152" spans="1:2">
      <c r="A152" t="str">
        <f t="shared" ca="1" si="4"/>
        <v/>
      </c>
      <c r="B152">
        <f t="shared" ca="1" si="5"/>
        <v>0</v>
      </c>
    </row>
    <row r="153" spans="1:2">
      <c r="A153" t="str">
        <f t="shared" ca="1" si="4"/>
        <v/>
      </c>
      <c r="B153">
        <f t="shared" ca="1" si="5"/>
        <v>0</v>
      </c>
    </row>
    <row r="154" spans="1:2">
      <c r="A154" t="str">
        <f t="shared" ca="1" si="4"/>
        <v/>
      </c>
      <c r="B154">
        <f t="shared" ca="1" si="5"/>
        <v>0</v>
      </c>
    </row>
    <row r="155" spans="1:2">
      <c r="A155" t="str">
        <f t="shared" ca="1" si="4"/>
        <v/>
      </c>
      <c r="B155">
        <f t="shared" ca="1" si="5"/>
        <v>0</v>
      </c>
    </row>
    <row r="156" spans="1:2">
      <c r="A156" t="str">
        <f t="shared" ca="1" si="4"/>
        <v/>
      </c>
      <c r="B156">
        <f t="shared" ca="1" si="5"/>
        <v>0</v>
      </c>
    </row>
    <row r="157" spans="1:2">
      <c r="A157" t="str">
        <f t="shared" ca="1" si="4"/>
        <v/>
      </c>
      <c r="B157">
        <f t="shared" ca="1" si="5"/>
        <v>0</v>
      </c>
    </row>
    <row r="158" spans="1:2">
      <c r="A158" t="str">
        <f t="shared" ca="1" si="4"/>
        <v/>
      </c>
      <c r="B158">
        <f t="shared" ca="1" si="5"/>
        <v>0</v>
      </c>
    </row>
    <row r="159" spans="1:2">
      <c r="A159" t="str">
        <f t="shared" ca="1" si="4"/>
        <v/>
      </c>
      <c r="B159">
        <f t="shared" ca="1" si="5"/>
        <v>0</v>
      </c>
    </row>
    <row r="160" spans="1:2">
      <c r="A160" t="str">
        <f t="shared" ca="1" si="4"/>
        <v/>
      </c>
      <c r="B160">
        <f t="shared" ca="1" si="5"/>
        <v>0</v>
      </c>
    </row>
    <row r="161" spans="1:2">
      <c r="A161" t="str">
        <f t="shared" ca="1" si="4"/>
        <v/>
      </c>
      <c r="B161">
        <f t="shared" ca="1" si="5"/>
        <v>0</v>
      </c>
    </row>
    <row r="162" spans="1:2">
      <c r="A162" t="str">
        <f t="shared" ca="1" si="4"/>
        <v/>
      </c>
      <c r="B162">
        <f t="shared" ca="1" si="5"/>
        <v>0</v>
      </c>
    </row>
    <row r="163" spans="1:2">
      <c r="A163" t="str">
        <f t="shared" ca="1" si="4"/>
        <v/>
      </c>
      <c r="B163">
        <f t="shared" ca="1" si="5"/>
        <v>0</v>
      </c>
    </row>
    <row r="164" spans="1:2">
      <c r="A164" t="str">
        <f t="shared" ca="1" si="4"/>
        <v/>
      </c>
      <c r="B164">
        <f t="shared" ca="1" si="5"/>
        <v>0</v>
      </c>
    </row>
    <row r="165" spans="1:2">
      <c r="A165" t="str">
        <f t="shared" ca="1" si="4"/>
        <v/>
      </c>
      <c r="B165">
        <f t="shared" ca="1" si="5"/>
        <v>0</v>
      </c>
    </row>
    <row r="166" spans="1:2">
      <c r="A166" t="str">
        <f t="shared" ca="1" si="4"/>
        <v/>
      </c>
      <c r="B166">
        <f t="shared" ca="1" si="5"/>
        <v>0</v>
      </c>
    </row>
    <row r="167" spans="1:2">
      <c r="A167" t="str">
        <f t="shared" ca="1" si="4"/>
        <v/>
      </c>
      <c r="B167">
        <f t="shared" ca="1" si="5"/>
        <v>0</v>
      </c>
    </row>
    <row r="168" spans="1:2">
      <c r="A168" t="str">
        <f t="shared" ca="1" si="4"/>
        <v/>
      </c>
      <c r="B168">
        <f t="shared" ca="1" si="5"/>
        <v>0</v>
      </c>
    </row>
    <row r="169" spans="1:2">
      <c r="A169" t="str">
        <f t="shared" ca="1" si="4"/>
        <v/>
      </c>
      <c r="B169">
        <f t="shared" ca="1" si="5"/>
        <v>0</v>
      </c>
    </row>
    <row r="170" spans="1:2">
      <c r="A170" t="str">
        <f t="shared" ca="1" si="4"/>
        <v/>
      </c>
      <c r="B170">
        <f t="shared" ca="1" si="5"/>
        <v>0</v>
      </c>
    </row>
    <row r="171" spans="1:2">
      <c r="A171" t="str">
        <f t="shared" ca="1" si="4"/>
        <v/>
      </c>
      <c r="B171">
        <f t="shared" ca="1" si="5"/>
        <v>0</v>
      </c>
    </row>
    <row r="172" spans="1:2">
      <c r="A172" t="str">
        <f t="shared" ca="1" si="4"/>
        <v/>
      </c>
      <c r="B172">
        <f t="shared" ca="1" si="5"/>
        <v>0</v>
      </c>
    </row>
    <row r="173" spans="1:2">
      <c r="A173" t="str">
        <f t="shared" ca="1" si="4"/>
        <v/>
      </c>
      <c r="B173">
        <f t="shared" ca="1" si="5"/>
        <v>0</v>
      </c>
    </row>
    <row r="174" spans="1:2">
      <c r="A174" t="str">
        <f t="shared" ca="1" si="4"/>
        <v/>
      </c>
      <c r="B174">
        <f t="shared" ca="1" si="5"/>
        <v>0</v>
      </c>
    </row>
    <row r="175" spans="1:2">
      <c r="A175" t="str">
        <f t="shared" ca="1" si="4"/>
        <v/>
      </c>
      <c r="B175">
        <f t="shared" ca="1" si="5"/>
        <v>0</v>
      </c>
    </row>
    <row r="176" spans="1:2">
      <c r="A176" t="str">
        <f t="shared" ca="1" si="4"/>
        <v/>
      </c>
      <c r="B176">
        <f t="shared" ca="1" si="5"/>
        <v>0</v>
      </c>
    </row>
    <row r="177" spans="1:2">
      <c r="A177" t="str">
        <f t="shared" ca="1" si="4"/>
        <v/>
      </c>
      <c r="B177">
        <f t="shared" ca="1" si="5"/>
        <v>0</v>
      </c>
    </row>
    <row r="178" spans="1:2">
      <c r="A178" t="str">
        <f t="shared" ca="1" si="4"/>
        <v/>
      </c>
      <c r="B178">
        <f t="shared" ca="1" si="5"/>
        <v>0</v>
      </c>
    </row>
    <row r="179" spans="1:2">
      <c r="A179" t="str">
        <f t="shared" ca="1" si="4"/>
        <v/>
      </c>
      <c r="B179">
        <f t="shared" ca="1" si="5"/>
        <v>0</v>
      </c>
    </row>
    <row r="180" spans="1:2">
      <c r="A180" t="str">
        <f t="shared" ca="1" si="4"/>
        <v/>
      </c>
      <c r="B180">
        <f t="shared" ca="1" si="5"/>
        <v>0</v>
      </c>
    </row>
    <row r="181" spans="1:2">
      <c r="A181" t="str">
        <f t="shared" ca="1" si="4"/>
        <v/>
      </c>
      <c r="B181">
        <f t="shared" ca="1" si="5"/>
        <v>0</v>
      </c>
    </row>
    <row r="182" spans="1:2">
      <c r="A182" t="str">
        <f t="shared" ca="1" si="4"/>
        <v/>
      </c>
      <c r="B182">
        <f t="shared" ca="1" si="5"/>
        <v>0</v>
      </c>
    </row>
    <row r="183" spans="1:2">
      <c r="A183" t="str">
        <f t="shared" ca="1" si="4"/>
        <v/>
      </c>
      <c r="B183">
        <f t="shared" ca="1" si="5"/>
        <v>0</v>
      </c>
    </row>
    <row r="184" spans="1:2">
      <c r="A184" t="str">
        <f t="shared" ca="1" si="4"/>
        <v/>
      </c>
      <c r="B184">
        <f t="shared" ca="1" si="5"/>
        <v>0</v>
      </c>
    </row>
    <row r="185" spans="1:2">
      <c r="A185" t="str">
        <f t="shared" ca="1" si="4"/>
        <v/>
      </c>
      <c r="B185">
        <f t="shared" ca="1" si="5"/>
        <v>0</v>
      </c>
    </row>
    <row r="186" spans="1:2">
      <c r="A186" t="str">
        <f t="shared" ca="1" si="4"/>
        <v/>
      </c>
      <c r="B186">
        <f t="shared" ca="1" si="5"/>
        <v>0</v>
      </c>
    </row>
    <row r="187" spans="1:2">
      <c r="A187" t="str">
        <f t="shared" ca="1" si="4"/>
        <v/>
      </c>
      <c r="B187">
        <f t="shared" ca="1" si="5"/>
        <v>0</v>
      </c>
    </row>
    <row r="188" spans="1:2">
      <c r="A188" t="str">
        <f t="shared" ca="1" si="4"/>
        <v/>
      </c>
      <c r="B188">
        <f t="shared" ca="1" si="5"/>
        <v>0</v>
      </c>
    </row>
    <row r="189" spans="1:2">
      <c r="A189" t="str">
        <f t="shared" ca="1" si="4"/>
        <v/>
      </c>
      <c r="B189">
        <f t="shared" ca="1" si="5"/>
        <v>0</v>
      </c>
    </row>
    <row r="190" spans="1:2">
      <c r="A190" t="str">
        <f t="shared" ca="1" si="4"/>
        <v/>
      </c>
      <c r="B190">
        <f t="shared" ca="1" si="5"/>
        <v>0</v>
      </c>
    </row>
    <row r="191" spans="1:2">
      <c r="A191" t="str">
        <f t="shared" ca="1" si="4"/>
        <v/>
      </c>
      <c r="B191">
        <f t="shared" ca="1" si="5"/>
        <v>0</v>
      </c>
    </row>
    <row r="192" spans="1:2">
      <c r="A192" t="str">
        <f t="shared" ca="1" si="4"/>
        <v/>
      </c>
      <c r="B192">
        <f t="shared" ca="1" si="5"/>
        <v>0</v>
      </c>
    </row>
    <row r="193" spans="1:2">
      <c r="A193" t="str">
        <f t="shared" ca="1" si="4"/>
        <v/>
      </c>
      <c r="B193">
        <f t="shared" ca="1" si="5"/>
        <v>0</v>
      </c>
    </row>
    <row r="194" spans="1:2">
      <c r="A194" t="str">
        <f t="shared" ref="A194:A257" ca="1" si="6">CONCATENATE(INDIRECT(ADDRESS(ROW(),3)))</f>
        <v/>
      </c>
      <c r="B194">
        <f t="shared" ref="B194:B257" ca="1" si="7">IF(IF(INDIRECT(ADDRESS(ROW(),1))&lt;&gt;"",IF(ISNA(MATCH(LEFT(INDIRECT(ADDRESS(ROW(),1)),2),PCNG_MN,0))=TRUE,1,0),0)+IF(INDIRECT(ADDRESS(ROW(),1))&lt;&gt;"",IF(ISNA(MATCH(LEFT(INDIRECT(ADDRESS(ROW(),1)),3),PCNG_MN,0))=TRUE,1,0),0)+IF(INDIRECT(ADDRESS(ROW(),1))&lt;&gt;"",IF(ISNA(MATCH(LEFT(INDIRECT(ADDRESS(ROW(),1)),4),PCNG_MN,0))=TRUE,1,0),0)&gt;=3,1,0)</f>
        <v>0</v>
      </c>
    </row>
    <row r="195" spans="1:2">
      <c r="A195" t="str">
        <f t="shared" ca="1" si="6"/>
        <v/>
      </c>
      <c r="B195">
        <f t="shared" ca="1" si="7"/>
        <v>0</v>
      </c>
    </row>
    <row r="196" spans="1:2">
      <c r="A196" t="str">
        <f t="shared" ca="1" si="6"/>
        <v/>
      </c>
      <c r="B196">
        <f t="shared" ca="1" si="7"/>
        <v>0</v>
      </c>
    </row>
    <row r="197" spans="1:2">
      <c r="A197" t="str">
        <f t="shared" ca="1" si="6"/>
        <v/>
      </c>
      <c r="B197">
        <f t="shared" ca="1" si="7"/>
        <v>0</v>
      </c>
    </row>
    <row r="198" spans="1:2">
      <c r="A198" t="str">
        <f t="shared" ca="1" si="6"/>
        <v/>
      </c>
      <c r="B198">
        <f t="shared" ca="1" si="7"/>
        <v>0</v>
      </c>
    </row>
    <row r="199" spans="1:2">
      <c r="A199" t="str">
        <f t="shared" ca="1" si="6"/>
        <v/>
      </c>
      <c r="B199">
        <f t="shared" ca="1" si="7"/>
        <v>0</v>
      </c>
    </row>
    <row r="200" spans="1:2">
      <c r="A200" t="str">
        <f t="shared" ca="1" si="6"/>
        <v/>
      </c>
      <c r="B200">
        <f t="shared" ca="1" si="7"/>
        <v>0</v>
      </c>
    </row>
    <row r="201" spans="1:2">
      <c r="A201" t="str">
        <f t="shared" ca="1" si="6"/>
        <v/>
      </c>
      <c r="B201">
        <f t="shared" ca="1" si="7"/>
        <v>0</v>
      </c>
    </row>
    <row r="202" spans="1:2">
      <c r="A202" t="str">
        <f t="shared" ca="1" si="6"/>
        <v/>
      </c>
      <c r="B202">
        <f t="shared" ca="1" si="7"/>
        <v>0</v>
      </c>
    </row>
    <row r="203" spans="1:2">
      <c r="A203" t="str">
        <f t="shared" ca="1" si="6"/>
        <v/>
      </c>
      <c r="B203">
        <f t="shared" ca="1" si="7"/>
        <v>0</v>
      </c>
    </row>
    <row r="204" spans="1:2">
      <c r="A204" t="str">
        <f t="shared" ca="1" si="6"/>
        <v/>
      </c>
      <c r="B204">
        <f t="shared" ca="1" si="7"/>
        <v>0</v>
      </c>
    </row>
    <row r="205" spans="1:2">
      <c r="A205" t="str">
        <f t="shared" ca="1" si="6"/>
        <v/>
      </c>
      <c r="B205">
        <f t="shared" ca="1" si="7"/>
        <v>0</v>
      </c>
    </row>
    <row r="206" spans="1:2">
      <c r="A206" t="str">
        <f t="shared" ca="1" si="6"/>
        <v/>
      </c>
      <c r="B206">
        <f t="shared" ca="1" si="7"/>
        <v>0</v>
      </c>
    </row>
    <row r="207" spans="1:2">
      <c r="A207" t="str">
        <f t="shared" ca="1" si="6"/>
        <v/>
      </c>
      <c r="B207">
        <f t="shared" ca="1" si="7"/>
        <v>0</v>
      </c>
    </row>
    <row r="208" spans="1:2">
      <c r="A208" t="str">
        <f t="shared" ca="1" si="6"/>
        <v/>
      </c>
      <c r="B208">
        <f t="shared" ca="1" si="7"/>
        <v>0</v>
      </c>
    </row>
    <row r="209" spans="1:2">
      <c r="A209" t="str">
        <f t="shared" ca="1" si="6"/>
        <v/>
      </c>
      <c r="B209">
        <f t="shared" ca="1" si="7"/>
        <v>0</v>
      </c>
    </row>
    <row r="210" spans="1:2">
      <c r="A210" t="str">
        <f t="shared" ca="1" si="6"/>
        <v/>
      </c>
      <c r="B210">
        <f t="shared" ca="1" si="7"/>
        <v>0</v>
      </c>
    </row>
    <row r="211" spans="1:2">
      <c r="A211" t="str">
        <f t="shared" ca="1" si="6"/>
        <v/>
      </c>
      <c r="B211">
        <f t="shared" ca="1" si="7"/>
        <v>0</v>
      </c>
    </row>
    <row r="212" spans="1:2">
      <c r="A212" t="str">
        <f t="shared" ca="1" si="6"/>
        <v/>
      </c>
      <c r="B212">
        <f t="shared" ca="1" si="7"/>
        <v>0</v>
      </c>
    </row>
    <row r="213" spans="1:2">
      <c r="A213" t="str">
        <f t="shared" ca="1" si="6"/>
        <v/>
      </c>
      <c r="B213">
        <f t="shared" ca="1" si="7"/>
        <v>0</v>
      </c>
    </row>
    <row r="214" spans="1:2">
      <c r="A214" t="str">
        <f t="shared" ca="1" si="6"/>
        <v/>
      </c>
      <c r="B214">
        <f t="shared" ca="1" si="7"/>
        <v>0</v>
      </c>
    </row>
    <row r="215" spans="1:2">
      <c r="A215" t="str">
        <f t="shared" ca="1" si="6"/>
        <v/>
      </c>
      <c r="B215">
        <f t="shared" ca="1" si="7"/>
        <v>0</v>
      </c>
    </row>
    <row r="216" spans="1:2">
      <c r="A216" t="str">
        <f t="shared" ca="1" si="6"/>
        <v/>
      </c>
      <c r="B216">
        <f t="shared" ca="1" si="7"/>
        <v>0</v>
      </c>
    </row>
    <row r="217" spans="1:2">
      <c r="A217" t="str">
        <f t="shared" ca="1" si="6"/>
        <v/>
      </c>
      <c r="B217">
        <f t="shared" ca="1" si="7"/>
        <v>0</v>
      </c>
    </row>
    <row r="218" spans="1:2">
      <c r="A218" t="str">
        <f t="shared" ca="1" si="6"/>
        <v/>
      </c>
      <c r="B218">
        <f t="shared" ca="1" si="7"/>
        <v>0</v>
      </c>
    </row>
    <row r="219" spans="1:2">
      <c r="A219" t="str">
        <f t="shared" ca="1" si="6"/>
        <v/>
      </c>
      <c r="B219">
        <f t="shared" ca="1" si="7"/>
        <v>0</v>
      </c>
    </row>
    <row r="220" spans="1:2">
      <c r="A220" t="str">
        <f t="shared" ca="1" si="6"/>
        <v/>
      </c>
      <c r="B220">
        <f t="shared" ca="1" si="7"/>
        <v>0</v>
      </c>
    </row>
    <row r="221" spans="1:2">
      <c r="A221" t="str">
        <f t="shared" ca="1" si="6"/>
        <v/>
      </c>
      <c r="B221">
        <f t="shared" ca="1" si="7"/>
        <v>0</v>
      </c>
    </row>
    <row r="222" spans="1:2">
      <c r="A222" t="str">
        <f t="shared" ca="1" si="6"/>
        <v/>
      </c>
      <c r="B222">
        <f t="shared" ca="1" si="7"/>
        <v>0</v>
      </c>
    </row>
    <row r="223" spans="1:2">
      <c r="A223" t="str">
        <f t="shared" ca="1" si="6"/>
        <v/>
      </c>
      <c r="B223">
        <f t="shared" ca="1" si="7"/>
        <v>0</v>
      </c>
    </row>
    <row r="224" spans="1:2">
      <c r="A224" t="str">
        <f t="shared" ca="1" si="6"/>
        <v/>
      </c>
      <c r="B224">
        <f t="shared" ca="1" si="7"/>
        <v>0</v>
      </c>
    </row>
    <row r="225" spans="1:2">
      <c r="A225" t="str">
        <f t="shared" ca="1" si="6"/>
        <v/>
      </c>
      <c r="B225">
        <f t="shared" ca="1" si="7"/>
        <v>0</v>
      </c>
    </row>
    <row r="226" spans="1:2">
      <c r="A226" t="str">
        <f t="shared" ca="1" si="6"/>
        <v/>
      </c>
      <c r="B226">
        <f t="shared" ca="1" si="7"/>
        <v>0</v>
      </c>
    </row>
    <row r="227" spans="1:2">
      <c r="A227" t="str">
        <f t="shared" ca="1" si="6"/>
        <v/>
      </c>
      <c r="B227">
        <f t="shared" ca="1" si="7"/>
        <v>0</v>
      </c>
    </row>
    <row r="228" spans="1:2">
      <c r="A228" t="str">
        <f t="shared" ca="1" si="6"/>
        <v/>
      </c>
      <c r="B228">
        <f t="shared" ca="1" si="7"/>
        <v>0</v>
      </c>
    </row>
    <row r="229" spans="1:2">
      <c r="A229" t="str">
        <f t="shared" ca="1" si="6"/>
        <v/>
      </c>
      <c r="B229">
        <f t="shared" ca="1" si="7"/>
        <v>0</v>
      </c>
    </row>
    <row r="230" spans="1:2">
      <c r="A230" t="str">
        <f t="shared" ca="1" si="6"/>
        <v/>
      </c>
      <c r="B230">
        <f t="shared" ca="1" si="7"/>
        <v>0</v>
      </c>
    </row>
    <row r="231" spans="1:2">
      <c r="A231" t="str">
        <f t="shared" ca="1" si="6"/>
        <v/>
      </c>
      <c r="B231">
        <f t="shared" ca="1" si="7"/>
        <v>0</v>
      </c>
    </row>
    <row r="232" spans="1:2">
      <c r="A232" t="str">
        <f t="shared" ca="1" si="6"/>
        <v/>
      </c>
      <c r="B232">
        <f t="shared" ca="1" si="7"/>
        <v>0</v>
      </c>
    </row>
    <row r="233" spans="1:2">
      <c r="A233" t="str">
        <f t="shared" ca="1" si="6"/>
        <v/>
      </c>
      <c r="B233">
        <f t="shared" ca="1" si="7"/>
        <v>0</v>
      </c>
    </row>
    <row r="234" spans="1:2">
      <c r="A234" t="str">
        <f t="shared" ca="1" si="6"/>
        <v/>
      </c>
      <c r="B234">
        <f t="shared" ca="1" si="7"/>
        <v>0</v>
      </c>
    </row>
    <row r="235" spans="1:2">
      <c r="A235" t="str">
        <f t="shared" ca="1" si="6"/>
        <v/>
      </c>
      <c r="B235">
        <f t="shared" ca="1" si="7"/>
        <v>0</v>
      </c>
    </row>
    <row r="236" spans="1:2">
      <c r="A236" t="str">
        <f t="shared" ca="1" si="6"/>
        <v/>
      </c>
      <c r="B236">
        <f t="shared" ca="1" si="7"/>
        <v>0</v>
      </c>
    </row>
    <row r="237" spans="1:2">
      <c r="A237" t="str">
        <f t="shared" ca="1" si="6"/>
        <v/>
      </c>
      <c r="B237">
        <f t="shared" ca="1" si="7"/>
        <v>0</v>
      </c>
    </row>
    <row r="238" spans="1:2">
      <c r="A238" t="str">
        <f t="shared" ca="1" si="6"/>
        <v/>
      </c>
      <c r="B238">
        <f t="shared" ca="1" si="7"/>
        <v>0</v>
      </c>
    </row>
    <row r="239" spans="1:2">
      <c r="A239" t="str">
        <f t="shared" ca="1" si="6"/>
        <v/>
      </c>
      <c r="B239">
        <f t="shared" ca="1" si="7"/>
        <v>0</v>
      </c>
    </row>
    <row r="240" spans="1:2">
      <c r="A240" t="str">
        <f t="shared" ca="1" si="6"/>
        <v/>
      </c>
      <c r="B240">
        <f t="shared" ca="1" si="7"/>
        <v>0</v>
      </c>
    </row>
    <row r="241" spans="1:2">
      <c r="A241" t="str">
        <f t="shared" ca="1" si="6"/>
        <v/>
      </c>
      <c r="B241">
        <f t="shared" ca="1" si="7"/>
        <v>0</v>
      </c>
    </row>
    <row r="242" spans="1:2">
      <c r="A242" t="str">
        <f t="shared" ca="1" si="6"/>
        <v/>
      </c>
      <c r="B242">
        <f t="shared" ca="1" si="7"/>
        <v>0</v>
      </c>
    </row>
    <row r="243" spans="1:2">
      <c r="A243" t="str">
        <f t="shared" ca="1" si="6"/>
        <v/>
      </c>
      <c r="B243">
        <f t="shared" ca="1" si="7"/>
        <v>0</v>
      </c>
    </row>
    <row r="244" spans="1:2">
      <c r="A244" t="str">
        <f t="shared" ca="1" si="6"/>
        <v/>
      </c>
      <c r="B244">
        <f t="shared" ca="1" si="7"/>
        <v>0</v>
      </c>
    </row>
    <row r="245" spans="1:2">
      <c r="A245" t="str">
        <f t="shared" ca="1" si="6"/>
        <v/>
      </c>
      <c r="B245">
        <f t="shared" ca="1" si="7"/>
        <v>0</v>
      </c>
    </row>
    <row r="246" spans="1:2">
      <c r="A246" t="str">
        <f t="shared" ca="1" si="6"/>
        <v/>
      </c>
      <c r="B246">
        <f t="shared" ca="1" si="7"/>
        <v>0</v>
      </c>
    </row>
    <row r="247" spans="1:2">
      <c r="A247" t="str">
        <f t="shared" ca="1" si="6"/>
        <v/>
      </c>
      <c r="B247">
        <f t="shared" ca="1" si="7"/>
        <v>0</v>
      </c>
    </row>
    <row r="248" spans="1:2">
      <c r="A248" t="str">
        <f t="shared" ca="1" si="6"/>
        <v/>
      </c>
      <c r="B248">
        <f t="shared" ca="1" si="7"/>
        <v>0</v>
      </c>
    </row>
    <row r="249" spans="1:2">
      <c r="A249" t="str">
        <f t="shared" ca="1" si="6"/>
        <v/>
      </c>
      <c r="B249">
        <f t="shared" ca="1" si="7"/>
        <v>0</v>
      </c>
    </row>
    <row r="250" spans="1:2">
      <c r="A250" t="str">
        <f t="shared" ca="1" si="6"/>
        <v/>
      </c>
      <c r="B250">
        <f t="shared" ca="1" si="7"/>
        <v>0</v>
      </c>
    </row>
    <row r="251" spans="1:2">
      <c r="A251" t="str">
        <f t="shared" ca="1" si="6"/>
        <v/>
      </c>
      <c r="B251">
        <f t="shared" ca="1" si="7"/>
        <v>0</v>
      </c>
    </row>
    <row r="252" spans="1:2">
      <c r="A252" t="str">
        <f t="shared" ca="1" si="6"/>
        <v/>
      </c>
      <c r="B252">
        <f t="shared" ca="1" si="7"/>
        <v>0</v>
      </c>
    </row>
    <row r="253" spans="1:2">
      <c r="A253" t="str">
        <f t="shared" ca="1" si="6"/>
        <v/>
      </c>
      <c r="B253">
        <f t="shared" ca="1" si="7"/>
        <v>0</v>
      </c>
    </row>
    <row r="254" spans="1:2">
      <c r="A254" t="str">
        <f t="shared" ca="1" si="6"/>
        <v/>
      </c>
      <c r="B254">
        <f t="shared" ca="1" si="7"/>
        <v>0</v>
      </c>
    </row>
    <row r="255" spans="1:2">
      <c r="A255" t="str">
        <f t="shared" ca="1" si="6"/>
        <v/>
      </c>
      <c r="B255">
        <f t="shared" ca="1" si="7"/>
        <v>0</v>
      </c>
    </row>
    <row r="256" spans="1:2">
      <c r="A256" t="str">
        <f t="shared" ca="1" si="6"/>
        <v/>
      </c>
      <c r="B256">
        <f t="shared" ca="1" si="7"/>
        <v>0</v>
      </c>
    </row>
    <row r="257" spans="1:2">
      <c r="A257" t="str">
        <f t="shared" ca="1" si="6"/>
        <v/>
      </c>
      <c r="B257">
        <f t="shared" ca="1" si="7"/>
        <v>0</v>
      </c>
    </row>
    <row r="258" spans="1:2">
      <c r="A258" t="str">
        <f t="shared" ref="A258:A321" ca="1" si="8">CONCATENATE(INDIRECT(ADDRESS(ROW(),3)))</f>
        <v/>
      </c>
      <c r="B258">
        <f t="shared" ref="B258:B321" ca="1" si="9">IF(IF(INDIRECT(ADDRESS(ROW(),1))&lt;&gt;"",IF(ISNA(MATCH(LEFT(INDIRECT(ADDRESS(ROW(),1)),2),PCNG_MN,0))=TRUE,1,0),0)+IF(INDIRECT(ADDRESS(ROW(),1))&lt;&gt;"",IF(ISNA(MATCH(LEFT(INDIRECT(ADDRESS(ROW(),1)),3),PCNG_MN,0))=TRUE,1,0),0)+IF(INDIRECT(ADDRESS(ROW(),1))&lt;&gt;"",IF(ISNA(MATCH(LEFT(INDIRECT(ADDRESS(ROW(),1)),4),PCNG_MN,0))=TRUE,1,0),0)&gt;=3,1,0)</f>
        <v>0</v>
      </c>
    </row>
    <row r="259" spans="1:2">
      <c r="A259" t="str">
        <f t="shared" ca="1" si="8"/>
        <v/>
      </c>
      <c r="B259">
        <f t="shared" ca="1" si="9"/>
        <v>0</v>
      </c>
    </row>
    <row r="260" spans="1:2">
      <c r="A260" t="str">
        <f t="shared" ca="1" si="8"/>
        <v/>
      </c>
      <c r="B260">
        <f t="shared" ca="1" si="9"/>
        <v>0</v>
      </c>
    </row>
    <row r="261" spans="1:2">
      <c r="A261" t="str">
        <f t="shared" ca="1" si="8"/>
        <v/>
      </c>
      <c r="B261">
        <f t="shared" ca="1" si="9"/>
        <v>0</v>
      </c>
    </row>
    <row r="262" spans="1:2">
      <c r="A262" t="str">
        <f t="shared" ca="1" si="8"/>
        <v/>
      </c>
      <c r="B262">
        <f t="shared" ca="1" si="9"/>
        <v>0</v>
      </c>
    </row>
    <row r="263" spans="1:2">
      <c r="A263" t="str">
        <f t="shared" ca="1" si="8"/>
        <v/>
      </c>
      <c r="B263">
        <f t="shared" ca="1" si="9"/>
        <v>0</v>
      </c>
    </row>
    <row r="264" spans="1:2">
      <c r="A264" t="str">
        <f t="shared" ca="1" si="8"/>
        <v/>
      </c>
      <c r="B264">
        <f t="shared" ca="1" si="9"/>
        <v>0</v>
      </c>
    </row>
    <row r="265" spans="1:2">
      <c r="A265" t="str">
        <f t="shared" ca="1" si="8"/>
        <v/>
      </c>
      <c r="B265">
        <f t="shared" ca="1" si="9"/>
        <v>0</v>
      </c>
    </row>
    <row r="266" spans="1:2">
      <c r="A266" t="str">
        <f t="shared" ca="1" si="8"/>
        <v/>
      </c>
      <c r="B266">
        <f t="shared" ca="1" si="9"/>
        <v>0</v>
      </c>
    </row>
    <row r="267" spans="1:2">
      <c r="A267" t="str">
        <f t="shared" ca="1" si="8"/>
        <v/>
      </c>
      <c r="B267">
        <f t="shared" ca="1" si="9"/>
        <v>0</v>
      </c>
    </row>
    <row r="268" spans="1:2">
      <c r="A268" t="str">
        <f t="shared" ca="1" si="8"/>
        <v/>
      </c>
      <c r="B268">
        <f t="shared" ca="1" si="9"/>
        <v>0</v>
      </c>
    </row>
    <row r="269" spans="1:2">
      <c r="A269" t="str">
        <f t="shared" ca="1" si="8"/>
        <v/>
      </c>
      <c r="B269">
        <f t="shared" ca="1" si="9"/>
        <v>0</v>
      </c>
    </row>
    <row r="270" spans="1:2">
      <c r="A270" t="str">
        <f t="shared" ca="1" si="8"/>
        <v/>
      </c>
      <c r="B270">
        <f t="shared" ca="1" si="9"/>
        <v>0</v>
      </c>
    </row>
    <row r="271" spans="1:2">
      <c r="A271" t="str">
        <f t="shared" ca="1" si="8"/>
        <v/>
      </c>
      <c r="B271">
        <f t="shared" ca="1" si="9"/>
        <v>0</v>
      </c>
    </row>
    <row r="272" spans="1:2">
      <c r="A272" t="str">
        <f t="shared" ca="1" si="8"/>
        <v/>
      </c>
      <c r="B272">
        <f t="shared" ca="1" si="9"/>
        <v>0</v>
      </c>
    </row>
    <row r="273" spans="1:2">
      <c r="A273" t="str">
        <f t="shared" ca="1" si="8"/>
        <v/>
      </c>
      <c r="B273">
        <f t="shared" ca="1" si="9"/>
        <v>0</v>
      </c>
    </row>
    <row r="274" spans="1:2">
      <c r="A274" t="str">
        <f t="shared" ca="1" si="8"/>
        <v/>
      </c>
      <c r="B274">
        <f t="shared" ca="1" si="9"/>
        <v>0</v>
      </c>
    </row>
    <row r="275" spans="1:2">
      <c r="A275" t="str">
        <f t="shared" ca="1" si="8"/>
        <v/>
      </c>
      <c r="B275">
        <f t="shared" ca="1" si="9"/>
        <v>0</v>
      </c>
    </row>
    <row r="276" spans="1:2">
      <c r="A276" t="str">
        <f t="shared" ca="1" si="8"/>
        <v/>
      </c>
      <c r="B276">
        <f t="shared" ca="1" si="9"/>
        <v>0</v>
      </c>
    </row>
    <row r="277" spans="1:2">
      <c r="A277" t="str">
        <f t="shared" ca="1" si="8"/>
        <v/>
      </c>
      <c r="B277">
        <f t="shared" ca="1" si="9"/>
        <v>0</v>
      </c>
    </row>
    <row r="278" spans="1:2">
      <c r="A278" t="str">
        <f t="shared" ca="1" si="8"/>
        <v/>
      </c>
      <c r="B278">
        <f t="shared" ca="1" si="9"/>
        <v>0</v>
      </c>
    </row>
    <row r="279" spans="1:2">
      <c r="A279" t="str">
        <f t="shared" ca="1" si="8"/>
        <v/>
      </c>
      <c r="B279">
        <f t="shared" ca="1" si="9"/>
        <v>0</v>
      </c>
    </row>
    <row r="280" spans="1:2">
      <c r="A280" t="str">
        <f t="shared" ca="1" si="8"/>
        <v/>
      </c>
      <c r="B280">
        <f t="shared" ca="1" si="9"/>
        <v>0</v>
      </c>
    </row>
    <row r="281" spans="1:2">
      <c r="A281" t="str">
        <f t="shared" ca="1" si="8"/>
        <v/>
      </c>
      <c r="B281">
        <f t="shared" ca="1" si="9"/>
        <v>0</v>
      </c>
    </row>
    <row r="282" spans="1:2">
      <c r="A282" t="str">
        <f t="shared" ca="1" si="8"/>
        <v/>
      </c>
      <c r="B282">
        <f t="shared" ca="1" si="9"/>
        <v>0</v>
      </c>
    </row>
    <row r="283" spans="1:2">
      <c r="A283" t="str">
        <f t="shared" ca="1" si="8"/>
        <v/>
      </c>
      <c r="B283">
        <f t="shared" ca="1" si="9"/>
        <v>0</v>
      </c>
    </row>
    <row r="284" spans="1:2">
      <c r="A284" t="str">
        <f t="shared" ca="1" si="8"/>
        <v/>
      </c>
      <c r="B284">
        <f t="shared" ca="1" si="9"/>
        <v>0</v>
      </c>
    </row>
    <row r="285" spans="1:2">
      <c r="A285" t="str">
        <f t="shared" ca="1" si="8"/>
        <v/>
      </c>
      <c r="B285">
        <f t="shared" ca="1" si="9"/>
        <v>0</v>
      </c>
    </row>
    <row r="286" spans="1:2">
      <c r="A286" t="str">
        <f t="shared" ca="1" si="8"/>
        <v/>
      </c>
      <c r="B286">
        <f t="shared" ca="1" si="9"/>
        <v>0</v>
      </c>
    </row>
    <row r="287" spans="1:2">
      <c r="A287" t="str">
        <f t="shared" ca="1" si="8"/>
        <v/>
      </c>
      <c r="B287">
        <f t="shared" ca="1" si="9"/>
        <v>0</v>
      </c>
    </row>
    <row r="288" spans="1:2">
      <c r="A288" t="str">
        <f t="shared" ca="1" si="8"/>
        <v/>
      </c>
      <c r="B288">
        <f t="shared" ca="1" si="9"/>
        <v>0</v>
      </c>
    </row>
    <row r="289" spans="1:2">
      <c r="A289" t="str">
        <f t="shared" ca="1" si="8"/>
        <v/>
      </c>
      <c r="B289">
        <f t="shared" ca="1" si="9"/>
        <v>0</v>
      </c>
    </row>
    <row r="290" spans="1:2">
      <c r="A290" t="str">
        <f t="shared" ca="1" si="8"/>
        <v/>
      </c>
      <c r="B290">
        <f t="shared" ca="1" si="9"/>
        <v>0</v>
      </c>
    </row>
    <row r="291" spans="1:2">
      <c r="A291" t="str">
        <f t="shared" ca="1" si="8"/>
        <v/>
      </c>
      <c r="B291">
        <f t="shared" ca="1" si="9"/>
        <v>0</v>
      </c>
    </row>
    <row r="292" spans="1:2">
      <c r="A292" t="str">
        <f t="shared" ca="1" si="8"/>
        <v/>
      </c>
      <c r="B292">
        <f t="shared" ca="1" si="9"/>
        <v>0</v>
      </c>
    </row>
    <row r="293" spans="1:2">
      <c r="A293" t="str">
        <f t="shared" ca="1" si="8"/>
        <v/>
      </c>
      <c r="B293">
        <f t="shared" ca="1" si="9"/>
        <v>0</v>
      </c>
    </row>
    <row r="294" spans="1:2">
      <c r="A294" t="str">
        <f t="shared" ca="1" si="8"/>
        <v/>
      </c>
      <c r="B294">
        <f t="shared" ca="1" si="9"/>
        <v>0</v>
      </c>
    </row>
    <row r="295" spans="1:2">
      <c r="A295" t="str">
        <f t="shared" ca="1" si="8"/>
        <v/>
      </c>
      <c r="B295">
        <f t="shared" ca="1" si="9"/>
        <v>0</v>
      </c>
    </row>
    <row r="296" spans="1:2">
      <c r="A296" t="str">
        <f t="shared" ca="1" si="8"/>
        <v/>
      </c>
      <c r="B296">
        <f t="shared" ca="1" si="9"/>
        <v>0</v>
      </c>
    </row>
    <row r="297" spans="1:2">
      <c r="A297" t="str">
        <f t="shared" ca="1" si="8"/>
        <v/>
      </c>
      <c r="B297">
        <f t="shared" ca="1" si="9"/>
        <v>0</v>
      </c>
    </row>
    <row r="298" spans="1:2">
      <c r="A298" t="str">
        <f t="shared" ca="1" si="8"/>
        <v/>
      </c>
      <c r="B298">
        <f t="shared" ca="1" si="9"/>
        <v>0</v>
      </c>
    </row>
    <row r="299" spans="1:2">
      <c r="A299" t="str">
        <f t="shared" ca="1" si="8"/>
        <v/>
      </c>
      <c r="B299">
        <f t="shared" ca="1" si="9"/>
        <v>0</v>
      </c>
    </row>
    <row r="300" spans="1:2">
      <c r="A300" t="str">
        <f t="shared" ca="1" si="8"/>
        <v/>
      </c>
      <c r="B300">
        <f t="shared" ca="1" si="9"/>
        <v>0</v>
      </c>
    </row>
    <row r="301" spans="1:2">
      <c r="A301" t="str">
        <f t="shared" ca="1" si="8"/>
        <v/>
      </c>
      <c r="B301">
        <f t="shared" ca="1" si="9"/>
        <v>0</v>
      </c>
    </row>
    <row r="302" spans="1:2">
      <c r="A302" t="str">
        <f t="shared" ca="1" si="8"/>
        <v/>
      </c>
      <c r="B302">
        <f t="shared" ca="1" si="9"/>
        <v>0</v>
      </c>
    </row>
    <row r="303" spans="1:2">
      <c r="A303" t="str">
        <f t="shared" ca="1" si="8"/>
        <v/>
      </c>
      <c r="B303">
        <f t="shared" ca="1" si="9"/>
        <v>0</v>
      </c>
    </row>
    <row r="304" spans="1:2">
      <c r="A304" t="str">
        <f t="shared" ca="1" si="8"/>
        <v/>
      </c>
      <c r="B304">
        <f t="shared" ca="1" si="9"/>
        <v>0</v>
      </c>
    </row>
    <row r="305" spans="1:2">
      <c r="A305" t="str">
        <f t="shared" ca="1" si="8"/>
        <v/>
      </c>
      <c r="B305">
        <f t="shared" ca="1" si="9"/>
        <v>0</v>
      </c>
    </row>
    <row r="306" spans="1:2">
      <c r="A306" t="str">
        <f t="shared" ca="1" si="8"/>
        <v/>
      </c>
      <c r="B306">
        <f t="shared" ca="1" si="9"/>
        <v>0</v>
      </c>
    </row>
    <row r="307" spans="1:2">
      <c r="A307" t="str">
        <f t="shared" ca="1" si="8"/>
        <v/>
      </c>
      <c r="B307">
        <f t="shared" ca="1" si="9"/>
        <v>0</v>
      </c>
    </row>
    <row r="308" spans="1:2">
      <c r="A308" t="str">
        <f t="shared" ca="1" si="8"/>
        <v/>
      </c>
      <c r="B308">
        <f t="shared" ca="1" si="9"/>
        <v>0</v>
      </c>
    </row>
    <row r="309" spans="1:2">
      <c r="A309" t="str">
        <f t="shared" ca="1" si="8"/>
        <v/>
      </c>
      <c r="B309">
        <f t="shared" ca="1" si="9"/>
        <v>0</v>
      </c>
    </row>
    <row r="310" spans="1:2">
      <c r="A310" t="str">
        <f t="shared" ca="1" si="8"/>
        <v/>
      </c>
      <c r="B310">
        <f t="shared" ca="1" si="9"/>
        <v>0</v>
      </c>
    </row>
    <row r="311" spans="1:2">
      <c r="A311" t="str">
        <f t="shared" ca="1" si="8"/>
        <v/>
      </c>
      <c r="B311">
        <f t="shared" ca="1" si="9"/>
        <v>0</v>
      </c>
    </row>
    <row r="312" spans="1:2">
      <c r="A312" t="str">
        <f t="shared" ca="1" si="8"/>
        <v/>
      </c>
      <c r="B312">
        <f t="shared" ca="1" si="9"/>
        <v>0</v>
      </c>
    </row>
    <row r="313" spans="1:2">
      <c r="A313" t="str">
        <f t="shared" ca="1" si="8"/>
        <v/>
      </c>
      <c r="B313">
        <f t="shared" ca="1" si="9"/>
        <v>0</v>
      </c>
    </row>
    <row r="314" spans="1:2">
      <c r="A314" t="str">
        <f t="shared" ca="1" si="8"/>
        <v/>
      </c>
      <c r="B314">
        <f t="shared" ca="1" si="9"/>
        <v>0</v>
      </c>
    </row>
    <row r="315" spans="1:2">
      <c r="A315" t="str">
        <f t="shared" ca="1" si="8"/>
        <v/>
      </c>
      <c r="B315">
        <f t="shared" ca="1" si="9"/>
        <v>0</v>
      </c>
    </row>
    <row r="316" spans="1:2">
      <c r="A316" t="str">
        <f t="shared" ca="1" si="8"/>
        <v/>
      </c>
      <c r="B316">
        <f t="shared" ca="1" si="9"/>
        <v>0</v>
      </c>
    </row>
    <row r="317" spans="1:2">
      <c r="A317" t="str">
        <f t="shared" ca="1" si="8"/>
        <v/>
      </c>
      <c r="B317">
        <f t="shared" ca="1" si="9"/>
        <v>0</v>
      </c>
    </row>
    <row r="318" spans="1:2">
      <c r="A318" t="str">
        <f t="shared" ca="1" si="8"/>
        <v/>
      </c>
      <c r="B318">
        <f t="shared" ca="1" si="9"/>
        <v>0</v>
      </c>
    </row>
    <row r="319" spans="1:2">
      <c r="A319" t="str">
        <f t="shared" ca="1" si="8"/>
        <v/>
      </c>
      <c r="B319">
        <f t="shared" ca="1" si="9"/>
        <v>0</v>
      </c>
    </row>
    <row r="320" spans="1:2">
      <c r="A320" t="str">
        <f t="shared" ca="1" si="8"/>
        <v/>
      </c>
      <c r="B320">
        <f t="shared" ca="1" si="9"/>
        <v>0</v>
      </c>
    </row>
    <row r="321" spans="1:2">
      <c r="A321" t="str">
        <f t="shared" ca="1" si="8"/>
        <v/>
      </c>
      <c r="B321">
        <f t="shared" ca="1" si="9"/>
        <v>0</v>
      </c>
    </row>
    <row r="322" spans="1:2">
      <c r="A322" t="str">
        <f t="shared" ref="A322:A385" ca="1" si="10">CONCATENATE(INDIRECT(ADDRESS(ROW(),3)))</f>
        <v/>
      </c>
      <c r="B322">
        <f t="shared" ref="B322:B385" ca="1" si="11">IF(IF(INDIRECT(ADDRESS(ROW(),1))&lt;&gt;"",IF(ISNA(MATCH(LEFT(INDIRECT(ADDRESS(ROW(),1)),2),PCNG_MN,0))=TRUE,1,0),0)+IF(INDIRECT(ADDRESS(ROW(),1))&lt;&gt;"",IF(ISNA(MATCH(LEFT(INDIRECT(ADDRESS(ROW(),1)),3),PCNG_MN,0))=TRUE,1,0),0)+IF(INDIRECT(ADDRESS(ROW(),1))&lt;&gt;"",IF(ISNA(MATCH(LEFT(INDIRECT(ADDRESS(ROW(),1)),4),PCNG_MN,0))=TRUE,1,0),0)&gt;=3,1,0)</f>
        <v>0</v>
      </c>
    </row>
    <row r="323" spans="1:2">
      <c r="A323" t="str">
        <f t="shared" ca="1" si="10"/>
        <v/>
      </c>
      <c r="B323">
        <f t="shared" ca="1" si="11"/>
        <v>0</v>
      </c>
    </row>
    <row r="324" spans="1:2">
      <c r="A324" t="str">
        <f t="shared" ca="1" si="10"/>
        <v/>
      </c>
      <c r="B324">
        <f t="shared" ca="1" si="11"/>
        <v>0</v>
      </c>
    </row>
    <row r="325" spans="1:2">
      <c r="A325" t="str">
        <f t="shared" ca="1" si="10"/>
        <v/>
      </c>
      <c r="B325">
        <f t="shared" ca="1" si="11"/>
        <v>0</v>
      </c>
    </row>
    <row r="326" spans="1:2">
      <c r="A326" t="str">
        <f t="shared" ca="1" si="10"/>
        <v/>
      </c>
      <c r="B326">
        <f t="shared" ca="1" si="11"/>
        <v>0</v>
      </c>
    </row>
    <row r="327" spans="1:2">
      <c r="A327" t="str">
        <f t="shared" ca="1" si="10"/>
        <v/>
      </c>
      <c r="B327">
        <f t="shared" ca="1" si="11"/>
        <v>0</v>
      </c>
    </row>
    <row r="328" spans="1:2">
      <c r="A328" t="str">
        <f t="shared" ca="1" si="10"/>
        <v/>
      </c>
      <c r="B328">
        <f t="shared" ca="1" si="11"/>
        <v>0</v>
      </c>
    </row>
    <row r="329" spans="1:2">
      <c r="A329" t="str">
        <f t="shared" ca="1" si="10"/>
        <v/>
      </c>
      <c r="B329">
        <f t="shared" ca="1" si="11"/>
        <v>0</v>
      </c>
    </row>
    <row r="330" spans="1:2">
      <c r="A330" t="str">
        <f t="shared" ca="1" si="10"/>
        <v/>
      </c>
      <c r="B330">
        <f t="shared" ca="1" si="11"/>
        <v>0</v>
      </c>
    </row>
    <row r="331" spans="1:2">
      <c r="A331" t="str">
        <f t="shared" ca="1" si="10"/>
        <v/>
      </c>
      <c r="B331">
        <f t="shared" ca="1" si="11"/>
        <v>0</v>
      </c>
    </row>
    <row r="332" spans="1:2">
      <c r="A332" t="str">
        <f t="shared" ca="1" si="10"/>
        <v/>
      </c>
      <c r="B332">
        <f t="shared" ca="1" si="11"/>
        <v>0</v>
      </c>
    </row>
    <row r="333" spans="1:2">
      <c r="A333" t="str">
        <f t="shared" ca="1" si="10"/>
        <v/>
      </c>
      <c r="B333">
        <f t="shared" ca="1" si="11"/>
        <v>0</v>
      </c>
    </row>
    <row r="334" spans="1:2">
      <c r="A334" t="str">
        <f t="shared" ca="1" si="10"/>
        <v/>
      </c>
      <c r="B334">
        <f t="shared" ca="1" si="11"/>
        <v>0</v>
      </c>
    </row>
    <row r="335" spans="1:2">
      <c r="A335" t="str">
        <f t="shared" ca="1" si="10"/>
        <v/>
      </c>
      <c r="B335">
        <f t="shared" ca="1" si="11"/>
        <v>0</v>
      </c>
    </row>
    <row r="336" spans="1:2">
      <c r="A336" t="str">
        <f t="shared" ca="1" si="10"/>
        <v/>
      </c>
      <c r="B336">
        <f t="shared" ca="1" si="11"/>
        <v>0</v>
      </c>
    </row>
    <row r="337" spans="1:2">
      <c r="A337" t="str">
        <f t="shared" ca="1" si="10"/>
        <v/>
      </c>
      <c r="B337">
        <f t="shared" ca="1" si="11"/>
        <v>0</v>
      </c>
    </row>
    <row r="338" spans="1:2">
      <c r="A338" t="str">
        <f t="shared" ca="1" si="10"/>
        <v/>
      </c>
      <c r="B338">
        <f t="shared" ca="1" si="11"/>
        <v>0</v>
      </c>
    </row>
    <row r="339" spans="1:2">
      <c r="A339" t="str">
        <f t="shared" ca="1" si="10"/>
        <v/>
      </c>
      <c r="B339">
        <f t="shared" ca="1" si="11"/>
        <v>0</v>
      </c>
    </row>
    <row r="340" spans="1:2">
      <c r="A340" t="str">
        <f t="shared" ca="1" si="10"/>
        <v/>
      </c>
      <c r="B340">
        <f t="shared" ca="1" si="11"/>
        <v>0</v>
      </c>
    </row>
    <row r="341" spans="1:2">
      <c r="A341" t="str">
        <f t="shared" ca="1" si="10"/>
        <v/>
      </c>
      <c r="B341">
        <f t="shared" ca="1" si="11"/>
        <v>0</v>
      </c>
    </row>
    <row r="342" spans="1:2">
      <c r="A342" t="str">
        <f t="shared" ca="1" si="10"/>
        <v/>
      </c>
      <c r="B342">
        <f t="shared" ca="1" si="11"/>
        <v>0</v>
      </c>
    </row>
    <row r="343" spans="1:2">
      <c r="A343" t="str">
        <f t="shared" ca="1" si="10"/>
        <v/>
      </c>
      <c r="B343">
        <f t="shared" ca="1" si="11"/>
        <v>0</v>
      </c>
    </row>
    <row r="344" spans="1:2">
      <c r="A344" t="str">
        <f t="shared" ca="1" si="10"/>
        <v/>
      </c>
      <c r="B344">
        <f t="shared" ca="1" si="11"/>
        <v>0</v>
      </c>
    </row>
    <row r="345" spans="1:2">
      <c r="A345" t="str">
        <f t="shared" ca="1" si="10"/>
        <v/>
      </c>
      <c r="B345">
        <f t="shared" ca="1" si="11"/>
        <v>0</v>
      </c>
    </row>
    <row r="346" spans="1:2">
      <c r="A346" t="str">
        <f t="shared" ca="1" si="10"/>
        <v/>
      </c>
      <c r="B346">
        <f t="shared" ca="1" si="11"/>
        <v>0</v>
      </c>
    </row>
    <row r="347" spans="1:2">
      <c r="A347" t="str">
        <f t="shared" ca="1" si="10"/>
        <v/>
      </c>
      <c r="B347">
        <f t="shared" ca="1" si="11"/>
        <v>0</v>
      </c>
    </row>
    <row r="348" spans="1:2">
      <c r="A348" t="str">
        <f t="shared" ca="1" si="10"/>
        <v/>
      </c>
      <c r="B348">
        <f t="shared" ca="1" si="11"/>
        <v>0</v>
      </c>
    </row>
    <row r="349" spans="1:2">
      <c r="A349" t="str">
        <f t="shared" ca="1" si="10"/>
        <v/>
      </c>
      <c r="B349">
        <f t="shared" ca="1" si="11"/>
        <v>0</v>
      </c>
    </row>
    <row r="350" spans="1:2">
      <c r="A350" t="str">
        <f t="shared" ca="1" si="10"/>
        <v/>
      </c>
      <c r="B350">
        <f t="shared" ca="1" si="11"/>
        <v>0</v>
      </c>
    </row>
    <row r="351" spans="1:2">
      <c r="A351" t="str">
        <f t="shared" ca="1" si="10"/>
        <v/>
      </c>
      <c r="B351">
        <f t="shared" ca="1" si="11"/>
        <v>0</v>
      </c>
    </row>
    <row r="352" spans="1:2">
      <c r="A352" t="str">
        <f t="shared" ca="1" si="10"/>
        <v/>
      </c>
      <c r="B352">
        <f t="shared" ca="1" si="11"/>
        <v>0</v>
      </c>
    </row>
    <row r="353" spans="1:2">
      <c r="A353" t="str">
        <f t="shared" ca="1" si="10"/>
        <v/>
      </c>
      <c r="B353">
        <f t="shared" ca="1" si="11"/>
        <v>0</v>
      </c>
    </row>
    <row r="354" spans="1:2">
      <c r="A354" t="str">
        <f t="shared" ca="1" si="10"/>
        <v/>
      </c>
      <c r="B354">
        <f t="shared" ca="1" si="11"/>
        <v>0</v>
      </c>
    </row>
    <row r="355" spans="1:2">
      <c r="A355" t="str">
        <f t="shared" ca="1" si="10"/>
        <v/>
      </c>
      <c r="B355">
        <f t="shared" ca="1" si="11"/>
        <v>0</v>
      </c>
    </row>
    <row r="356" spans="1:2">
      <c r="A356" t="str">
        <f t="shared" ca="1" si="10"/>
        <v/>
      </c>
      <c r="B356">
        <f t="shared" ca="1" si="11"/>
        <v>0</v>
      </c>
    </row>
    <row r="357" spans="1:2">
      <c r="A357" t="str">
        <f t="shared" ca="1" si="10"/>
        <v/>
      </c>
      <c r="B357">
        <f t="shared" ca="1" si="11"/>
        <v>0</v>
      </c>
    </row>
    <row r="358" spans="1:2">
      <c r="A358" t="str">
        <f t="shared" ca="1" si="10"/>
        <v/>
      </c>
      <c r="B358">
        <f t="shared" ca="1" si="11"/>
        <v>0</v>
      </c>
    </row>
    <row r="359" spans="1:2">
      <c r="A359" t="str">
        <f t="shared" ca="1" si="10"/>
        <v/>
      </c>
      <c r="B359">
        <f t="shared" ca="1" si="11"/>
        <v>0</v>
      </c>
    </row>
    <row r="360" spans="1:2">
      <c r="A360" t="str">
        <f t="shared" ca="1" si="10"/>
        <v/>
      </c>
      <c r="B360">
        <f t="shared" ca="1" si="11"/>
        <v>0</v>
      </c>
    </row>
    <row r="361" spans="1:2">
      <c r="A361" t="str">
        <f t="shared" ca="1" si="10"/>
        <v/>
      </c>
      <c r="B361">
        <f t="shared" ca="1" si="11"/>
        <v>0</v>
      </c>
    </row>
    <row r="362" spans="1:2">
      <c r="A362" t="str">
        <f t="shared" ca="1" si="10"/>
        <v/>
      </c>
      <c r="B362">
        <f t="shared" ca="1" si="11"/>
        <v>0</v>
      </c>
    </row>
    <row r="363" spans="1:2">
      <c r="A363" t="str">
        <f t="shared" ca="1" si="10"/>
        <v/>
      </c>
      <c r="B363">
        <f t="shared" ca="1" si="11"/>
        <v>0</v>
      </c>
    </row>
    <row r="364" spans="1:2">
      <c r="A364" t="str">
        <f t="shared" ca="1" si="10"/>
        <v/>
      </c>
      <c r="B364">
        <f t="shared" ca="1" si="11"/>
        <v>0</v>
      </c>
    </row>
    <row r="365" spans="1:2">
      <c r="A365" t="str">
        <f t="shared" ca="1" si="10"/>
        <v/>
      </c>
      <c r="B365">
        <f t="shared" ca="1" si="11"/>
        <v>0</v>
      </c>
    </row>
    <row r="366" spans="1:2">
      <c r="A366" t="str">
        <f t="shared" ca="1" si="10"/>
        <v/>
      </c>
      <c r="B366">
        <f t="shared" ca="1" si="11"/>
        <v>0</v>
      </c>
    </row>
    <row r="367" spans="1:2">
      <c r="A367" t="str">
        <f t="shared" ca="1" si="10"/>
        <v/>
      </c>
      <c r="B367">
        <f t="shared" ca="1" si="11"/>
        <v>0</v>
      </c>
    </row>
    <row r="368" spans="1:2">
      <c r="A368" t="str">
        <f t="shared" ca="1" si="10"/>
        <v/>
      </c>
      <c r="B368">
        <f t="shared" ca="1" si="11"/>
        <v>0</v>
      </c>
    </row>
    <row r="369" spans="1:2">
      <c r="A369" t="str">
        <f t="shared" ca="1" si="10"/>
        <v/>
      </c>
      <c r="B369">
        <f t="shared" ca="1" si="11"/>
        <v>0</v>
      </c>
    </row>
    <row r="370" spans="1:2">
      <c r="A370" t="str">
        <f t="shared" ca="1" si="10"/>
        <v/>
      </c>
      <c r="B370">
        <f t="shared" ca="1" si="11"/>
        <v>0</v>
      </c>
    </row>
    <row r="371" spans="1:2">
      <c r="A371" t="str">
        <f t="shared" ca="1" si="10"/>
        <v/>
      </c>
      <c r="B371">
        <f t="shared" ca="1" si="11"/>
        <v>0</v>
      </c>
    </row>
    <row r="372" spans="1:2">
      <c r="A372" t="str">
        <f t="shared" ca="1" si="10"/>
        <v/>
      </c>
      <c r="B372">
        <f t="shared" ca="1" si="11"/>
        <v>0</v>
      </c>
    </row>
    <row r="373" spans="1:2">
      <c r="A373" t="str">
        <f t="shared" ca="1" si="10"/>
        <v/>
      </c>
      <c r="B373">
        <f t="shared" ca="1" si="11"/>
        <v>0</v>
      </c>
    </row>
    <row r="374" spans="1:2">
      <c r="A374" t="str">
        <f t="shared" ca="1" si="10"/>
        <v/>
      </c>
      <c r="B374">
        <f t="shared" ca="1" si="11"/>
        <v>0</v>
      </c>
    </row>
    <row r="375" spans="1:2">
      <c r="A375" t="str">
        <f t="shared" ca="1" si="10"/>
        <v/>
      </c>
      <c r="B375">
        <f t="shared" ca="1" si="11"/>
        <v>0</v>
      </c>
    </row>
    <row r="376" spans="1:2">
      <c r="A376" t="str">
        <f t="shared" ca="1" si="10"/>
        <v/>
      </c>
      <c r="B376">
        <f t="shared" ca="1" si="11"/>
        <v>0</v>
      </c>
    </row>
    <row r="377" spans="1:2">
      <c r="A377" t="str">
        <f t="shared" ca="1" si="10"/>
        <v/>
      </c>
      <c r="B377">
        <f t="shared" ca="1" si="11"/>
        <v>0</v>
      </c>
    </row>
    <row r="378" spans="1:2">
      <c r="A378" t="str">
        <f t="shared" ca="1" si="10"/>
        <v/>
      </c>
      <c r="B378">
        <f t="shared" ca="1" si="11"/>
        <v>0</v>
      </c>
    </row>
    <row r="379" spans="1:2">
      <c r="A379" t="str">
        <f t="shared" ca="1" si="10"/>
        <v/>
      </c>
      <c r="B379">
        <f t="shared" ca="1" si="11"/>
        <v>0</v>
      </c>
    </row>
    <row r="380" spans="1:2">
      <c r="A380" t="str">
        <f t="shared" ca="1" si="10"/>
        <v/>
      </c>
      <c r="B380">
        <f t="shared" ca="1" si="11"/>
        <v>0</v>
      </c>
    </row>
    <row r="381" spans="1:2">
      <c r="A381" t="str">
        <f t="shared" ca="1" si="10"/>
        <v/>
      </c>
      <c r="B381">
        <f t="shared" ca="1" si="11"/>
        <v>0</v>
      </c>
    </row>
    <row r="382" spans="1:2">
      <c r="A382" t="str">
        <f t="shared" ca="1" si="10"/>
        <v/>
      </c>
      <c r="B382">
        <f t="shared" ca="1" si="11"/>
        <v>0</v>
      </c>
    </row>
    <row r="383" spans="1:2">
      <c r="A383" t="str">
        <f t="shared" ca="1" si="10"/>
        <v/>
      </c>
      <c r="B383">
        <f t="shared" ca="1" si="11"/>
        <v>0</v>
      </c>
    </row>
    <row r="384" spans="1:2">
      <c r="A384" t="str">
        <f t="shared" ca="1" si="10"/>
        <v/>
      </c>
      <c r="B384">
        <f t="shared" ca="1" si="11"/>
        <v>0</v>
      </c>
    </row>
    <row r="385" spans="1:2">
      <c r="A385" t="str">
        <f t="shared" ca="1" si="10"/>
        <v/>
      </c>
      <c r="B385">
        <f t="shared" ca="1" si="11"/>
        <v>0</v>
      </c>
    </row>
    <row r="386" spans="1:2">
      <c r="A386" t="str">
        <f t="shared" ref="A386:A449" ca="1" si="12">CONCATENATE(INDIRECT(ADDRESS(ROW(),3)))</f>
        <v/>
      </c>
      <c r="B386">
        <f t="shared" ref="B386:B449" ca="1" si="13">IF(IF(INDIRECT(ADDRESS(ROW(),1))&lt;&gt;"",IF(ISNA(MATCH(LEFT(INDIRECT(ADDRESS(ROW(),1)),2),PCNG_MN,0))=TRUE,1,0),0)+IF(INDIRECT(ADDRESS(ROW(),1))&lt;&gt;"",IF(ISNA(MATCH(LEFT(INDIRECT(ADDRESS(ROW(),1)),3),PCNG_MN,0))=TRUE,1,0),0)+IF(INDIRECT(ADDRESS(ROW(),1))&lt;&gt;"",IF(ISNA(MATCH(LEFT(INDIRECT(ADDRESS(ROW(),1)),4),PCNG_MN,0))=TRUE,1,0),0)&gt;=3,1,0)</f>
        <v>0</v>
      </c>
    </row>
    <row r="387" spans="1:2">
      <c r="A387" t="str">
        <f t="shared" ca="1" si="12"/>
        <v/>
      </c>
      <c r="B387">
        <f t="shared" ca="1" si="13"/>
        <v>0</v>
      </c>
    </row>
    <row r="388" spans="1:2">
      <c r="A388" t="str">
        <f t="shared" ca="1" si="12"/>
        <v/>
      </c>
      <c r="B388">
        <f t="shared" ca="1" si="13"/>
        <v>0</v>
      </c>
    </row>
    <row r="389" spans="1:2">
      <c r="A389" t="str">
        <f t="shared" ca="1" si="12"/>
        <v/>
      </c>
      <c r="B389">
        <f t="shared" ca="1" si="13"/>
        <v>0</v>
      </c>
    </row>
    <row r="390" spans="1:2">
      <c r="A390" t="str">
        <f t="shared" ca="1" si="12"/>
        <v/>
      </c>
      <c r="B390">
        <f t="shared" ca="1" si="13"/>
        <v>0</v>
      </c>
    </row>
    <row r="391" spans="1:2">
      <c r="A391" t="str">
        <f t="shared" ca="1" si="12"/>
        <v/>
      </c>
      <c r="B391">
        <f t="shared" ca="1" si="13"/>
        <v>0</v>
      </c>
    </row>
    <row r="392" spans="1:2">
      <c r="A392" t="str">
        <f t="shared" ca="1" si="12"/>
        <v/>
      </c>
      <c r="B392">
        <f t="shared" ca="1" si="13"/>
        <v>0</v>
      </c>
    </row>
    <row r="393" spans="1:2">
      <c r="A393" t="str">
        <f t="shared" ca="1" si="12"/>
        <v/>
      </c>
      <c r="B393">
        <f t="shared" ca="1" si="13"/>
        <v>0</v>
      </c>
    </row>
    <row r="394" spans="1:2">
      <c r="A394" t="str">
        <f t="shared" ca="1" si="12"/>
        <v/>
      </c>
      <c r="B394">
        <f t="shared" ca="1" si="13"/>
        <v>0</v>
      </c>
    </row>
    <row r="395" spans="1:2">
      <c r="A395" t="str">
        <f t="shared" ca="1" si="12"/>
        <v/>
      </c>
      <c r="B395">
        <f t="shared" ca="1" si="13"/>
        <v>0</v>
      </c>
    </row>
    <row r="396" spans="1:2">
      <c r="A396" t="str">
        <f t="shared" ca="1" si="12"/>
        <v/>
      </c>
      <c r="B396">
        <f t="shared" ca="1" si="13"/>
        <v>0</v>
      </c>
    </row>
    <row r="397" spans="1:2">
      <c r="A397" t="str">
        <f t="shared" ca="1" si="12"/>
        <v/>
      </c>
      <c r="B397">
        <f t="shared" ca="1" si="13"/>
        <v>0</v>
      </c>
    </row>
    <row r="398" spans="1:2">
      <c r="A398" t="str">
        <f t="shared" ca="1" si="12"/>
        <v/>
      </c>
      <c r="B398">
        <f t="shared" ca="1" si="13"/>
        <v>0</v>
      </c>
    </row>
    <row r="399" spans="1:2">
      <c r="A399" t="str">
        <f t="shared" ca="1" si="12"/>
        <v/>
      </c>
      <c r="B399">
        <f t="shared" ca="1" si="13"/>
        <v>0</v>
      </c>
    </row>
    <row r="400" spans="1:2">
      <c r="A400" t="str">
        <f t="shared" ca="1" si="12"/>
        <v/>
      </c>
      <c r="B400">
        <f t="shared" ca="1" si="13"/>
        <v>0</v>
      </c>
    </row>
    <row r="401" spans="1:2">
      <c r="A401" t="str">
        <f t="shared" ca="1" si="12"/>
        <v/>
      </c>
      <c r="B401">
        <f t="shared" ca="1" si="13"/>
        <v>0</v>
      </c>
    </row>
    <row r="402" spans="1:2">
      <c r="A402" t="str">
        <f t="shared" ca="1" si="12"/>
        <v/>
      </c>
      <c r="B402">
        <f t="shared" ca="1" si="13"/>
        <v>0</v>
      </c>
    </row>
    <row r="403" spans="1:2">
      <c r="A403" t="str">
        <f t="shared" ca="1" si="12"/>
        <v/>
      </c>
      <c r="B403">
        <f t="shared" ca="1" si="13"/>
        <v>0</v>
      </c>
    </row>
    <row r="404" spans="1:2">
      <c r="A404" t="str">
        <f t="shared" ca="1" si="12"/>
        <v/>
      </c>
      <c r="B404">
        <f t="shared" ca="1" si="13"/>
        <v>0</v>
      </c>
    </row>
    <row r="405" spans="1:2">
      <c r="A405" t="str">
        <f t="shared" ca="1" si="12"/>
        <v/>
      </c>
      <c r="B405">
        <f t="shared" ca="1" si="13"/>
        <v>0</v>
      </c>
    </row>
    <row r="406" spans="1:2">
      <c r="A406" t="str">
        <f t="shared" ca="1" si="12"/>
        <v/>
      </c>
      <c r="B406">
        <f t="shared" ca="1" si="13"/>
        <v>0</v>
      </c>
    </row>
    <row r="407" spans="1:2">
      <c r="A407" t="str">
        <f t="shared" ca="1" si="12"/>
        <v/>
      </c>
      <c r="B407">
        <f t="shared" ca="1" si="13"/>
        <v>0</v>
      </c>
    </row>
    <row r="408" spans="1:2">
      <c r="A408" t="str">
        <f t="shared" ca="1" si="12"/>
        <v/>
      </c>
      <c r="B408">
        <f t="shared" ca="1" si="13"/>
        <v>0</v>
      </c>
    </row>
    <row r="409" spans="1:2">
      <c r="A409" t="str">
        <f t="shared" ca="1" si="12"/>
        <v/>
      </c>
      <c r="B409">
        <f t="shared" ca="1" si="13"/>
        <v>0</v>
      </c>
    </row>
    <row r="410" spans="1:2">
      <c r="A410" t="str">
        <f t="shared" ca="1" si="12"/>
        <v/>
      </c>
      <c r="B410">
        <f t="shared" ca="1" si="13"/>
        <v>0</v>
      </c>
    </row>
    <row r="411" spans="1:2">
      <c r="A411" t="str">
        <f t="shared" ca="1" si="12"/>
        <v/>
      </c>
      <c r="B411">
        <f t="shared" ca="1" si="13"/>
        <v>0</v>
      </c>
    </row>
    <row r="412" spans="1:2">
      <c r="A412" t="str">
        <f t="shared" ca="1" si="12"/>
        <v/>
      </c>
      <c r="B412">
        <f t="shared" ca="1" si="13"/>
        <v>0</v>
      </c>
    </row>
    <row r="413" spans="1:2">
      <c r="A413" t="str">
        <f t="shared" ca="1" si="12"/>
        <v/>
      </c>
      <c r="B413">
        <f t="shared" ca="1" si="13"/>
        <v>0</v>
      </c>
    </row>
    <row r="414" spans="1:2">
      <c r="A414" t="str">
        <f t="shared" ca="1" si="12"/>
        <v/>
      </c>
      <c r="B414">
        <f t="shared" ca="1" si="13"/>
        <v>0</v>
      </c>
    </row>
    <row r="415" spans="1:2">
      <c r="A415" t="str">
        <f t="shared" ca="1" si="12"/>
        <v/>
      </c>
      <c r="B415">
        <f t="shared" ca="1" si="13"/>
        <v>0</v>
      </c>
    </row>
    <row r="416" spans="1:2">
      <c r="A416" t="str">
        <f t="shared" ca="1" si="12"/>
        <v/>
      </c>
      <c r="B416">
        <f t="shared" ca="1" si="13"/>
        <v>0</v>
      </c>
    </row>
    <row r="417" spans="1:2">
      <c r="A417" t="str">
        <f t="shared" ca="1" si="12"/>
        <v/>
      </c>
      <c r="B417">
        <f t="shared" ca="1" si="13"/>
        <v>0</v>
      </c>
    </row>
    <row r="418" spans="1:2">
      <c r="A418" t="str">
        <f t="shared" ca="1" si="12"/>
        <v/>
      </c>
      <c r="B418">
        <f t="shared" ca="1" si="13"/>
        <v>0</v>
      </c>
    </row>
    <row r="419" spans="1:2">
      <c r="A419" t="str">
        <f t="shared" ca="1" si="12"/>
        <v/>
      </c>
      <c r="B419">
        <f t="shared" ca="1" si="13"/>
        <v>0</v>
      </c>
    </row>
    <row r="420" spans="1:2">
      <c r="A420" t="str">
        <f t="shared" ca="1" si="12"/>
        <v/>
      </c>
      <c r="B420">
        <f t="shared" ca="1" si="13"/>
        <v>0</v>
      </c>
    </row>
    <row r="421" spans="1:2">
      <c r="A421" t="str">
        <f t="shared" ca="1" si="12"/>
        <v/>
      </c>
      <c r="B421">
        <f t="shared" ca="1" si="13"/>
        <v>0</v>
      </c>
    </row>
    <row r="422" spans="1:2">
      <c r="A422" t="str">
        <f t="shared" ca="1" si="12"/>
        <v/>
      </c>
      <c r="B422">
        <f t="shared" ca="1" si="13"/>
        <v>0</v>
      </c>
    </row>
    <row r="423" spans="1:2">
      <c r="A423" t="str">
        <f t="shared" ca="1" si="12"/>
        <v/>
      </c>
      <c r="B423">
        <f t="shared" ca="1" si="13"/>
        <v>0</v>
      </c>
    </row>
    <row r="424" spans="1:2">
      <c r="A424" t="str">
        <f t="shared" ca="1" si="12"/>
        <v/>
      </c>
      <c r="B424">
        <f t="shared" ca="1" si="13"/>
        <v>0</v>
      </c>
    </row>
    <row r="425" spans="1:2">
      <c r="A425" t="str">
        <f t="shared" ca="1" si="12"/>
        <v/>
      </c>
      <c r="B425">
        <f t="shared" ca="1" si="13"/>
        <v>0</v>
      </c>
    </row>
    <row r="426" spans="1:2">
      <c r="A426" t="str">
        <f t="shared" ca="1" si="12"/>
        <v/>
      </c>
      <c r="B426">
        <f t="shared" ca="1" si="13"/>
        <v>0</v>
      </c>
    </row>
    <row r="427" spans="1:2">
      <c r="A427" t="str">
        <f t="shared" ca="1" si="12"/>
        <v/>
      </c>
      <c r="B427">
        <f t="shared" ca="1" si="13"/>
        <v>0</v>
      </c>
    </row>
    <row r="428" spans="1:2">
      <c r="A428" t="str">
        <f t="shared" ca="1" si="12"/>
        <v/>
      </c>
      <c r="B428">
        <f t="shared" ca="1" si="13"/>
        <v>0</v>
      </c>
    </row>
    <row r="429" spans="1:2">
      <c r="A429" t="str">
        <f t="shared" ca="1" si="12"/>
        <v/>
      </c>
      <c r="B429">
        <f t="shared" ca="1" si="13"/>
        <v>0</v>
      </c>
    </row>
    <row r="430" spans="1:2">
      <c r="A430" t="str">
        <f t="shared" ca="1" si="12"/>
        <v/>
      </c>
      <c r="B430">
        <f t="shared" ca="1" si="13"/>
        <v>0</v>
      </c>
    </row>
    <row r="431" spans="1:2">
      <c r="A431" t="str">
        <f t="shared" ca="1" si="12"/>
        <v/>
      </c>
      <c r="B431">
        <f t="shared" ca="1" si="13"/>
        <v>0</v>
      </c>
    </row>
    <row r="432" spans="1:2">
      <c r="A432" t="str">
        <f t="shared" ca="1" si="12"/>
        <v/>
      </c>
      <c r="B432">
        <f t="shared" ca="1" si="13"/>
        <v>0</v>
      </c>
    </row>
    <row r="433" spans="1:2">
      <c r="A433" t="str">
        <f t="shared" ca="1" si="12"/>
        <v/>
      </c>
      <c r="B433">
        <f t="shared" ca="1" si="13"/>
        <v>0</v>
      </c>
    </row>
    <row r="434" spans="1:2">
      <c r="A434" t="str">
        <f t="shared" ca="1" si="12"/>
        <v/>
      </c>
      <c r="B434">
        <f t="shared" ca="1" si="13"/>
        <v>0</v>
      </c>
    </row>
    <row r="435" spans="1:2">
      <c r="A435" t="str">
        <f t="shared" ca="1" si="12"/>
        <v/>
      </c>
      <c r="B435">
        <f t="shared" ca="1" si="13"/>
        <v>0</v>
      </c>
    </row>
    <row r="436" spans="1:2">
      <c r="A436" t="str">
        <f t="shared" ca="1" si="12"/>
        <v/>
      </c>
      <c r="B436">
        <f t="shared" ca="1" si="13"/>
        <v>0</v>
      </c>
    </row>
    <row r="437" spans="1:2">
      <c r="A437" t="str">
        <f t="shared" ca="1" si="12"/>
        <v/>
      </c>
      <c r="B437">
        <f t="shared" ca="1" si="13"/>
        <v>0</v>
      </c>
    </row>
    <row r="438" spans="1:2">
      <c r="A438" t="str">
        <f t="shared" ca="1" si="12"/>
        <v/>
      </c>
      <c r="B438">
        <f t="shared" ca="1" si="13"/>
        <v>0</v>
      </c>
    </row>
    <row r="439" spans="1:2">
      <c r="A439" t="str">
        <f t="shared" ca="1" si="12"/>
        <v/>
      </c>
      <c r="B439">
        <f t="shared" ca="1" si="13"/>
        <v>0</v>
      </c>
    </row>
    <row r="440" spans="1:2">
      <c r="A440" t="str">
        <f t="shared" ca="1" si="12"/>
        <v/>
      </c>
      <c r="B440">
        <f t="shared" ca="1" si="13"/>
        <v>0</v>
      </c>
    </row>
    <row r="441" spans="1:2">
      <c r="A441" t="str">
        <f t="shared" ca="1" si="12"/>
        <v/>
      </c>
      <c r="B441">
        <f t="shared" ca="1" si="13"/>
        <v>0</v>
      </c>
    </row>
    <row r="442" spans="1:2">
      <c r="A442" t="str">
        <f t="shared" ca="1" si="12"/>
        <v/>
      </c>
      <c r="B442">
        <f t="shared" ca="1" si="13"/>
        <v>0</v>
      </c>
    </row>
    <row r="443" spans="1:2">
      <c r="A443" t="str">
        <f t="shared" ca="1" si="12"/>
        <v/>
      </c>
      <c r="B443">
        <f t="shared" ca="1" si="13"/>
        <v>0</v>
      </c>
    </row>
    <row r="444" spans="1:2">
      <c r="A444" t="str">
        <f t="shared" ca="1" si="12"/>
        <v/>
      </c>
      <c r="B444">
        <f t="shared" ca="1" si="13"/>
        <v>0</v>
      </c>
    </row>
    <row r="445" spans="1:2">
      <c r="A445" t="str">
        <f t="shared" ca="1" si="12"/>
        <v/>
      </c>
      <c r="B445">
        <f t="shared" ca="1" si="13"/>
        <v>0</v>
      </c>
    </row>
    <row r="446" spans="1:2">
      <c r="A446" t="str">
        <f t="shared" ca="1" si="12"/>
        <v/>
      </c>
      <c r="B446">
        <f t="shared" ca="1" si="13"/>
        <v>0</v>
      </c>
    </row>
    <row r="447" spans="1:2">
      <c r="A447" t="str">
        <f t="shared" ca="1" si="12"/>
        <v/>
      </c>
      <c r="B447">
        <f t="shared" ca="1" si="13"/>
        <v>0</v>
      </c>
    </row>
    <row r="448" spans="1:2">
      <c r="A448" t="str">
        <f t="shared" ca="1" si="12"/>
        <v/>
      </c>
      <c r="B448">
        <f t="shared" ca="1" si="13"/>
        <v>0</v>
      </c>
    </row>
    <row r="449" spans="1:2">
      <c r="A449" t="str">
        <f t="shared" ca="1" si="12"/>
        <v/>
      </c>
      <c r="B449">
        <f t="shared" ca="1" si="13"/>
        <v>0</v>
      </c>
    </row>
    <row r="450" spans="1:2">
      <c r="A450" t="str">
        <f t="shared" ref="A450:A513" ca="1" si="14">CONCATENATE(INDIRECT(ADDRESS(ROW(),3)))</f>
        <v/>
      </c>
      <c r="B450">
        <f t="shared" ref="B450:B513" ca="1" si="15">IF(IF(INDIRECT(ADDRESS(ROW(),1))&lt;&gt;"",IF(ISNA(MATCH(LEFT(INDIRECT(ADDRESS(ROW(),1)),2),PCNG_MN,0))=TRUE,1,0),0)+IF(INDIRECT(ADDRESS(ROW(),1))&lt;&gt;"",IF(ISNA(MATCH(LEFT(INDIRECT(ADDRESS(ROW(),1)),3),PCNG_MN,0))=TRUE,1,0),0)+IF(INDIRECT(ADDRESS(ROW(),1))&lt;&gt;"",IF(ISNA(MATCH(LEFT(INDIRECT(ADDRESS(ROW(),1)),4),PCNG_MN,0))=TRUE,1,0),0)&gt;=3,1,0)</f>
        <v>0</v>
      </c>
    </row>
    <row r="451" spans="1:2">
      <c r="A451" t="str">
        <f t="shared" ca="1" si="14"/>
        <v/>
      </c>
      <c r="B451">
        <f t="shared" ca="1" si="15"/>
        <v>0</v>
      </c>
    </row>
    <row r="452" spans="1:2">
      <c r="A452" t="str">
        <f t="shared" ca="1" si="14"/>
        <v/>
      </c>
      <c r="B452">
        <f t="shared" ca="1" si="15"/>
        <v>0</v>
      </c>
    </row>
    <row r="453" spans="1:2">
      <c r="A453" t="str">
        <f t="shared" ca="1" si="14"/>
        <v/>
      </c>
      <c r="B453">
        <f t="shared" ca="1" si="15"/>
        <v>0</v>
      </c>
    </row>
    <row r="454" spans="1:2">
      <c r="A454" t="str">
        <f t="shared" ca="1" si="14"/>
        <v/>
      </c>
      <c r="B454">
        <f t="shared" ca="1" si="15"/>
        <v>0</v>
      </c>
    </row>
    <row r="455" spans="1:2">
      <c r="A455" t="str">
        <f t="shared" ca="1" si="14"/>
        <v/>
      </c>
      <c r="B455">
        <f t="shared" ca="1" si="15"/>
        <v>0</v>
      </c>
    </row>
    <row r="456" spans="1:2">
      <c r="A456" t="str">
        <f t="shared" ca="1" si="14"/>
        <v/>
      </c>
      <c r="B456">
        <f t="shared" ca="1" si="15"/>
        <v>0</v>
      </c>
    </row>
    <row r="457" spans="1:2">
      <c r="A457" t="str">
        <f t="shared" ca="1" si="14"/>
        <v/>
      </c>
      <c r="B457">
        <f t="shared" ca="1" si="15"/>
        <v>0</v>
      </c>
    </row>
    <row r="458" spans="1:2">
      <c r="A458" t="str">
        <f t="shared" ca="1" si="14"/>
        <v/>
      </c>
      <c r="B458">
        <f t="shared" ca="1" si="15"/>
        <v>0</v>
      </c>
    </row>
    <row r="459" spans="1:2">
      <c r="A459" t="str">
        <f t="shared" ca="1" si="14"/>
        <v/>
      </c>
      <c r="B459">
        <f t="shared" ca="1" si="15"/>
        <v>0</v>
      </c>
    </row>
    <row r="460" spans="1:2">
      <c r="A460" t="str">
        <f t="shared" ca="1" si="14"/>
        <v/>
      </c>
      <c r="B460">
        <f t="shared" ca="1" si="15"/>
        <v>0</v>
      </c>
    </row>
    <row r="461" spans="1:2">
      <c r="A461" t="str">
        <f t="shared" ca="1" si="14"/>
        <v/>
      </c>
      <c r="B461">
        <f t="shared" ca="1" si="15"/>
        <v>0</v>
      </c>
    </row>
    <row r="462" spans="1:2">
      <c r="A462" t="str">
        <f t="shared" ca="1" si="14"/>
        <v/>
      </c>
      <c r="B462">
        <f t="shared" ca="1" si="15"/>
        <v>0</v>
      </c>
    </row>
    <row r="463" spans="1:2">
      <c r="A463" t="str">
        <f t="shared" ca="1" si="14"/>
        <v/>
      </c>
      <c r="B463">
        <f t="shared" ca="1" si="15"/>
        <v>0</v>
      </c>
    </row>
    <row r="464" spans="1:2">
      <c r="A464" t="str">
        <f t="shared" ca="1" si="14"/>
        <v/>
      </c>
      <c r="B464">
        <f t="shared" ca="1" si="15"/>
        <v>0</v>
      </c>
    </row>
    <row r="465" spans="1:2">
      <c r="A465" t="str">
        <f t="shared" ca="1" si="14"/>
        <v/>
      </c>
      <c r="B465">
        <f t="shared" ca="1" si="15"/>
        <v>0</v>
      </c>
    </row>
    <row r="466" spans="1:2">
      <c r="A466" t="str">
        <f t="shared" ca="1" si="14"/>
        <v/>
      </c>
      <c r="B466">
        <f t="shared" ca="1" si="15"/>
        <v>0</v>
      </c>
    </row>
    <row r="467" spans="1:2">
      <c r="A467" t="str">
        <f t="shared" ca="1" si="14"/>
        <v/>
      </c>
      <c r="B467">
        <f t="shared" ca="1" si="15"/>
        <v>0</v>
      </c>
    </row>
    <row r="468" spans="1:2">
      <c r="A468" t="str">
        <f t="shared" ca="1" si="14"/>
        <v/>
      </c>
      <c r="B468">
        <f t="shared" ca="1" si="15"/>
        <v>0</v>
      </c>
    </row>
    <row r="469" spans="1:2">
      <c r="A469" t="str">
        <f t="shared" ca="1" si="14"/>
        <v/>
      </c>
      <c r="B469">
        <f t="shared" ca="1" si="15"/>
        <v>0</v>
      </c>
    </row>
    <row r="470" spans="1:2">
      <c r="A470" t="str">
        <f t="shared" ca="1" si="14"/>
        <v/>
      </c>
      <c r="B470">
        <f t="shared" ca="1" si="15"/>
        <v>0</v>
      </c>
    </row>
    <row r="471" spans="1:2">
      <c r="A471" t="str">
        <f t="shared" ca="1" si="14"/>
        <v/>
      </c>
      <c r="B471">
        <f t="shared" ca="1" si="15"/>
        <v>0</v>
      </c>
    </row>
    <row r="472" spans="1:2">
      <c r="A472" t="str">
        <f t="shared" ca="1" si="14"/>
        <v/>
      </c>
      <c r="B472">
        <f t="shared" ca="1" si="15"/>
        <v>0</v>
      </c>
    </row>
    <row r="473" spans="1:2">
      <c r="A473" t="str">
        <f t="shared" ca="1" si="14"/>
        <v/>
      </c>
      <c r="B473">
        <f t="shared" ca="1" si="15"/>
        <v>0</v>
      </c>
    </row>
    <row r="474" spans="1:2">
      <c r="A474" t="str">
        <f t="shared" ca="1" si="14"/>
        <v/>
      </c>
      <c r="B474">
        <f t="shared" ca="1" si="15"/>
        <v>0</v>
      </c>
    </row>
    <row r="475" spans="1:2">
      <c r="A475" t="str">
        <f t="shared" ca="1" si="14"/>
        <v/>
      </c>
      <c r="B475">
        <f t="shared" ca="1" si="15"/>
        <v>0</v>
      </c>
    </row>
    <row r="476" spans="1:2">
      <c r="A476" t="str">
        <f t="shared" ca="1" si="14"/>
        <v/>
      </c>
      <c r="B476">
        <f t="shared" ca="1" si="15"/>
        <v>0</v>
      </c>
    </row>
    <row r="477" spans="1:2">
      <c r="A477" t="str">
        <f t="shared" ca="1" si="14"/>
        <v/>
      </c>
      <c r="B477">
        <f t="shared" ca="1" si="15"/>
        <v>0</v>
      </c>
    </row>
    <row r="478" spans="1:2">
      <c r="A478" t="str">
        <f t="shared" ca="1" si="14"/>
        <v/>
      </c>
      <c r="B478">
        <f t="shared" ca="1" si="15"/>
        <v>0</v>
      </c>
    </row>
    <row r="479" spans="1:2">
      <c r="A479" t="str">
        <f t="shared" ca="1" si="14"/>
        <v/>
      </c>
      <c r="B479">
        <f t="shared" ca="1" si="15"/>
        <v>0</v>
      </c>
    </row>
    <row r="480" spans="1:2">
      <c r="A480" t="str">
        <f t="shared" ca="1" si="14"/>
        <v/>
      </c>
      <c r="B480">
        <f t="shared" ca="1" si="15"/>
        <v>0</v>
      </c>
    </row>
    <row r="481" spans="1:2">
      <c r="A481" t="str">
        <f t="shared" ca="1" si="14"/>
        <v/>
      </c>
      <c r="B481">
        <f t="shared" ca="1" si="15"/>
        <v>0</v>
      </c>
    </row>
    <row r="482" spans="1:2">
      <c r="A482" t="str">
        <f t="shared" ca="1" si="14"/>
        <v/>
      </c>
      <c r="B482">
        <f t="shared" ca="1" si="15"/>
        <v>0</v>
      </c>
    </row>
    <row r="483" spans="1:2">
      <c r="A483" t="str">
        <f t="shared" ca="1" si="14"/>
        <v/>
      </c>
      <c r="B483">
        <f t="shared" ca="1" si="15"/>
        <v>0</v>
      </c>
    </row>
    <row r="484" spans="1:2">
      <c r="A484" t="str">
        <f t="shared" ca="1" si="14"/>
        <v/>
      </c>
      <c r="B484">
        <f t="shared" ca="1" si="15"/>
        <v>0</v>
      </c>
    </row>
    <row r="485" spans="1:2">
      <c r="A485" t="str">
        <f t="shared" ca="1" si="14"/>
        <v/>
      </c>
      <c r="B485">
        <f t="shared" ca="1" si="15"/>
        <v>0</v>
      </c>
    </row>
    <row r="486" spans="1:2">
      <c r="A486" t="str">
        <f t="shared" ca="1" si="14"/>
        <v/>
      </c>
      <c r="B486">
        <f t="shared" ca="1" si="15"/>
        <v>0</v>
      </c>
    </row>
    <row r="487" spans="1:2">
      <c r="A487" t="str">
        <f t="shared" ca="1" si="14"/>
        <v/>
      </c>
      <c r="B487">
        <f t="shared" ca="1" si="15"/>
        <v>0</v>
      </c>
    </row>
    <row r="488" spans="1:2">
      <c r="A488" t="str">
        <f t="shared" ca="1" si="14"/>
        <v/>
      </c>
      <c r="B488">
        <f t="shared" ca="1" si="15"/>
        <v>0</v>
      </c>
    </row>
    <row r="489" spans="1:2">
      <c r="A489" t="str">
        <f t="shared" ca="1" si="14"/>
        <v/>
      </c>
      <c r="B489">
        <f t="shared" ca="1" si="15"/>
        <v>0</v>
      </c>
    </row>
    <row r="490" spans="1:2">
      <c r="A490" t="str">
        <f t="shared" ca="1" si="14"/>
        <v/>
      </c>
      <c r="B490">
        <f t="shared" ca="1" si="15"/>
        <v>0</v>
      </c>
    </row>
    <row r="491" spans="1:2">
      <c r="A491" t="str">
        <f t="shared" ca="1" si="14"/>
        <v/>
      </c>
      <c r="B491">
        <f t="shared" ca="1" si="15"/>
        <v>0</v>
      </c>
    </row>
    <row r="492" spans="1:2">
      <c r="A492" t="str">
        <f t="shared" ca="1" si="14"/>
        <v/>
      </c>
      <c r="B492">
        <f t="shared" ca="1" si="15"/>
        <v>0</v>
      </c>
    </row>
    <row r="493" spans="1:2">
      <c r="A493" t="str">
        <f t="shared" ca="1" si="14"/>
        <v/>
      </c>
      <c r="B493">
        <f t="shared" ca="1" si="15"/>
        <v>0</v>
      </c>
    </row>
    <row r="494" spans="1:2">
      <c r="A494" t="str">
        <f t="shared" ca="1" si="14"/>
        <v/>
      </c>
      <c r="B494">
        <f t="shared" ca="1" si="15"/>
        <v>0</v>
      </c>
    </row>
    <row r="495" spans="1:2">
      <c r="A495" t="str">
        <f t="shared" ca="1" si="14"/>
        <v/>
      </c>
      <c r="B495">
        <f t="shared" ca="1" si="15"/>
        <v>0</v>
      </c>
    </row>
    <row r="496" spans="1:2">
      <c r="A496" t="str">
        <f t="shared" ca="1" si="14"/>
        <v/>
      </c>
      <c r="B496">
        <f t="shared" ca="1" si="15"/>
        <v>0</v>
      </c>
    </row>
    <row r="497" spans="1:2">
      <c r="A497" t="str">
        <f t="shared" ca="1" si="14"/>
        <v/>
      </c>
      <c r="B497">
        <f t="shared" ca="1" si="15"/>
        <v>0</v>
      </c>
    </row>
    <row r="498" spans="1:2">
      <c r="A498" t="str">
        <f t="shared" ca="1" si="14"/>
        <v/>
      </c>
      <c r="B498">
        <f t="shared" ca="1" si="15"/>
        <v>0</v>
      </c>
    </row>
    <row r="499" spans="1:2">
      <c r="A499" t="str">
        <f t="shared" ca="1" si="14"/>
        <v/>
      </c>
      <c r="B499">
        <f t="shared" ca="1" si="15"/>
        <v>0</v>
      </c>
    </row>
    <row r="500" spans="1:2">
      <c r="A500" t="str">
        <f t="shared" ca="1" si="14"/>
        <v/>
      </c>
      <c r="B500">
        <f t="shared" ca="1" si="15"/>
        <v>0</v>
      </c>
    </row>
    <row r="501" spans="1:2">
      <c r="A501" t="str">
        <f t="shared" ca="1" si="14"/>
        <v/>
      </c>
      <c r="B501">
        <f t="shared" ca="1" si="15"/>
        <v>0</v>
      </c>
    </row>
    <row r="502" spans="1:2">
      <c r="A502" t="str">
        <f t="shared" ca="1" si="14"/>
        <v/>
      </c>
      <c r="B502">
        <f t="shared" ca="1" si="15"/>
        <v>0</v>
      </c>
    </row>
    <row r="503" spans="1:2">
      <c r="A503" t="str">
        <f t="shared" ca="1" si="14"/>
        <v/>
      </c>
      <c r="B503">
        <f t="shared" ca="1" si="15"/>
        <v>0</v>
      </c>
    </row>
    <row r="504" spans="1:2">
      <c r="A504" t="str">
        <f t="shared" ca="1" si="14"/>
        <v/>
      </c>
      <c r="B504">
        <f t="shared" ca="1" si="15"/>
        <v>0</v>
      </c>
    </row>
    <row r="505" spans="1:2">
      <c r="A505" t="str">
        <f t="shared" ca="1" si="14"/>
        <v/>
      </c>
      <c r="B505">
        <f t="shared" ca="1" si="15"/>
        <v>0</v>
      </c>
    </row>
    <row r="506" spans="1:2">
      <c r="A506" t="str">
        <f t="shared" ca="1" si="14"/>
        <v/>
      </c>
      <c r="B506">
        <f t="shared" ca="1" si="15"/>
        <v>0</v>
      </c>
    </row>
    <row r="507" spans="1:2">
      <c r="A507" t="str">
        <f t="shared" ca="1" si="14"/>
        <v/>
      </c>
      <c r="B507">
        <f t="shared" ca="1" si="15"/>
        <v>0</v>
      </c>
    </row>
    <row r="508" spans="1:2">
      <c r="A508" t="str">
        <f t="shared" ca="1" si="14"/>
        <v/>
      </c>
      <c r="B508">
        <f t="shared" ca="1" si="15"/>
        <v>0</v>
      </c>
    </row>
    <row r="509" spans="1:2">
      <c r="A509" t="str">
        <f t="shared" ca="1" si="14"/>
        <v/>
      </c>
      <c r="B509">
        <f t="shared" ca="1" si="15"/>
        <v>0</v>
      </c>
    </row>
    <row r="510" spans="1:2">
      <c r="A510" t="str">
        <f t="shared" ca="1" si="14"/>
        <v/>
      </c>
      <c r="B510">
        <f t="shared" ca="1" si="15"/>
        <v>0</v>
      </c>
    </row>
    <row r="511" spans="1:2">
      <c r="A511" t="str">
        <f t="shared" ca="1" si="14"/>
        <v/>
      </c>
      <c r="B511">
        <f t="shared" ca="1" si="15"/>
        <v>0</v>
      </c>
    </row>
    <row r="512" spans="1:2">
      <c r="A512" t="str">
        <f t="shared" ca="1" si="14"/>
        <v/>
      </c>
      <c r="B512">
        <f t="shared" ca="1" si="15"/>
        <v>0</v>
      </c>
    </row>
    <row r="513" spans="1:2">
      <c r="A513" t="str">
        <f t="shared" ca="1" si="14"/>
        <v/>
      </c>
      <c r="B513">
        <f t="shared" ca="1" si="15"/>
        <v>0</v>
      </c>
    </row>
    <row r="514" spans="1:2">
      <c r="A514" t="str">
        <f t="shared" ref="A514:A577" ca="1" si="16">CONCATENATE(INDIRECT(ADDRESS(ROW(),3)))</f>
        <v/>
      </c>
      <c r="B514">
        <f t="shared" ref="B514:B577" ca="1" si="17">IF(IF(INDIRECT(ADDRESS(ROW(),1))&lt;&gt;"",IF(ISNA(MATCH(LEFT(INDIRECT(ADDRESS(ROW(),1)),2),PCNG_MN,0))=TRUE,1,0),0)+IF(INDIRECT(ADDRESS(ROW(),1))&lt;&gt;"",IF(ISNA(MATCH(LEFT(INDIRECT(ADDRESS(ROW(),1)),3),PCNG_MN,0))=TRUE,1,0),0)+IF(INDIRECT(ADDRESS(ROW(),1))&lt;&gt;"",IF(ISNA(MATCH(LEFT(INDIRECT(ADDRESS(ROW(),1)),4),PCNG_MN,0))=TRUE,1,0),0)&gt;=3,1,0)</f>
        <v>0</v>
      </c>
    </row>
    <row r="515" spans="1:2">
      <c r="A515" t="str">
        <f t="shared" ca="1" si="16"/>
        <v/>
      </c>
      <c r="B515">
        <f t="shared" ca="1" si="17"/>
        <v>0</v>
      </c>
    </row>
    <row r="516" spans="1:2">
      <c r="A516" t="str">
        <f t="shared" ca="1" si="16"/>
        <v/>
      </c>
      <c r="B516">
        <f t="shared" ca="1" si="17"/>
        <v>0</v>
      </c>
    </row>
    <row r="517" spans="1:2">
      <c r="A517" t="str">
        <f t="shared" ca="1" si="16"/>
        <v/>
      </c>
      <c r="B517">
        <f t="shared" ca="1" si="17"/>
        <v>0</v>
      </c>
    </row>
    <row r="518" spans="1:2">
      <c r="A518" t="str">
        <f t="shared" ca="1" si="16"/>
        <v/>
      </c>
      <c r="B518">
        <f t="shared" ca="1" si="17"/>
        <v>0</v>
      </c>
    </row>
    <row r="519" spans="1:2">
      <c r="A519" t="str">
        <f t="shared" ca="1" si="16"/>
        <v/>
      </c>
      <c r="B519">
        <f t="shared" ca="1" si="17"/>
        <v>0</v>
      </c>
    </row>
    <row r="520" spans="1:2">
      <c r="A520" t="str">
        <f t="shared" ca="1" si="16"/>
        <v/>
      </c>
      <c r="B520">
        <f t="shared" ca="1" si="17"/>
        <v>0</v>
      </c>
    </row>
    <row r="521" spans="1:2">
      <c r="A521" t="str">
        <f t="shared" ca="1" si="16"/>
        <v/>
      </c>
      <c r="B521">
        <f t="shared" ca="1" si="17"/>
        <v>0</v>
      </c>
    </row>
    <row r="522" spans="1:2">
      <c r="A522" t="str">
        <f t="shared" ca="1" si="16"/>
        <v/>
      </c>
      <c r="B522">
        <f t="shared" ca="1" si="17"/>
        <v>0</v>
      </c>
    </row>
    <row r="523" spans="1:2">
      <c r="A523" t="str">
        <f t="shared" ca="1" si="16"/>
        <v/>
      </c>
      <c r="B523">
        <f t="shared" ca="1" si="17"/>
        <v>0</v>
      </c>
    </row>
    <row r="524" spans="1:2">
      <c r="A524" t="str">
        <f t="shared" ca="1" si="16"/>
        <v/>
      </c>
      <c r="B524">
        <f t="shared" ca="1" si="17"/>
        <v>0</v>
      </c>
    </row>
    <row r="525" spans="1:2">
      <c r="A525" t="str">
        <f t="shared" ca="1" si="16"/>
        <v/>
      </c>
      <c r="B525">
        <f t="shared" ca="1" si="17"/>
        <v>0</v>
      </c>
    </row>
    <row r="526" spans="1:2">
      <c r="A526" t="str">
        <f t="shared" ca="1" si="16"/>
        <v/>
      </c>
      <c r="B526">
        <f t="shared" ca="1" si="17"/>
        <v>0</v>
      </c>
    </row>
    <row r="527" spans="1:2">
      <c r="A527" t="str">
        <f t="shared" ca="1" si="16"/>
        <v/>
      </c>
      <c r="B527">
        <f t="shared" ca="1" si="17"/>
        <v>0</v>
      </c>
    </row>
    <row r="528" spans="1:2">
      <c r="A528" t="str">
        <f t="shared" ca="1" si="16"/>
        <v/>
      </c>
      <c r="B528">
        <f t="shared" ca="1" si="17"/>
        <v>0</v>
      </c>
    </row>
    <row r="529" spans="1:2">
      <c r="A529" t="str">
        <f t="shared" ca="1" si="16"/>
        <v/>
      </c>
      <c r="B529">
        <f t="shared" ca="1" si="17"/>
        <v>0</v>
      </c>
    </row>
    <row r="530" spans="1:2">
      <c r="A530" t="str">
        <f t="shared" ca="1" si="16"/>
        <v/>
      </c>
      <c r="B530">
        <f t="shared" ca="1" si="17"/>
        <v>0</v>
      </c>
    </row>
    <row r="531" spans="1:2">
      <c r="A531" t="str">
        <f t="shared" ca="1" si="16"/>
        <v/>
      </c>
      <c r="B531">
        <f t="shared" ca="1" si="17"/>
        <v>0</v>
      </c>
    </row>
    <row r="532" spans="1:2">
      <c r="A532" t="str">
        <f t="shared" ca="1" si="16"/>
        <v/>
      </c>
      <c r="B532">
        <f t="shared" ca="1" si="17"/>
        <v>0</v>
      </c>
    </row>
    <row r="533" spans="1:2">
      <c r="A533" t="str">
        <f t="shared" ca="1" si="16"/>
        <v/>
      </c>
      <c r="B533">
        <f t="shared" ca="1" si="17"/>
        <v>0</v>
      </c>
    </row>
    <row r="534" spans="1:2">
      <c r="A534" t="str">
        <f t="shared" ca="1" si="16"/>
        <v/>
      </c>
      <c r="B534">
        <f t="shared" ca="1" si="17"/>
        <v>0</v>
      </c>
    </row>
    <row r="535" spans="1:2">
      <c r="A535" t="str">
        <f t="shared" ca="1" si="16"/>
        <v/>
      </c>
      <c r="B535">
        <f t="shared" ca="1" si="17"/>
        <v>0</v>
      </c>
    </row>
    <row r="536" spans="1:2">
      <c r="A536" t="str">
        <f t="shared" ca="1" si="16"/>
        <v/>
      </c>
      <c r="B536">
        <f t="shared" ca="1" si="17"/>
        <v>0</v>
      </c>
    </row>
    <row r="537" spans="1:2">
      <c r="A537" t="str">
        <f t="shared" ca="1" si="16"/>
        <v/>
      </c>
      <c r="B537">
        <f t="shared" ca="1" si="17"/>
        <v>0</v>
      </c>
    </row>
    <row r="538" spans="1:2">
      <c r="A538" t="str">
        <f t="shared" ca="1" si="16"/>
        <v/>
      </c>
      <c r="B538">
        <f t="shared" ca="1" si="17"/>
        <v>0</v>
      </c>
    </row>
    <row r="539" spans="1:2">
      <c r="A539" t="str">
        <f t="shared" ca="1" si="16"/>
        <v/>
      </c>
      <c r="B539">
        <f t="shared" ca="1" si="17"/>
        <v>0</v>
      </c>
    </row>
    <row r="540" spans="1:2">
      <c r="A540" t="str">
        <f t="shared" ca="1" si="16"/>
        <v/>
      </c>
      <c r="B540">
        <f t="shared" ca="1" si="17"/>
        <v>0</v>
      </c>
    </row>
    <row r="541" spans="1:2">
      <c r="A541" t="str">
        <f t="shared" ca="1" si="16"/>
        <v/>
      </c>
      <c r="B541">
        <f t="shared" ca="1" si="17"/>
        <v>0</v>
      </c>
    </row>
    <row r="542" spans="1:2">
      <c r="A542" t="str">
        <f t="shared" ca="1" si="16"/>
        <v/>
      </c>
      <c r="B542">
        <f t="shared" ca="1" si="17"/>
        <v>0</v>
      </c>
    </row>
    <row r="543" spans="1:2">
      <c r="A543" t="str">
        <f t="shared" ca="1" si="16"/>
        <v/>
      </c>
      <c r="B543">
        <f t="shared" ca="1" si="17"/>
        <v>0</v>
      </c>
    </row>
    <row r="544" spans="1:2">
      <c r="A544" t="str">
        <f t="shared" ca="1" si="16"/>
        <v/>
      </c>
      <c r="B544">
        <f t="shared" ca="1" si="17"/>
        <v>0</v>
      </c>
    </row>
    <row r="545" spans="1:2">
      <c r="A545" t="str">
        <f t="shared" ca="1" si="16"/>
        <v/>
      </c>
      <c r="B545">
        <f t="shared" ca="1" si="17"/>
        <v>0</v>
      </c>
    </row>
    <row r="546" spans="1:2">
      <c r="A546" t="str">
        <f t="shared" ca="1" si="16"/>
        <v/>
      </c>
      <c r="B546">
        <f t="shared" ca="1" si="17"/>
        <v>0</v>
      </c>
    </row>
    <row r="547" spans="1:2">
      <c r="A547" t="str">
        <f t="shared" ca="1" si="16"/>
        <v/>
      </c>
      <c r="B547">
        <f t="shared" ca="1" si="17"/>
        <v>0</v>
      </c>
    </row>
    <row r="548" spans="1:2">
      <c r="A548" t="str">
        <f t="shared" ca="1" si="16"/>
        <v/>
      </c>
      <c r="B548">
        <f t="shared" ca="1" si="17"/>
        <v>0</v>
      </c>
    </row>
    <row r="549" spans="1:2">
      <c r="A549" t="str">
        <f t="shared" ca="1" si="16"/>
        <v/>
      </c>
      <c r="B549">
        <f t="shared" ca="1" si="17"/>
        <v>0</v>
      </c>
    </row>
    <row r="550" spans="1:2">
      <c r="A550" t="str">
        <f t="shared" ca="1" si="16"/>
        <v/>
      </c>
      <c r="B550">
        <f t="shared" ca="1" si="17"/>
        <v>0</v>
      </c>
    </row>
    <row r="551" spans="1:2">
      <c r="A551" t="str">
        <f t="shared" ca="1" si="16"/>
        <v/>
      </c>
      <c r="B551">
        <f t="shared" ca="1" si="17"/>
        <v>0</v>
      </c>
    </row>
    <row r="552" spans="1:2">
      <c r="A552" t="str">
        <f t="shared" ca="1" si="16"/>
        <v/>
      </c>
      <c r="B552">
        <f t="shared" ca="1" si="17"/>
        <v>0</v>
      </c>
    </row>
    <row r="553" spans="1:2">
      <c r="A553" t="str">
        <f t="shared" ca="1" si="16"/>
        <v/>
      </c>
      <c r="B553">
        <f t="shared" ca="1" si="17"/>
        <v>0</v>
      </c>
    </row>
    <row r="554" spans="1:2">
      <c r="A554" t="str">
        <f t="shared" ca="1" si="16"/>
        <v/>
      </c>
      <c r="B554">
        <f t="shared" ca="1" si="17"/>
        <v>0</v>
      </c>
    </row>
    <row r="555" spans="1:2">
      <c r="A555" t="str">
        <f t="shared" ca="1" si="16"/>
        <v/>
      </c>
      <c r="B555">
        <f t="shared" ca="1" si="17"/>
        <v>0</v>
      </c>
    </row>
    <row r="556" spans="1:2">
      <c r="A556" t="str">
        <f t="shared" ca="1" si="16"/>
        <v/>
      </c>
      <c r="B556">
        <f t="shared" ca="1" si="17"/>
        <v>0</v>
      </c>
    </row>
    <row r="557" spans="1:2">
      <c r="A557" t="str">
        <f t="shared" ca="1" si="16"/>
        <v/>
      </c>
      <c r="B557">
        <f t="shared" ca="1" si="17"/>
        <v>0</v>
      </c>
    </row>
    <row r="558" spans="1:2">
      <c r="A558" t="str">
        <f t="shared" ca="1" si="16"/>
        <v/>
      </c>
      <c r="B558">
        <f t="shared" ca="1" si="17"/>
        <v>0</v>
      </c>
    </row>
    <row r="559" spans="1:2">
      <c r="A559" t="str">
        <f t="shared" ca="1" si="16"/>
        <v/>
      </c>
      <c r="B559">
        <f t="shared" ca="1" si="17"/>
        <v>0</v>
      </c>
    </row>
    <row r="560" spans="1:2">
      <c r="A560" t="str">
        <f t="shared" ca="1" si="16"/>
        <v/>
      </c>
      <c r="B560">
        <f t="shared" ca="1" si="17"/>
        <v>0</v>
      </c>
    </row>
    <row r="561" spans="1:2">
      <c r="A561" t="str">
        <f t="shared" ca="1" si="16"/>
        <v/>
      </c>
      <c r="B561">
        <f t="shared" ca="1" si="17"/>
        <v>0</v>
      </c>
    </row>
    <row r="562" spans="1:2">
      <c r="A562" t="str">
        <f t="shared" ca="1" si="16"/>
        <v/>
      </c>
      <c r="B562">
        <f t="shared" ca="1" si="17"/>
        <v>0</v>
      </c>
    </row>
    <row r="563" spans="1:2">
      <c r="A563" t="str">
        <f t="shared" ca="1" si="16"/>
        <v/>
      </c>
      <c r="B563">
        <f t="shared" ca="1" si="17"/>
        <v>0</v>
      </c>
    </row>
    <row r="564" spans="1:2">
      <c r="A564" t="str">
        <f t="shared" ca="1" si="16"/>
        <v/>
      </c>
      <c r="B564">
        <f t="shared" ca="1" si="17"/>
        <v>0</v>
      </c>
    </row>
    <row r="565" spans="1:2">
      <c r="A565" t="str">
        <f t="shared" ca="1" si="16"/>
        <v/>
      </c>
      <c r="B565">
        <f t="shared" ca="1" si="17"/>
        <v>0</v>
      </c>
    </row>
    <row r="566" spans="1:2">
      <c r="A566" t="str">
        <f t="shared" ca="1" si="16"/>
        <v/>
      </c>
      <c r="B566">
        <f t="shared" ca="1" si="17"/>
        <v>0</v>
      </c>
    </row>
    <row r="567" spans="1:2">
      <c r="A567" t="str">
        <f t="shared" ca="1" si="16"/>
        <v/>
      </c>
      <c r="B567">
        <f t="shared" ca="1" si="17"/>
        <v>0</v>
      </c>
    </row>
    <row r="568" spans="1:2">
      <c r="A568" t="str">
        <f t="shared" ca="1" si="16"/>
        <v/>
      </c>
      <c r="B568">
        <f t="shared" ca="1" si="17"/>
        <v>0</v>
      </c>
    </row>
    <row r="569" spans="1:2">
      <c r="A569" t="str">
        <f t="shared" ca="1" si="16"/>
        <v/>
      </c>
      <c r="B569">
        <f t="shared" ca="1" si="17"/>
        <v>0</v>
      </c>
    </row>
    <row r="570" spans="1:2">
      <c r="A570" t="str">
        <f t="shared" ca="1" si="16"/>
        <v/>
      </c>
      <c r="B570">
        <f t="shared" ca="1" si="17"/>
        <v>0</v>
      </c>
    </row>
    <row r="571" spans="1:2">
      <c r="A571" t="str">
        <f t="shared" ca="1" si="16"/>
        <v/>
      </c>
      <c r="B571">
        <f t="shared" ca="1" si="17"/>
        <v>0</v>
      </c>
    </row>
    <row r="572" spans="1:2">
      <c r="A572" t="str">
        <f t="shared" ca="1" si="16"/>
        <v/>
      </c>
      <c r="B572">
        <f t="shared" ca="1" si="17"/>
        <v>0</v>
      </c>
    </row>
    <row r="573" spans="1:2">
      <c r="A573" t="str">
        <f t="shared" ca="1" si="16"/>
        <v/>
      </c>
      <c r="B573">
        <f t="shared" ca="1" si="17"/>
        <v>0</v>
      </c>
    </row>
    <row r="574" spans="1:2">
      <c r="A574" t="str">
        <f t="shared" ca="1" si="16"/>
        <v/>
      </c>
      <c r="B574">
        <f t="shared" ca="1" si="17"/>
        <v>0</v>
      </c>
    </row>
    <row r="575" spans="1:2">
      <c r="A575" t="str">
        <f t="shared" ca="1" si="16"/>
        <v/>
      </c>
      <c r="B575">
        <f t="shared" ca="1" si="17"/>
        <v>0</v>
      </c>
    </row>
    <row r="576" spans="1:2">
      <c r="A576" t="str">
        <f t="shared" ca="1" si="16"/>
        <v/>
      </c>
      <c r="B576">
        <f t="shared" ca="1" si="17"/>
        <v>0</v>
      </c>
    </row>
    <row r="577" spans="1:2">
      <c r="A577" t="str">
        <f t="shared" ca="1" si="16"/>
        <v/>
      </c>
      <c r="B577">
        <f t="shared" ca="1" si="17"/>
        <v>0</v>
      </c>
    </row>
    <row r="578" spans="1:2">
      <c r="A578" t="str">
        <f t="shared" ref="A578:A641" ca="1" si="18">CONCATENATE(INDIRECT(ADDRESS(ROW(),3)))</f>
        <v/>
      </c>
      <c r="B578">
        <f t="shared" ref="B578:B641" ca="1" si="19">IF(IF(INDIRECT(ADDRESS(ROW(),1))&lt;&gt;"",IF(ISNA(MATCH(LEFT(INDIRECT(ADDRESS(ROW(),1)),2),PCNG_MN,0))=TRUE,1,0),0)+IF(INDIRECT(ADDRESS(ROW(),1))&lt;&gt;"",IF(ISNA(MATCH(LEFT(INDIRECT(ADDRESS(ROW(),1)),3),PCNG_MN,0))=TRUE,1,0),0)+IF(INDIRECT(ADDRESS(ROW(),1))&lt;&gt;"",IF(ISNA(MATCH(LEFT(INDIRECT(ADDRESS(ROW(),1)),4),PCNG_MN,0))=TRUE,1,0),0)&gt;=3,1,0)</f>
        <v>0</v>
      </c>
    </row>
    <row r="579" spans="1:2">
      <c r="A579" t="str">
        <f t="shared" ca="1" si="18"/>
        <v/>
      </c>
      <c r="B579">
        <f t="shared" ca="1" si="19"/>
        <v>0</v>
      </c>
    </row>
    <row r="580" spans="1:2">
      <c r="A580" t="str">
        <f t="shared" ca="1" si="18"/>
        <v/>
      </c>
      <c r="B580">
        <f t="shared" ca="1" si="19"/>
        <v>0</v>
      </c>
    </row>
    <row r="581" spans="1:2">
      <c r="A581" t="str">
        <f t="shared" ca="1" si="18"/>
        <v/>
      </c>
      <c r="B581">
        <f t="shared" ca="1" si="19"/>
        <v>0</v>
      </c>
    </row>
    <row r="582" spans="1:2">
      <c r="A582" t="str">
        <f t="shared" ca="1" si="18"/>
        <v/>
      </c>
      <c r="B582">
        <f t="shared" ca="1" si="19"/>
        <v>0</v>
      </c>
    </row>
    <row r="583" spans="1:2">
      <c r="A583" t="str">
        <f t="shared" ca="1" si="18"/>
        <v/>
      </c>
      <c r="B583">
        <f t="shared" ca="1" si="19"/>
        <v>0</v>
      </c>
    </row>
    <row r="584" spans="1:2">
      <c r="A584" t="str">
        <f t="shared" ca="1" si="18"/>
        <v/>
      </c>
      <c r="B584">
        <f t="shared" ca="1" si="19"/>
        <v>0</v>
      </c>
    </row>
    <row r="585" spans="1:2">
      <c r="A585" t="str">
        <f t="shared" ca="1" si="18"/>
        <v/>
      </c>
      <c r="B585">
        <f t="shared" ca="1" si="19"/>
        <v>0</v>
      </c>
    </row>
    <row r="586" spans="1:2">
      <c r="A586" t="str">
        <f t="shared" ca="1" si="18"/>
        <v/>
      </c>
      <c r="B586">
        <f t="shared" ca="1" si="19"/>
        <v>0</v>
      </c>
    </row>
    <row r="587" spans="1:2">
      <c r="A587" t="str">
        <f t="shared" ca="1" si="18"/>
        <v/>
      </c>
      <c r="B587">
        <f t="shared" ca="1" si="19"/>
        <v>0</v>
      </c>
    </row>
    <row r="588" spans="1:2">
      <c r="A588" t="str">
        <f t="shared" ca="1" si="18"/>
        <v/>
      </c>
      <c r="B588">
        <f t="shared" ca="1" si="19"/>
        <v>0</v>
      </c>
    </row>
    <row r="589" spans="1:2">
      <c r="A589" t="str">
        <f t="shared" ca="1" si="18"/>
        <v/>
      </c>
      <c r="B589">
        <f t="shared" ca="1" si="19"/>
        <v>0</v>
      </c>
    </row>
    <row r="590" spans="1:2">
      <c r="A590" t="str">
        <f t="shared" ca="1" si="18"/>
        <v/>
      </c>
      <c r="B590">
        <f t="shared" ca="1" si="19"/>
        <v>0</v>
      </c>
    </row>
    <row r="591" spans="1:2">
      <c r="A591" t="str">
        <f t="shared" ca="1" si="18"/>
        <v/>
      </c>
      <c r="B591">
        <f t="shared" ca="1" si="19"/>
        <v>0</v>
      </c>
    </row>
    <row r="592" spans="1:2">
      <c r="A592" t="str">
        <f t="shared" ca="1" si="18"/>
        <v/>
      </c>
      <c r="B592">
        <f t="shared" ca="1" si="19"/>
        <v>0</v>
      </c>
    </row>
    <row r="593" spans="1:2">
      <c r="A593" t="str">
        <f t="shared" ca="1" si="18"/>
        <v/>
      </c>
      <c r="B593">
        <f t="shared" ca="1" si="19"/>
        <v>0</v>
      </c>
    </row>
    <row r="594" spans="1:2">
      <c r="A594" t="str">
        <f t="shared" ca="1" si="18"/>
        <v/>
      </c>
      <c r="B594">
        <f t="shared" ca="1" si="19"/>
        <v>0</v>
      </c>
    </row>
    <row r="595" spans="1:2">
      <c r="A595" t="str">
        <f t="shared" ca="1" si="18"/>
        <v/>
      </c>
      <c r="B595">
        <f t="shared" ca="1" si="19"/>
        <v>0</v>
      </c>
    </row>
    <row r="596" spans="1:2">
      <c r="A596" t="str">
        <f t="shared" ca="1" si="18"/>
        <v/>
      </c>
      <c r="B596">
        <f t="shared" ca="1" si="19"/>
        <v>0</v>
      </c>
    </row>
    <row r="597" spans="1:2">
      <c r="A597" t="str">
        <f t="shared" ca="1" si="18"/>
        <v/>
      </c>
      <c r="B597">
        <f t="shared" ca="1" si="19"/>
        <v>0</v>
      </c>
    </row>
    <row r="598" spans="1:2">
      <c r="A598" t="str">
        <f t="shared" ca="1" si="18"/>
        <v/>
      </c>
      <c r="B598">
        <f t="shared" ca="1" si="19"/>
        <v>0</v>
      </c>
    </row>
    <row r="599" spans="1:2">
      <c r="A599" t="str">
        <f t="shared" ca="1" si="18"/>
        <v/>
      </c>
      <c r="B599">
        <f t="shared" ca="1" si="19"/>
        <v>0</v>
      </c>
    </row>
    <row r="600" spans="1:2">
      <c r="A600" t="str">
        <f t="shared" ca="1" si="18"/>
        <v/>
      </c>
      <c r="B600">
        <f t="shared" ca="1" si="19"/>
        <v>0</v>
      </c>
    </row>
    <row r="601" spans="1:2">
      <c r="A601" t="str">
        <f t="shared" ca="1" si="18"/>
        <v/>
      </c>
      <c r="B601">
        <f t="shared" ca="1" si="19"/>
        <v>0</v>
      </c>
    </row>
    <row r="602" spans="1:2">
      <c r="A602" t="str">
        <f t="shared" ca="1" si="18"/>
        <v/>
      </c>
      <c r="B602">
        <f t="shared" ca="1" si="19"/>
        <v>0</v>
      </c>
    </row>
    <row r="603" spans="1:2">
      <c r="A603" t="str">
        <f t="shared" ca="1" si="18"/>
        <v/>
      </c>
      <c r="B603">
        <f t="shared" ca="1" si="19"/>
        <v>0</v>
      </c>
    </row>
    <row r="604" spans="1:2">
      <c r="A604" t="str">
        <f t="shared" ca="1" si="18"/>
        <v/>
      </c>
      <c r="B604">
        <f t="shared" ca="1" si="19"/>
        <v>0</v>
      </c>
    </row>
    <row r="605" spans="1:2">
      <c r="A605" t="str">
        <f t="shared" ca="1" si="18"/>
        <v/>
      </c>
      <c r="B605">
        <f t="shared" ca="1" si="19"/>
        <v>0</v>
      </c>
    </row>
    <row r="606" spans="1:2">
      <c r="A606" t="str">
        <f t="shared" ca="1" si="18"/>
        <v/>
      </c>
      <c r="B606">
        <f t="shared" ca="1" si="19"/>
        <v>0</v>
      </c>
    </row>
    <row r="607" spans="1:2">
      <c r="A607" t="str">
        <f t="shared" ca="1" si="18"/>
        <v/>
      </c>
      <c r="B607">
        <f t="shared" ca="1" si="19"/>
        <v>0</v>
      </c>
    </row>
    <row r="608" spans="1:2">
      <c r="A608" t="str">
        <f t="shared" ca="1" si="18"/>
        <v/>
      </c>
      <c r="B608">
        <f t="shared" ca="1" si="19"/>
        <v>0</v>
      </c>
    </row>
    <row r="609" spans="1:2">
      <c r="A609" t="str">
        <f t="shared" ca="1" si="18"/>
        <v/>
      </c>
      <c r="B609">
        <f t="shared" ca="1" si="19"/>
        <v>0</v>
      </c>
    </row>
    <row r="610" spans="1:2">
      <c r="A610" t="str">
        <f t="shared" ca="1" si="18"/>
        <v/>
      </c>
      <c r="B610">
        <f t="shared" ca="1" si="19"/>
        <v>0</v>
      </c>
    </row>
    <row r="611" spans="1:2">
      <c r="A611" t="str">
        <f t="shared" ca="1" si="18"/>
        <v/>
      </c>
      <c r="B611">
        <f t="shared" ca="1" si="19"/>
        <v>0</v>
      </c>
    </row>
    <row r="612" spans="1:2">
      <c r="A612" t="str">
        <f t="shared" ca="1" si="18"/>
        <v/>
      </c>
      <c r="B612">
        <f t="shared" ca="1" si="19"/>
        <v>0</v>
      </c>
    </row>
    <row r="613" spans="1:2">
      <c r="A613" t="str">
        <f t="shared" ca="1" si="18"/>
        <v/>
      </c>
      <c r="B613">
        <f t="shared" ca="1" si="19"/>
        <v>0</v>
      </c>
    </row>
    <row r="614" spans="1:2">
      <c r="A614" t="str">
        <f t="shared" ca="1" si="18"/>
        <v/>
      </c>
      <c r="B614">
        <f t="shared" ca="1" si="19"/>
        <v>0</v>
      </c>
    </row>
    <row r="615" spans="1:2">
      <c r="A615" t="str">
        <f t="shared" ca="1" si="18"/>
        <v/>
      </c>
      <c r="B615">
        <f t="shared" ca="1" si="19"/>
        <v>0</v>
      </c>
    </row>
    <row r="616" spans="1:2">
      <c r="A616" t="str">
        <f t="shared" ca="1" si="18"/>
        <v/>
      </c>
      <c r="B616">
        <f t="shared" ca="1" si="19"/>
        <v>0</v>
      </c>
    </row>
    <row r="617" spans="1:2">
      <c r="A617" t="str">
        <f t="shared" ca="1" si="18"/>
        <v/>
      </c>
      <c r="B617">
        <f t="shared" ca="1" si="19"/>
        <v>0</v>
      </c>
    </row>
    <row r="618" spans="1:2">
      <c r="A618" t="str">
        <f t="shared" ca="1" si="18"/>
        <v/>
      </c>
      <c r="B618">
        <f t="shared" ca="1" si="19"/>
        <v>0</v>
      </c>
    </row>
    <row r="619" spans="1:2">
      <c r="A619" t="str">
        <f t="shared" ca="1" si="18"/>
        <v/>
      </c>
      <c r="B619">
        <f t="shared" ca="1" si="19"/>
        <v>0</v>
      </c>
    </row>
    <row r="620" spans="1:2">
      <c r="A620" t="str">
        <f t="shared" ca="1" si="18"/>
        <v/>
      </c>
      <c r="B620">
        <f t="shared" ca="1" si="19"/>
        <v>0</v>
      </c>
    </row>
    <row r="621" spans="1:2">
      <c r="A621" t="str">
        <f t="shared" ca="1" si="18"/>
        <v/>
      </c>
      <c r="B621">
        <f t="shared" ca="1" si="19"/>
        <v>0</v>
      </c>
    </row>
    <row r="622" spans="1:2">
      <c r="A622" t="str">
        <f t="shared" ca="1" si="18"/>
        <v/>
      </c>
      <c r="B622">
        <f t="shared" ca="1" si="19"/>
        <v>0</v>
      </c>
    </row>
    <row r="623" spans="1:2">
      <c r="A623" t="str">
        <f t="shared" ca="1" si="18"/>
        <v/>
      </c>
      <c r="B623">
        <f t="shared" ca="1" si="19"/>
        <v>0</v>
      </c>
    </row>
    <row r="624" spans="1:2">
      <c r="A624" t="str">
        <f t="shared" ca="1" si="18"/>
        <v/>
      </c>
      <c r="B624">
        <f t="shared" ca="1" si="19"/>
        <v>0</v>
      </c>
    </row>
    <row r="625" spans="1:2">
      <c r="A625" t="str">
        <f t="shared" ca="1" si="18"/>
        <v/>
      </c>
      <c r="B625">
        <f t="shared" ca="1" si="19"/>
        <v>0</v>
      </c>
    </row>
    <row r="626" spans="1:2">
      <c r="A626" t="str">
        <f t="shared" ca="1" si="18"/>
        <v/>
      </c>
      <c r="B626">
        <f t="shared" ca="1" si="19"/>
        <v>0</v>
      </c>
    </row>
    <row r="627" spans="1:2">
      <c r="A627" t="str">
        <f t="shared" ca="1" si="18"/>
        <v/>
      </c>
      <c r="B627">
        <f t="shared" ca="1" si="19"/>
        <v>0</v>
      </c>
    </row>
    <row r="628" spans="1:2">
      <c r="A628" t="str">
        <f t="shared" ca="1" si="18"/>
        <v/>
      </c>
      <c r="B628">
        <f t="shared" ca="1" si="19"/>
        <v>0</v>
      </c>
    </row>
    <row r="629" spans="1:2">
      <c r="A629" t="str">
        <f t="shared" ca="1" si="18"/>
        <v/>
      </c>
      <c r="B629">
        <f t="shared" ca="1" si="19"/>
        <v>0</v>
      </c>
    </row>
    <row r="630" spans="1:2">
      <c r="A630" t="str">
        <f t="shared" ca="1" si="18"/>
        <v/>
      </c>
      <c r="B630">
        <f t="shared" ca="1" si="19"/>
        <v>0</v>
      </c>
    </row>
    <row r="631" spans="1:2">
      <c r="A631" t="str">
        <f t="shared" ca="1" si="18"/>
        <v/>
      </c>
      <c r="B631">
        <f t="shared" ca="1" si="19"/>
        <v>0</v>
      </c>
    </row>
    <row r="632" spans="1:2">
      <c r="A632" t="str">
        <f t="shared" ca="1" si="18"/>
        <v/>
      </c>
      <c r="B632">
        <f t="shared" ca="1" si="19"/>
        <v>0</v>
      </c>
    </row>
    <row r="633" spans="1:2">
      <c r="A633" t="str">
        <f t="shared" ca="1" si="18"/>
        <v/>
      </c>
      <c r="B633">
        <f t="shared" ca="1" si="19"/>
        <v>0</v>
      </c>
    </row>
    <row r="634" spans="1:2">
      <c r="A634" t="str">
        <f t="shared" ca="1" si="18"/>
        <v/>
      </c>
      <c r="B634">
        <f t="shared" ca="1" si="19"/>
        <v>0</v>
      </c>
    </row>
    <row r="635" spans="1:2">
      <c r="A635" t="str">
        <f t="shared" ca="1" si="18"/>
        <v/>
      </c>
      <c r="B635">
        <f t="shared" ca="1" si="19"/>
        <v>0</v>
      </c>
    </row>
    <row r="636" spans="1:2">
      <c r="A636" t="str">
        <f t="shared" ca="1" si="18"/>
        <v/>
      </c>
      <c r="B636">
        <f t="shared" ca="1" si="19"/>
        <v>0</v>
      </c>
    </row>
    <row r="637" spans="1:2">
      <c r="A637" t="str">
        <f t="shared" ca="1" si="18"/>
        <v/>
      </c>
      <c r="B637">
        <f t="shared" ca="1" si="19"/>
        <v>0</v>
      </c>
    </row>
    <row r="638" spans="1:2">
      <c r="A638" t="str">
        <f t="shared" ca="1" si="18"/>
        <v/>
      </c>
      <c r="B638">
        <f t="shared" ca="1" si="19"/>
        <v>0</v>
      </c>
    </row>
    <row r="639" spans="1:2">
      <c r="A639" t="str">
        <f t="shared" ca="1" si="18"/>
        <v/>
      </c>
      <c r="B639">
        <f t="shared" ca="1" si="19"/>
        <v>0</v>
      </c>
    </row>
    <row r="640" spans="1:2">
      <c r="A640" t="str">
        <f t="shared" ca="1" si="18"/>
        <v/>
      </c>
      <c r="B640">
        <f t="shared" ca="1" si="19"/>
        <v>0</v>
      </c>
    </row>
    <row r="641" spans="1:2">
      <c r="A641" t="str">
        <f t="shared" ca="1" si="18"/>
        <v/>
      </c>
      <c r="B641">
        <f t="shared" ca="1" si="19"/>
        <v>0</v>
      </c>
    </row>
    <row r="642" spans="1:2">
      <c r="A642" t="str">
        <f t="shared" ref="A642:A705" ca="1" si="20">CONCATENATE(INDIRECT(ADDRESS(ROW(),3)))</f>
        <v/>
      </c>
      <c r="B642">
        <f t="shared" ref="B642:B705" ca="1" si="21">IF(IF(INDIRECT(ADDRESS(ROW(),1))&lt;&gt;"",IF(ISNA(MATCH(LEFT(INDIRECT(ADDRESS(ROW(),1)),2),PCNG_MN,0))=TRUE,1,0),0)+IF(INDIRECT(ADDRESS(ROW(),1))&lt;&gt;"",IF(ISNA(MATCH(LEFT(INDIRECT(ADDRESS(ROW(),1)),3),PCNG_MN,0))=TRUE,1,0),0)+IF(INDIRECT(ADDRESS(ROW(),1))&lt;&gt;"",IF(ISNA(MATCH(LEFT(INDIRECT(ADDRESS(ROW(),1)),4),PCNG_MN,0))=TRUE,1,0),0)&gt;=3,1,0)</f>
        <v>0</v>
      </c>
    </row>
    <row r="643" spans="1:2">
      <c r="A643" t="str">
        <f t="shared" ca="1" si="20"/>
        <v/>
      </c>
      <c r="B643">
        <f t="shared" ca="1" si="21"/>
        <v>0</v>
      </c>
    </row>
    <row r="644" spans="1:2">
      <c r="A644" t="str">
        <f t="shared" ca="1" si="20"/>
        <v/>
      </c>
      <c r="B644">
        <f t="shared" ca="1" si="21"/>
        <v>0</v>
      </c>
    </row>
    <row r="645" spans="1:2">
      <c r="A645" t="str">
        <f t="shared" ca="1" si="20"/>
        <v/>
      </c>
      <c r="B645">
        <f t="shared" ca="1" si="21"/>
        <v>0</v>
      </c>
    </row>
    <row r="646" spans="1:2">
      <c r="A646" t="str">
        <f t="shared" ca="1" si="20"/>
        <v/>
      </c>
      <c r="B646">
        <f t="shared" ca="1" si="21"/>
        <v>0</v>
      </c>
    </row>
    <row r="647" spans="1:2">
      <c r="A647" t="str">
        <f t="shared" ca="1" si="20"/>
        <v/>
      </c>
      <c r="B647">
        <f t="shared" ca="1" si="21"/>
        <v>0</v>
      </c>
    </row>
    <row r="648" spans="1:2">
      <c r="A648" t="str">
        <f t="shared" ca="1" si="20"/>
        <v/>
      </c>
      <c r="B648">
        <f t="shared" ca="1" si="21"/>
        <v>0</v>
      </c>
    </row>
    <row r="649" spans="1:2">
      <c r="A649" t="str">
        <f t="shared" ca="1" si="20"/>
        <v/>
      </c>
      <c r="B649">
        <f t="shared" ca="1" si="21"/>
        <v>0</v>
      </c>
    </row>
    <row r="650" spans="1:2">
      <c r="A650" t="str">
        <f t="shared" ca="1" si="20"/>
        <v/>
      </c>
      <c r="B650">
        <f t="shared" ca="1" si="21"/>
        <v>0</v>
      </c>
    </row>
    <row r="651" spans="1:2">
      <c r="A651" t="str">
        <f t="shared" ca="1" si="20"/>
        <v/>
      </c>
      <c r="B651">
        <f t="shared" ca="1" si="21"/>
        <v>0</v>
      </c>
    </row>
    <row r="652" spans="1:2">
      <c r="A652" t="str">
        <f t="shared" ca="1" si="20"/>
        <v/>
      </c>
      <c r="B652">
        <f t="shared" ca="1" si="21"/>
        <v>0</v>
      </c>
    </row>
    <row r="653" spans="1:2">
      <c r="A653" t="str">
        <f t="shared" ca="1" si="20"/>
        <v/>
      </c>
      <c r="B653">
        <f t="shared" ca="1" si="21"/>
        <v>0</v>
      </c>
    </row>
    <row r="654" spans="1:2">
      <c r="A654" t="str">
        <f t="shared" ca="1" si="20"/>
        <v/>
      </c>
      <c r="B654">
        <f t="shared" ca="1" si="21"/>
        <v>0</v>
      </c>
    </row>
    <row r="655" spans="1:2">
      <c r="A655" t="str">
        <f t="shared" ca="1" si="20"/>
        <v/>
      </c>
      <c r="B655">
        <f t="shared" ca="1" si="21"/>
        <v>0</v>
      </c>
    </row>
    <row r="656" spans="1:2">
      <c r="A656" t="str">
        <f t="shared" ca="1" si="20"/>
        <v/>
      </c>
      <c r="B656">
        <f t="shared" ca="1" si="21"/>
        <v>0</v>
      </c>
    </row>
    <row r="657" spans="1:2">
      <c r="A657" t="str">
        <f t="shared" ca="1" si="20"/>
        <v/>
      </c>
      <c r="B657">
        <f t="shared" ca="1" si="21"/>
        <v>0</v>
      </c>
    </row>
    <row r="658" spans="1:2">
      <c r="A658" t="str">
        <f t="shared" ca="1" si="20"/>
        <v/>
      </c>
      <c r="B658">
        <f t="shared" ca="1" si="21"/>
        <v>0</v>
      </c>
    </row>
    <row r="659" spans="1:2">
      <c r="A659" t="str">
        <f t="shared" ca="1" si="20"/>
        <v/>
      </c>
      <c r="B659">
        <f t="shared" ca="1" si="21"/>
        <v>0</v>
      </c>
    </row>
    <row r="660" spans="1:2">
      <c r="A660" t="str">
        <f t="shared" ca="1" si="20"/>
        <v/>
      </c>
      <c r="B660">
        <f t="shared" ca="1" si="21"/>
        <v>0</v>
      </c>
    </row>
    <row r="661" spans="1:2">
      <c r="A661" t="str">
        <f t="shared" ca="1" si="20"/>
        <v/>
      </c>
      <c r="B661">
        <f t="shared" ca="1" si="21"/>
        <v>0</v>
      </c>
    </row>
    <row r="662" spans="1:2">
      <c r="A662" t="str">
        <f t="shared" ca="1" si="20"/>
        <v/>
      </c>
      <c r="B662">
        <f t="shared" ca="1" si="21"/>
        <v>0</v>
      </c>
    </row>
    <row r="663" spans="1:2">
      <c r="A663" t="str">
        <f t="shared" ca="1" si="20"/>
        <v/>
      </c>
      <c r="B663">
        <f t="shared" ca="1" si="21"/>
        <v>0</v>
      </c>
    </row>
    <row r="664" spans="1:2">
      <c r="A664" t="str">
        <f t="shared" ca="1" si="20"/>
        <v/>
      </c>
      <c r="B664">
        <f t="shared" ca="1" si="21"/>
        <v>0</v>
      </c>
    </row>
    <row r="665" spans="1:2">
      <c r="A665" t="str">
        <f t="shared" ca="1" si="20"/>
        <v/>
      </c>
      <c r="B665">
        <f t="shared" ca="1" si="21"/>
        <v>0</v>
      </c>
    </row>
    <row r="666" spans="1:2">
      <c r="A666" t="str">
        <f t="shared" ca="1" si="20"/>
        <v/>
      </c>
      <c r="B666">
        <f t="shared" ca="1" si="21"/>
        <v>0</v>
      </c>
    </row>
    <row r="667" spans="1:2">
      <c r="A667" t="str">
        <f t="shared" ca="1" si="20"/>
        <v/>
      </c>
      <c r="B667">
        <f t="shared" ca="1" si="21"/>
        <v>0</v>
      </c>
    </row>
    <row r="668" spans="1:2">
      <c r="A668" t="str">
        <f t="shared" ca="1" si="20"/>
        <v/>
      </c>
      <c r="B668">
        <f t="shared" ca="1" si="21"/>
        <v>0</v>
      </c>
    </row>
    <row r="669" spans="1:2">
      <c r="A669" t="str">
        <f t="shared" ca="1" si="20"/>
        <v/>
      </c>
      <c r="B669">
        <f t="shared" ca="1" si="21"/>
        <v>0</v>
      </c>
    </row>
    <row r="670" spans="1:2">
      <c r="A670" t="str">
        <f t="shared" ca="1" si="20"/>
        <v/>
      </c>
      <c r="B670">
        <f t="shared" ca="1" si="21"/>
        <v>0</v>
      </c>
    </row>
    <row r="671" spans="1:2">
      <c r="A671" t="str">
        <f t="shared" ca="1" si="20"/>
        <v/>
      </c>
      <c r="B671">
        <f t="shared" ca="1" si="21"/>
        <v>0</v>
      </c>
    </row>
    <row r="672" spans="1:2">
      <c r="A672" t="str">
        <f t="shared" ca="1" si="20"/>
        <v/>
      </c>
      <c r="B672">
        <f t="shared" ca="1" si="21"/>
        <v>0</v>
      </c>
    </row>
    <row r="673" spans="1:2">
      <c r="A673" t="str">
        <f t="shared" ca="1" si="20"/>
        <v/>
      </c>
      <c r="B673">
        <f t="shared" ca="1" si="21"/>
        <v>0</v>
      </c>
    </row>
    <row r="674" spans="1:2">
      <c r="A674" t="str">
        <f t="shared" ca="1" si="20"/>
        <v/>
      </c>
      <c r="B674">
        <f t="shared" ca="1" si="21"/>
        <v>0</v>
      </c>
    </row>
    <row r="675" spans="1:2">
      <c r="A675" t="str">
        <f t="shared" ca="1" si="20"/>
        <v/>
      </c>
      <c r="B675">
        <f t="shared" ca="1" si="21"/>
        <v>0</v>
      </c>
    </row>
    <row r="676" spans="1:2">
      <c r="A676" t="str">
        <f t="shared" ca="1" si="20"/>
        <v/>
      </c>
      <c r="B676">
        <f t="shared" ca="1" si="21"/>
        <v>0</v>
      </c>
    </row>
    <row r="677" spans="1:2">
      <c r="A677" t="str">
        <f t="shared" ca="1" si="20"/>
        <v/>
      </c>
      <c r="B677">
        <f t="shared" ca="1" si="21"/>
        <v>0</v>
      </c>
    </row>
    <row r="678" spans="1:2">
      <c r="A678" t="str">
        <f t="shared" ca="1" si="20"/>
        <v/>
      </c>
      <c r="B678">
        <f t="shared" ca="1" si="21"/>
        <v>0</v>
      </c>
    </row>
    <row r="679" spans="1:2">
      <c r="A679" t="str">
        <f t="shared" ca="1" si="20"/>
        <v/>
      </c>
      <c r="B679">
        <f t="shared" ca="1" si="21"/>
        <v>0</v>
      </c>
    </row>
    <row r="680" spans="1:2">
      <c r="A680" t="str">
        <f t="shared" ca="1" si="20"/>
        <v/>
      </c>
      <c r="B680">
        <f t="shared" ca="1" si="21"/>
        <v>0</v>
      </c>
    </row>
    <row r="681" spans="1:2">
      <c r="A681" t="str">
        <f t="shared" ca="1" si="20"/>
        <v/>
      </c>
      <c r="B681">
        <f t="shared" ca="1" si="21"/>
        <v>0</v>
      </c>
    </row>
    <row r="682" spans="1:2">
      <c r="A682" t="str">
        <f t="shared" ca="1" si="20"/>
        <v/>
      </c>
      <c r="B682">
        <f t="shared" ca="1" si="21"/>
        <v>0</v>
      </c>
    </row>
    <row r="683" spans="1:2">
      <c r="A683" t="str">
        <f t="shared" ca="1" si="20"/>
        <v/>
      </c>
      <c r="B683">
        <f t="shared" ca="1" si="21"/>
        <v>0</v>
      </c>
    </row>
    <row r="684" spans="1:2">
      <c r="A684" t="str">
        <f t="shared" ca="1" si="20"/>
        <v/>
      </c>
      <c r="B684">
        <f t="shared" ca="1" si="21"/>
        <v>0</v>
      </c>
    </row>
    <row r="685" spans="1:2">
      <c r="A685" t="str">
        <f t="shared" ca="1" si="20"/>
        <v/>
      </c>
      <c r="B685">
        <f t="shared" ca="1" si="21"/>
        <v>0</v>
      </c>
    </row>
    <row r="686" spans="1:2">
      <c r="A686" t="str">
        <f t="shared" ca="1" si="20"/>
        <v/>
      </c>
      <c r="B686">
        <f t="shared" ca="1" si="21"/>
        <v>0</v>
      </c>
    </row>
    <row r="687" spans="1:2">
      <c r="A687" t="str">
        <f t="shared" ca="1" si="20"/>
        <v/>
      </c>
      <c r="B687">
        <f t="shared" ca="1" si="21"/>
        <v>0</v>
      </c>
    </row>
    <row r="688" spans="1:2">
      <c r="A688" t="str">
        <f t="shared" ca="1" si="20"/>
        <v/>
      </c>
      <c r="B688">
        <f t="shared" ca="1" si="21"/>
        <v>0</v>
      </c>
    </row>
    <row r="689" spans="1:2">
      <c r="A689" t="str">
        <f t="shared" ca="1" si="20"/>
        <v/>
      </c>
      <c r="B689">
        <f t="shared" ca="1" si="21"/>
        <v>0</v>
      </c>
    </row>
    <row r="690" spans="1:2">
      <c r="A690" t="str">
        <f t="shared" ca="1" si="20"/>
        <v/>
      </c>
      <c r="B690">
        <f t="shared" ca="1" si="21"/>
        <v>0</v>
      </c>
    </row>
    <row r="691" spans="1:2">
      <c r="A691" t="str">
        <f t="shared" ca="1" si="20"/>
        <v/>
      </c>
      <c r="B691">
        <f t="shared" ca="1" si="21"/>
        <v>0</v>
      </c>
    </row>
    <row r="692" spans="1:2">
      <c r="A692" t="str">
        <f t="shared" ca="1" si="20"/>
        <v/>
      </c>
      <c r="B692">
        <f t="shared" ca="1" si="21"/>
        <v>0</v>
      </c>
    </row>
    <row r="693" spans="1:2">
      <c r="A693" t="str">
        <f t="shared" ca="1" si="20"/>
        <v/>
      </c>
      <c r="B693">
        <f t="shared" ca="1" si="21"/>
        <v>0</v>
      </c>
    </row>
    <row r="694" spans="1:2">
      <c r="A694" t="str">
        <f t="shared" ca="1" si="20"/>
        <v/>
      </c>
      <c r="B694">
        <f t="shared" ca="1" si="21"/>
        <v>0</v>
      </c>
    </row>
    <row r="695" spans="1:2">
      <c r="A695" t="str">
        <f t="shared" ca="1" si="20"/>
        <v/>
      </c>
      <c r="B695">
        <f t="shared" ca="1" si="21"/>
        <v>0</v>
      </c>
    </row>
    <row r="696" spans="1:2">
      <c r="A696" t="str">
        <f t="shared" ca="1" si="20"/>
        <v/>
      </c>
      <c r="B696">
        <f t="shared" ca="1" si="21"/>
        <v>0</v>
      </c>
    </row>
    <row r="697" spans="1:2">
      <c r="A697" t="str">
        <f t="shared" ca="1" si="20"/>
        <v/>
      </c>
      <c r="B697">
        <f t="shared" ca="1" si="21"/>
        <v>0</v>
      </c>
    </row>
    <row r="698" spans="1:2">
      <c r="A698" t="str">
        <f t="shared" ca="1" si="20"/>
        <v/>
      </c>
      <c r="B698">
        <f t="shared" ca="1" si="21"/>
        <v>0</v>
      </c>
    </row>
    <row r="699" spans="1:2">
      <c r="A699" t="str">
        <f t="shared" ca="1" si="20"/>
        <v/>
      </c>
      <c r="B699">
        <f t="shared" ca="1" si="21"/>
        <v>0</v>
      </c>
    </row>
    <row r="700" spans="1:2">
      <c r="A700" t="str">
        <f t="shared" ca="1" si="20"/>
        <v/>
      </c>
      <c r="B700">
        <f t="shared" ca="1" si="21"/>
        <v>0</v>
      </c>
    </row>
    <row r="701" spans="1:2">
      <c r="A701" t="str">
        <f t="shared" ca="1" si="20"/>
        <v/>
      </c>
      <c r="B701">
        <f t="shared" ca="1" si="21"/>
        <v>0</v>
      </c>
    </row>
    <row r="702" spans="1:2">
      <c r="A702" t="str">
        <f t="shared" ca="1" si="20"/>
        <v/>
      </c>
      <c r="B702">
        <f t="shared" ca="1" si="21"/>
        <v>0</v>
      </c>
    </row>
    <row r="703" spans="1:2">
      <c r="A703" t="str">
        <f t="shared" ca="1" si="20"/>
        <v/>
      </c>
      <c r="B703">
        <f t="shared" ca="1" si="21"/>
        <v>0</v>
      </c>
    </row>
    <row r="704" spans="1:2">
      <c r="A704" t="str">
        <f t="shared" ca="1" si="20"/>
        <v/>
      </c>
      <c r="B704">
        <f t="shared" ca="1" si="21"/>
        <v>0</v>
      </c>
    </row>
    <row r="705" spans="1:2">
      <c r="A705" t="str">
        <f t="shared" ca="1" si="20"/>
        <v/>
      </c>
      <c r="B705">
        <f t="shared" ca="1" si="21"/>
        <v>0</v>
      </c>
    </row>
    <row r="706" spans="1:2">
      <c r="A706" t="str">
        <f t="shared" ref="A706:A769" ca="1" si="22">CONCATENATE(INDIRECT(ADDRESS(ROW(),3)))</f>
        <v/>
      </c>
      <c r="B706">
        <f t="shared" ref="B706:B769" ca="1" si="23">IF(IF(INDIRECT(ADDRESS(ROW(),1))&lt;&gt;"",IF(ISNA(MATCH(LEFT(INDIRECT(ADDRESS(ROW(),1)),2),PCNG_MN,0))=TRUE,1,0),0)+IF(INDIRECT(ADDRESS(ROW(),1))&lt;&gt;"",IF(ISNA(MATCH(LEFT(INDIRECT(ADDRESS(ROW(),1)),3),PCNG_MN,0))=TRUE,1,0),0)+IF(INDIRECT(ADDRESS(ROW(),1))&lt;&gt;"",IF(ISNA(MATCH(LEFT(INDIRECT(ADDRESS(ROW(),1)),4),PCNG_MN,0))=TRUE,1,0),0)&gt;=3,1,0)</f>
        <v>0</v>
      </c>
    </row>
    <row r="707" spans="1:2">
      <c r="A707" t="str">
        <f t="shared" ca="1" si="22"/>
        <v/>
      </c>
      <c r="B707">
        <f t="shared" ca="1" si="23"/>
        <v>0</v>
      </c>
    </row>
    <row r="708" spans="1:2">
      <c r="A708" t="str">
        <f t="shared" ca="1" si="22"/>
        <v/>
      </c>
      <c r="B708">
        <f t="shared" ca="1" si="23"/>
        <v>0</v>
      </c>
    </row>
    <row r="709" spans="1:2">
      <c r="A709" t="str">
        <f t="shared" ca="1" si="22"/>
        <v/>
      </c>
      <c r="B709">
        <f t="shared" ca="1" si="23"/>
        <v>0</v>
      </c>
    </row>
    <row r="710" spans="1:2">
      <c r="A710" t="str">
        <f t="shared" ca="1" si="22"/>
        <v/>
      </c>
      <c r="B710">
        <f t="shared" ca="1" si="23"/>
        <v>0</v>
      </c>
    </row>
    <row r="711" spans="1:2">
      <c r="A711" t="str">
        <f t="shared" ca="1" si="22"/>
        <v/>
      </c>
      <c r="B711">
        <f t="shared" ca="1" si="23"/>
        <v>0</v>
      </c>
    </row>
    <row r="712" spans="1:2">
      <c r="A712" t="str">
        <f t="shared" ca="1" si="22"/>
        <v/>
      </c>
      <c r="B712">
        <f t="shared" ca="1" si="23"/>
        <v>0</v>
      </c>
    </row>
    <row r="713" spans="1:2">
      <c r="A713" t="str">
        <f t="shared" ca="1" si="22"/>
        <v/>
      </c>
      <c r="B713">
        <f t="shared" ca="1" si="23"/>
        <v>0</v>
      </c>
    </row>
    <row r="714" spans="1:2">
      <c r="A714" t="str">
        <f t="shared" ca="1" si="22"/>
        <v/>
      </c>
      <c r="B714">
        <f t="shared" ca="1" si="23"/>
        <v>0</v>
      </c>
    </row>
    <row r="715" spans="1:2">
      <c r="A715" t="str">
        <f t="shared" ca="1" si="22"/>
        <v/>
      </c>
      <c r="B715">
        <f t="shared" ca="1" si="23"/>
        <v>0</v>
      </c>
    </row>
    <row r="716" spans="1:2">
      <c r="A716" t="str">
        <f t="shared" ca="1" si="22"/>
        <v/>
      </c>
      <c r="B716">
        <f t="shared" ca="1" si="23"/>
        <v>0</v>
      </c>
    </row>
    <row r="717" spans="1:2">
      <c r="A717" t="str">
        <f t="shared" ca="1" si="22"/>
        <v/>
      </c>
      <c r="B717">
        <f t="shared" ca="1" si="23"/>
        <v>0</v>
      </c>
    </row>
    <row r="718" spans="1:2">
      <c r="A718" t="str">
        <f t="shared" ca="1" si="22"/>
        <v/>
      </c>
      <c r="B718">
        <f t="shared" ca="1" si="23"/>
        <v>0</v>
      </c>
    </row>
    <row r="719" spans="1:2">
      <c r="A719" t="str">
        <f t="shared" ca="1" si="22"/>
        <v/>
      </c>
      <c r="B719">
        <f t="shared" ca="1" si="23"/>
        <v>0</v>
      </c>
    </row>
    <row r="720" spans="1:2">
      <c r="A720" t="str">
        <f t="shared" ca="1" si="22"/>
        <v/>
      </c>
      <c r="B720">
        <f t="shared" ca="1" si="23"/>
        <v>0</v>
      </c>
    </row>
    <row r="721" spans="1:2">
      <c r="A721" t="str">
        <f t="shared" ca="1" si="22"/>
        <v/>
      </c>
      <c r="B721">
        <f t="shared" ca="1" si="23"/>
        <v>0</v>
      </c>
    </row>
    <row r="722" spans="1:2">
      <c r="A722" t="str">
        <f t="shared" ca="1" si="22"/>
        <v/>
      </c>
      <c r="B722">
        <f t="shared" ca="1" si="23"/>
        <v>0</v>
      </c>
    </row>
    <row r="723" spans="1:2">
      <c r="A723" t="str">
        <f t="shared" ca="1" si="22"/>
        <v/>
      </c>
      <c r="B723">
        <f t="shared" ca="1" si="23"/>
        <v>0</v>
      </c>
    </row>
    <row r="724" spans="1:2">
      <c r="A724" t="str">
        <f t="shared" ca="1" si="22"/>
        <v/>
      </c>
      <c r="B724">
        <f t="shared" ca="1" si="23"/>
        <v>0</v>
      </c>
    </row>
    <row r="725" spans="1:2">
      <c r="A725" t="str">
        <f t="shared" ca="1" si="22"/>
        <v/>
      </c>
      <c r="B725">
        <f t="shared" ca="1" si="23"/>
        <v>0</v>
      </c>
    </row>
    <row r="726" spans="1:2">
      <c r="A726" t="str">
        <f t="shared" ca="1" si="22"/>
        <v/>
      </c>
      <c r="B726">
        <f t="shared" ca="1" si="23"/>
        <v>0</v>
      </c>
    </row>
    <row r="727" spans="1:2">
      <c r="A727" t="str">
        <f t="shared" ca="1" si="22"/>
        <v/>
      </c>
      <c r="B727">
        <f t="shared" ca="1" si="23"/>
        <v>0</v>
      </c>
    </row>
    <row r="728" spans="1:2">
      <c r="A728" t="str">
        <f t="shared" ca="1" si="22"/>
        <v/>
      </c>
      <c r="B728">
        <f t="shared" ca="1" si="23"/>
        <v>0</v>
      </c>
    </row>
    <row r="729" spans="1:2">
      <c r="A729" t="str">
        <f t="shared" ca="1" si="22"/>
        <v/>
      </c>
      <c r="B729">
        <f t="shared" ca="1" si="23"/>
        <v>0</v>
      </c>
    </row>
    <row r="730" spans="1:2">
      <c r="A730" t="str">
        <f t="shared" ca="1" si="22"/>
        <v/>
      </c>
      <c r="B730">
        <f t="shared" ca="1" si="23"/>
        <v>0</v>
      </c>
    </row>
    <row r="731" spans="1:2">
      <c r="A731" t="str">
        <f t="shared" ca="1" si="22"/>
        <v/>
      </c>
      <c r="B731">
        <f t="shared" ca="1" si="23"/>
        <v>0</v>
      </c>
    </row>
    <row r="732" spans="1:2">
      <c r="A732" t="str">
        <f t="shared" ca="1" si="22"/>
        <v/>
      </c>
      <c r="B732">
        <f t="shared" ca="1" si="23"/>
        <v>0</v>
      </c>
    </row>
    <row r="733" spans="1:2">
      <c r="A733" t="str">
        <f t="shared" ca="1" si="22"/>
        <v/>
      </c>
      <c r="B733">
        <f t="shared" ca="1" si="23"/>
        <v>0</v>
      </c>
    </row>
    <row r="734" spans="1:2">
      <c r="A734" t="str">
        <f t="shared" ca="1" si="22"/>
        <v/>
      </c>
      <c r="B734">
        <f t="shared" ca="1" si="23"/>
        <v>0</v>
      </c>
    </row>
    <row r="735" spans="1:2">
      <c r="A735" t="str">
        <f t="shared" ca="1" si="22"/>
        <v/>
      </c>
      <c r="B735">
        <f t="shared" ca="1" si="23"/>
        <v>0</v>
      </c>
    </row>
    <row r="736" spans="1:2">
      <c r="A736" t="str">
        <f t="shared" ca="1" si="22"/>
        <v/>
      </c>
      <c r="B736">
        <f t="shared" ca="1" si="23"/>
        <v>0</v>
      </c>
    </row>
    <row r="737" spans="1:2">
      <c r="A737" t="str">
        <f t="shared" ca="1" si="22"/>
        <v/>
      </c>
      <c r="B737">
        <f t="shared" ca="1" si="23"/>
        <v>0</v>
      </c>
    </row>
    <row r="738" spans="1:2">
      <c r="A738" t="str">
        <f t="shared" ca="1" si="22"/>
        <v/>
      </c>
      <c r="B738">
        <f t="shared" ca="1" si="23"/>
        <v>0</v>
      </c>
    </row>
    <row r="739" spans="1:2">
      <c r="A739" t="str">
        <f t="shared" ca="1" si="22"/>
        <v/>
      </c>
      <c r="B739">
        <f t="shared" ca="1" si="23"/>
        <v>0</v>
      </c>
    </row>
    <row r="740" spans="1:2">
      <c r="A740" t="str">
        <f t="shared" ca="1" si="22"/>
        <v/>
      </c>
      <c r="B740">
        <f t="shared" ca="1" si="23"/>
        <v>0</v>
      </c>
    </row>
    <row r="741" spans="1:2">
      <c r="A741" t="str">
        <f t="shared" ca="1" si="22"/>
        <v/>
      </c>
      <c r="B741">
        <f t="shared" ca="1" si="23"/>
        <v>0</v>
      </c>
    </row>
    <row r="742" spans="1:2">
      <c r="A742" t="str">
        <f t="shared" ca="1" si="22"/>
        <v/>
      </c>
      <c r="B742">
        <f t="shared" ca="1" si="23"/>
        <v>0</v>
      </c>
    </row>
    <row r="743" spans="1:2">
      <c r="A743" t="str">
        <f t="shared" ca="1" si="22"/>
        <v/>
      </c>
      <c r="B743">
        <f t="shared" ca="1" si="23"/>
        <v>0</v>
      </c>
    </row>
    <row r="744" spans="1:2">
      <c r="A744" t="str">
        <f t="shared" ca="1" si="22"/>
        <v/>
      </c>
      <c r="B744">
        <f t="shared" ca="1" si="23"/>
        <v>0</v>
      </c>
    </row>
    <row r="745" spans="1:2">
      <c r="A745" t="str">
        <f t="shared" ca="1" si="22"/>
        <v/>
      </c>
      <c r="B745">
        <f t="shared" ca="1" si="23"/>
        <v>0</v>
      </c>
    </row>
    <row r="746" spans="1:2">
      <c r="A746" t="str">
        <f t="shared" ca="1" si="22"/>
        <v/>
      </c>
      <c r="B746">
        <f t="shared" ca="1" si="23"/>
        <v>0</v>
      </c>
    </row>
    <row r="747" spans="1:2">
      <c r="A747" t="str">
        <f t="shared" ca="1" si="22"/>
        <v/>
      </c>
      <c r="B747">
        <f t="shared" ca="1" si="23"/>
        <v>0</v>
      </c>
    </row>
    <row r="748" spans="1:2">
      <c r="A748" t="str">
        <f t="shared" ca="1" si="22"/>
        <v/>
      </c>
      <c r="B748">
        <f t="shared" ca="1" si="23"/>
        <v>0</v>
      </c>
    </row>
    <row r="749" spans="1:2">
      <c r="A749" t="str">
        <f t="shared" ca="1" si="22"/>
        <v/>
      </c>
      <c r="B749">
        <f t="shared" ca="1" si="23"/>
        <v>0</v>
      </c>
    </row>
    <row r="750" spans="1:2">
      <c r="A750" t="str">
        <f t="shared" ca="1" si="22"/>
        <v/>
      </c>
      <c r="B750">
        <f t="shared" ca="1" si="23"/>
        <v>0</v>
      </c>
    </row>
    <row r="751" spans="1:2">
      <c r="A751" t="str">
        <f t="shared" ca="1" si="22"/>
        <v/>
      </c>
      <c r="B751">
        <f t="shared" ca="1" si="23"/>
        <v>0</v>
      </c>
    </row>
    <row r="752" spans="1:2">
      <c r="A752" t="str">
        <f t="shared" ca="1" si="22"/>
        <v/>
      </c>
      <c r="B752">
        <f t="shared" ca="1" si="23"/>
        <v>0</v>
      </c>
    </row>
    <row r="753" spans="1:2">
      <c r="A753" t="str">
        <f t="shared" ca="1" si="22"/>
        <v/>
      </c>
      <c r="B753">
        <f t="shared" ca="1" si="23"/>
        <v>0</v>
      </c>
    </row>
    <row r="754" spans="1:2">
      <c r="A754" t="str">
        <f t="shared" ca="1" si="22"/>
        <v/>
      </c>
      <c r="B754">
        <f t="shared" ca="1" si="23"/>
        <v>0</v>
      </c>
    </row>
    <row r="755" spans="1:2">
      <c r="A755" t="str">
        <f t="shared" ca="1" si="22"/>
        <v/>
      </c>
      <c r="B755">
        <f t="shared" ca="1" si="23"/>
        <v>0</v>
      </c>
    </row>
    <row r="756" spans="1:2">
      <c r="A756" t="str">
        <f t="shared" ca="1" si="22"/>
        <v/>
      </c>
      <c r="B756">
        <f t="shared" ca="1" si="23"/>
        <v>0</v>
      </c>
    </row>
    <row r="757" spans="1:2">
      <c r="A757" t="str">
        <f t="shared" ca="1" si="22"/>
        <v/>
      </c>
      <c r="B757">
        <f t="shared" ca="1" si="23"/>
        <v>0</v>
      </c>
    </row>
    <row r="758" spans="1:2">
      <c r="A758" t="str">
        <f t="shared" ca="1" si="22"/>
        <v/>
      </c>
      <c r="B758">
        <f t="shared" ca="1" si="23"/>
        <v>0</v>
      </c>
    </row>
    <row r="759" spans="1:2">
      <c r="A759" t="str">
        <f t="shared" ca="1" si="22"/>
        <v/>
      </c>
      <c r="B759">
        <f t="shared" ca="1" si="23"/>
        <v>0</v>
      </c>
    </row>
    <row r="760" spans="1:2">
      <c r="A760" t="str">
        <f t="shared" ca="1" si="22"/>
        <v/>
      </c>
      <c r="B760">
        <f t="shared" ca="1" si="23"/>
        <v>0</v>
      </c>
    </row>
    <row r="761" spans="1:2">
      <c r="A761" t="str">
        <f t="shared" ca="1" si="22"/>
        <v/>
      </c>
      <c r="B761">
        <f t="shared" ca="1" si="23"/>
        <v>0</v>
      </c>
    </row>
    <row r="762" spans="1:2">
      <c r="A762" t="str">
        <f t="shared" ca="1" si="22"/>
        <v/>
      </c>
      <c r="B762">
        <f t="shared" ca="1" si="23"/>
        <v>0</v>
      </c>
    </row>
    <row r="763" spans="1:2">
      <c r="A763" t="str">
        <f t="shared" ca="1" si="22"/>
        <v/>
      </c>
      <c r="B763">
        <f t="shared" ca="1" si="23"/>
        <v>0</v>
      </c>
    </row>
    <row r="764" spans="1:2">
      <c r="A764" t="str">
        <f t="shared" ca="1" si="22"/>
        <v/>
      </c>
      <c r="B764">
        <f t="shared" ca="1" si="23"/>
        <v>0</v>
      </c>
    </row>
    <row r="765" spans="1:2">
      <c r="A765" t="str">
        <f t="shared" ca="1" si="22"/>
        <v/>
      </c>
      <c r="B765">
        <f t="shared" ca="1" si="23"/>
        <v>0</v>
      </c>
    </row>
    <row r="766" spans="1:2">
      <c r="A766" t="str">
        <f t="shared" ca="1" si="22"/>
        <v/>
      </c>
      <c r="B766">
        <f t="shared" ca="1" si="23"/>
        <v>0</v>
      </c>
    </row>
    <row r="767" spans="1:2">
      <c r="A767" t="str">
        <f t="shared" ca="1" si="22"/>
        <v/>
      </c>
      <c r="B767">
        <f t="shared" ca="1" si="23"/>
        <v>0</v>
      </c>
    </row>
    <row r="768" spans="1:2">
      <c r="A768" t="str">
        <f t="shared" ca="1" si="22"/>
        <v/>
      </c>
      <c r="B768">
        <f t="shared" ca="1" si="23"/>
        <v>0</v>
      </c>
    </row>
    <row r="769" spans="1:2">
      <c r="A769" t="str">
        <f t="shared" ca="1" si="22"/>
        <v/>
      </c>
      <c r="B769">
        <f t="shared" ca="1" si="23"/>
        <v>0</v>
      </c>
    </row>
    <row r="770" spans="1:2">
      <c r="A770" t="str">
        <f t="shared" ref="A770:A833" ca="1" si="24">CONCATENATE(INDIRECT(ADDRESS(ROW(),3)))</f>
        <v/>
      </c>
      <c r="B770">
        <f t="shared" ref="B770:B833" ca="1" si="25">IF(IF(INDIRECT(ADDRESS(ROW(),1))&lt;&gt;"",IF(ISNA(MATCH(LEFT(INDIRECT(ADDRESS(ROW(),1)),2),PCNG_MN,0))=TRUE,1,0),0)+IF(INDIRECT(ADDRESS(ROW(),1))&lt;&gt;"",IF(ISNA(MATCH(LEFT(INDIRECT(ADDRESS(ROW(),1)),3),PCNG_MN,0))=TRUE,1,0),0)+IF(INDIRECT(ADDRESS(ROW(),1))&lt;&gt;"",IF(ISNA(MATCH(LEFT(INDIRECT(ADDRESS(ROW(),1)),4),PCNG_MN,0))=TRUE,1,0),0)&gt;=3,1,0)</f>
        <v>0</v>
      </c>
    </row>
    <row r="771" spans="1:2">
      <c r="A771" t="str">
        <f t="shared" ca="1" si="24"/>
        <v/>
      </c>
      <c r="B771">
        <f t="shared" ca="1" si="25"/>
        <v>0</v>
      </c>
    </row>
    <row r="772" spans="1:2">
      <c r="A772" t="str">
        <f t="shared" ca="1" si="24"/>
        <v/>
      </c>
      <c r="B772">
        <f t="shared" ca="1" si="25"/>
        <v>0</v>
      </c>
    </row>
    <row r="773" spans="1:2">
      <c r="A773" t="str">
        <f t="shared" ca="1" si="24"/>
        <v/>
      </c>
      <c r="B773">
        <f t="shared" ca="1" si="25"/>
        <v>0</v>
      </c>
    </row>
    <row r="774" spans="1:2">
      <c r="A774" t="str">
        <f t="shared" ca="1" si="24"/>
        <v/>
      </c>
      <c r="B774">
        <f t="shared" ca="1" si="25"/>
        <v>0</v>
      </c>
    </row>
    <row r="775" spans="1:2">
      <c r="A775" t="str">
        <f t="shared" ca="1" si="24"/>
        <v/>
      </c>
      <c r="B775">
        <f t="shared" ca="1" si="25"/>
        <v>0</v>
      </c>
    </row>
    <row r="776" spans="1:2">
      <c r="A776" t="str">
        <f t="shared" ca="1" si="24"/>
        <v/>
      </c>
      <c r="B776">
        <f t="shared" ca="1" si="25"/>
        <v>0</v>
      </c>
    </row>
    <row r="777" spans="1:2">
      <c r="A777" t="str">
        <f t="shared" ca="1" si="24"/>
        <v/>
      </c>
      <c r="B777">
        <f t="shared" ca="1" si="25"/>
        <v>0</v>
      </c>
    </row>
    <row r="778" spans="1:2">
      <c r="A778" t="str">
        <f t="shared" ca="1" si="24"/>
        <v/>
      </c>
      <c r="B778">
        <f t="shared" ca="1" si="25"/>
        <v>0</v>
      </c>
    </row>
    <row r="779" spans="1:2">
      <c r="A779" t="str">
        <f t="shared" ca="1" si="24"/>
        <v/>
      </c>
      <c r="B779">
        <f t="shared" ca="1" si="25"/>
        <v>0</v>
      </c>
    </row>
    <row r="780" spans="1:2">
      <c r="A780" t="str">
        <f t="shared" ca="1" si="24"/>
        <v/>
      </c>
      <c r="B780">
        <f t="shared" ca="1" si="25"/>
        <v>0</v>
      </c>
    </row>
    <row r="781" spans="1:2">
      <c r="A781" t="str">
        <f t="shared" ca="1" si="24"/>
        <v/>
      </c>
      <c r="B781">
        <f t="shared" ca="1" si="25"/>
        <v>0</v>
      </c>
    </row>
    <row r="782" spans="1:2">
      <c r="A782" t="str">
        <f t="shared" ca="1" si="24"/>
        <v/>
      </c>
      <c r="B782">
        <f t="shared" ca="1" si="25"/>
        <v>0</v>
      </c>
    </row>
    <row r="783" spans="1:2">
      <c r="A783" t="str">
        <f t="shared" ca="1" si="24"/>
        <v/>
      </c>
      <c r="B783">
        <f t="shared" ca="1" si="25"/>
        <v>0</v>
      </c>
    </row>
    <row r="784" spans="1:2">
      <c r="A784" t="str">
        <f t="shared" ca="1" si="24"/>
        <v/>
      </c>
      <c r="B784">
        <f t="shared" ca="1" si="25"/>
        <v>0</v>
      </c>
    </row>
    <row r="785" spans="1:2">
      <c r="A785" t="str">
        <f t="shared" ca="1" si="24"/>
        <v/>
      </c>
      <c r="B785">
        <f t="shared" ca="1" si="25"/>
        <v>0</v>
      </c>
    </row>
    <row r="786" spans="1:2">
      <c r="A786" t="str">
        <f t="shared" ca="1" si="24"/>
        <v/>
      </c>
      <c r="B786">
        <f t="shared" ca="1" si="25"/>
        <v>0</v>
      </c>
    </row>
    <row r="787" spans="1:2">
      <c r="A787" t="str">
        <f t="shared" ca="1" si="24"/>
        <v/>
      </c>
      <c r="B787">
        <f t="shared" ca="1" si="25"/>
        <v>0</v>
      </c>
    </row>
    <row r="788" spans="1:2">
      <c r="A788" t="str">
        <f t="shared" ca="1" si="24"/>
        <v/>
      </c>
      <c r="B788">
        <f t="shared" ca="1" si="25"/>
        <v>0</v>
      </c>
    </row>
    <row r="789" spans="1:2">
      <c r="A789" t="str">
        <f t="shared" ca="1" si="24"/>
        <v/>
      </c>
      <c r="B789">
        <f t="shared" ca="1" si="25"/>
        <v>0</v>
      </c>
    </row>
    <row r="790" spans="1:2">
      <c r="A790" t="str">
        <f t="shared" ca="1" si="24"/>
        <v/>
      </c>
      <c r="B790">
        <f t="shared" ca="1" si="25"/>
        <v>0</v>
      </c>
    </row>
    <row r="791" spans="1:2">
      <c r="A791" t="str">
        <f t="shared" ca="1" si="24"/>
        <v/>
      </c>
      <c r="B791">
        <f t="shared" ca="1" si="25"/>
        <v>0</v>
      </c>
    </row>
    <row r="792" spans="1:2">
      <c r="A792" t="str">
        <f t="shared" ca="1" si="24"/>
        <v/>
      </c>
      <c r="B792">
        <f t="shared" ca="1" si="25"/>
        <v>0</v>
      </c>
    </row>
    <row r="793" spans="1:2">
      <c r="A793" t="str">
        <f t="shared" ca="1" si="24"/>
        <v/>
      </c>
      <c r="B793">
        <f t="shared" ca="1" si="25"/>
        <v>0</v>
      </c>
    </row>
    <row r="794" spans="1:2">
      <c r="A794" t="str">
        <f t="shared" ca="1" si="24"/>
        <v/>
      </c>
      <c r="B794">
        <f t="shared" ca="1" si="25"/>
        <v>0</v>
      </c>
    </row>
    <row r="795" spans="1:2">
      <c r="A795" t="str">
        <f t="shared" ca="1" si="24"/>
        <v/>
      </c>
      <c r="B795">
        <f t="shared" ca="1" si="25"/>
        <v>0</v>
      </c>
    </row>
    <row r="796" spans="1:2">
      <c r="A796" t="str">
        <f t="shared" ca="1" si="24"/>
        <v/>
      </c>
      <c r="B796">
        <f t="shared" ca="1" si="25"/>
        <v>0</v>
      </c>
    </row>
    <row r="797" spans="1:2">
      <c r="A797" t="str">
        <f t="shared" ca="1" si="24"/>
        <v/>
      </c>
      <c r="B797">
        <f t="shared" ca="1" si="25"/>
        <v>0</v>
      </c>
    </row>
    <row r="798" spans="1:2">
      <c r="A798" t="str">
        <f t="shared" ca="1" si="24"/>
        <v/>
      </c>
      <c r="B798">
        <f t="shared" ca="1" si="25"/>
        <v>0</v>
      </c>
    </row>
    <row r="799" spans="1:2">
      <c r="A799" t="str">
        <f t="shared" ca="1" si="24"/>
        <v/>
      </c>
      <c r="B799">
        <f t="shared" ca="1" si="25"/>
        <v>0</v>
      </c>
    </row>
    <row r="800" spans="1:2">
      <c r="A800" t="str">
        <f t="shared" ca="1" si="24"/>
        <v/>
      </c>
      <c r="B800">
        <f t="shared" ca="1" si="25"/>
        <v>0</v>
      </c>
    </row>
    <row r="801" spans="1:2">
      <c r="A801" t="str">
        <f t="shared" ca="1" si="24"/>
        <v/>
      </c>
      <c r="B801">
        <f t="shared" ca="1" si="25"/>
        <v>0</v>
      </c>
    </row>
    <row r="802" spans="1:2">
      <c r="A802" t="str">
        <f t="shared" ca="1" si="24"/>
        <v/>
      </c>
      <c r="B802">
        <f t="shared" ca="1" si="25"/>
        <v>0</v>
      </c>
    </row>
    <row r="803" spans="1:2">
      <c r="A803" t="str">
        <f t="shared" ca="1" si="24"/>
        <v/>
      </c>
      <c r="B803">
        <f t="shared" ca="1" si="25"/>
        <v>0</v>
      </c>
    </row>
    <row r="804" spans="1:2">
      <c r="A804" t="str">
        <f t="shared" ca="1" si="24"/>
        <v/>
      </c>
      <c r="B804">
        <f t="shared" ca="1" si="25"/>
        <v>0</v>
      </c>
    </row>
    <row r="805" spans="1:2">
      <c r="A805" t="str">
        <f t="shared" ca="1" si="24"/>
        <v/>
      </c>
      <c r="B805">
        <f t="shared" ca="1" si="25"/>
        <v>0</v>
      </c>
    </row>
    <row r="806" spans="1:2">
      <c r="A806" t="str">
        <f t="shared" ca="1" si="24"/>
        <v/>
      </c>
      <c r="B806">
        <f t="shared" ca="1" si="25"/>
        <v>0</v>
      </c>
    </row>
    <row r="807" spans="1:2">
      <c r="A807" t="str">
        <f t="shared" ca="1" si="24"/>
        <v/>
      </c>
      <c r="B807">
        <f t="shared" ca="1" si="25"/>
        <v>0</v>
      </c>
    </row>
    <row r="808" spans="1:2">
      <c r="A808" t="str">
        <f t="shared" ca="1" si="24"/>
        <v/>
      </c>
      <c r="B808">
        <f t="shared" ca="1" si="25"/>
        <v>0</v>
      </c>
    </row>
    <row r="809" spans="1:2">
      <c r="A809" t="str">
        <f t="shared" ca="1" si="24"/>
        <v/>
      </c>
      <c r="B809">
        <f t="shared" ca="1" si="25"/>
        <v>0</v>
      </c>
    </row>
    <row r="810" spans="1:2">
      <c r="A810" t="str">
        <f t="shared" ca="1" si="24"/>
        <v/>
      </c>
      <c r="B810">
        <f t="shared" ca="1" si="25"/>
        <v>0</v>
      </c>
    </row>
    <row r="811" spans="1:2">
      <c r="A811" t="str">
        <f t="shared" ca="1" si="24"/>
        <v/>
      </c>
      <c r="B811">
        <f t="shared" ca="1" si="25"/>
        <v>0</v>
      </c>
    </row>
    <row r="812" spans="1:2">
      <c r="A812" t="str">
        <f t="shared" ca="1" si="24"/>
        <v/>
      </c>
      <c r="B812">
        <f t="shared" ca="1" si="25"/>
        <v>0</v>
      </c>
    </row>
    <row r="813" spans="1:2">
      <c r="A813" t="str">
        <f t="shared" ca="1" si="24"/>
        <v/>
      </c>
      <c r="B813">
        <f t="shared" ca="1" si="25"/>
        <v>0</v>
      </c>
    </row>
    <row r="814" spans="1:2">
      <c r="A814" t="str">
        <f t="shared" ca="1" si="24"/>
        <v/>
      </c>
      <c r="B814">
        <f t="shared" ca="1" si="25"/>
        <v>0</v>
      </c>
    </row>
    <row r="815" spans="1:2">
      <c r="A815" t="str">
        <f t="shared" ca="1" si="24"/>
        <v/>
      </c>
      <c r="B815">
        <f t="shared" ca="1" si="25"/>
        <v>0</v>
      </c>
    </row>
    <row r="816" spans="1:2">
      <c r="A816" t="str">
        <f t="shared" ca="1" si="24"/>
        <v/>
      </c>
      <c r="B816">
        <f t="shared" ca="1" si="25"/>
        <v>0</v>
      </c>
    </row>
    <row r="817" spans="1:2">
      <c r="A817" t="str">
        <f t="shared" ca="1" si="24"/>
        <v/>
      </c>
      <c r="B817">
        <f t="shared" ca="1" si="25"/>
        <v>0</v>
      </c>
    </row>
    <row r="818" spans="1:2">
      <c r="A818" t="str">
        <f t="shared" ca="1" si="24"/>
        <v/>
      </c>
      <c r="B818">
        <f t="shared" ca="1" si="25"/>
        <v>0</v>
      </c>
    </row>
    <row r="819" spans="1:2">
      <c r="A819" t="str">
        <f t="shared" ca="1" si="24"/>
        <v/>
      </c>
      <c r="B819">
        <f t="shared" ca="1" si="25"/>
        <v>0</v>
      </c>
    </row>
    <row r="820" spans="1:2">
      <c r="A820" t="str">
        <f t="shared" ca="1" si="24"/>
        <v/>
      </c>
      <c r="B820">
        <f t="shared" ca="1" si="25"/>
        <v>0</v>
      </c>
    </row>
    <row r="821" spans="1:2">
      <c r="A821" t="str">
        <f t="shared" ca="1" si="24"/>
        <v/>
      </c>
      <c r="B821">
        <f t="shared" ca="1" si="25"/>
        <v>0</v>
      </c>
    </row>
    <row r="822" spans="1:2">
      <c r="A822" t="str">
        <f t="shared" ca="1" si="24"/>
        <v/>
      </c>
      <c r="B822">
        <f t="shared" ca="1" si="25"/>
        <v>0</v>
      </c>
    </row>
    <row r="823" spans="1:2">
      <c r="A823" t="str">
        <f t="shared" ca="1" si="24"/>
        <v/>
      </c>
      <c r="B823">
        <f t="shared" ca="1" si="25"/>
        <v>0</v>
      </c>
    </row>
    <row r="824" spans="1:2">
      <c r="A824" t="str">
        <f t="shared" ca="1" si="24"/>
        <v/>
      </c>
      <c r="B824">
        <f t="shared" ca="1" si="25"/>
        <v>0</v>
      </c>
    </row>
    <row r="825" spans="1:2">
      <c r="A825" t="str">
        <f t="shared" ca="1" si="24"/>
        <v/>
      </c>
      <c r="B825">
        <f t="shared" ca="1" si="25"/>
        <v>0</v>
      </c>
    </row>
    <row r="826" spans="1:2">
      <c r="A826" t="str">
        <f t="shared" ca="1" si="24"/>
        <v/>
      </c>
      <c r="B826">
        <f t="shared" ca="1" si="25"/>
        <v>0</v>
      </c>
    </row>
    <row r="827" spans="1:2">
      <c r="A827" t="str">
        <f t="shared" ca="1" si="24"/>
        <v/>
      </c>
      <c r="B827">
        <f t="shared" ca="1" si="25"/>
        <v>0</v>
      </c>
    </row>
    <row r="828" spans="1:2">
      <c r="A828" t="str">
        <f t="shared" ca="1" si="24"/>
        <v/>
      </c>
      <c r="B828">
        <f t="shared" ca="1" si="25"/>
        <v>0</v>
      </c>
    </row>
    <row r="829" spans="1:2">
      <c r="A829" t="str">
        <f t="shared" ca="1" si="24"/>
        <v/>
      </c>
      <c r="B829">
        <f t="shared" ca="1" si="25"/>
        <v>0</v>
      </c>
    </row>
    <row r="830" spans="1:2">
      <c r="A830" t="str">
        <f t="shared" ca="1" si="24"/>
        <v/>
      </c>
      <c r="B830">
        <f t="shared" ca="1" si="25"/>
        <v>0</v>
      </c>
    </row>
    <row r="831" spans="1:2">
      <c r="A831" t="str">
        <f t="shared" ca="1" si="24"/>
        <v/>
      </c>
      <c r="B831">
        <f t="shared" ca="1" si="25"/>
        <v>0</v>
      </c>
    </row>
    <row r="832" spans="1:2">
      <c r="A832" t="str">
        <f t="shared" ca="1" si="24"/>
        <v/>
      </c>
      <c r="B832">
        <f t="shared" ca="1" si="25"/>
        <v>0</v>
      </c>
    </row>
    <row r="833" spans="1:2">
      <c r="A833" t="str">
        <f t="shared" ca="1" si="24"/>
        <v/>
      </c>
      <c r="B833">
        <f t="shared" ca="1" si="25"/>
        <v>0</v>
      </c>
    </row>
    <row r="834" spans="1:2">
      <c r="A834" t="str">
        <f t="shared" ref="A834:A897" ca="1" si="26">CONCATENATE(INDIRECT(ADDRESS(ROW(),3)))</f>
        <v/>
      </c>
      <c r="B834">
        <f t="shared" ref="B834:B897" ca="1" si="27">IF(IF(INDIRECT(ADDRESS(ROW(),1))&lt;&gt;"",IF(ISNA(MATCH(LEFT(INDIRECT(ADDRESS(ROW(),1)),2),PCNG_MN,0))=TRUE,1,0),0)+IF(INDIRECT(ADDRESS(ROW(),1))&lt;&gt;"",IF(ISNA(MATCH(LEFT(INDIRECT(ADDRESS(ROW(),1)),3),PCNG_MN,0))=TRUE,1,0),0)+IF(INDIRECT(ADDRESS(ROW(),1))&lt;&gt;"",IF(ISNA(MATCH(LEFT(INDIRECT(ADDRESS(ROW(),1)),4),PCNG_MN,0))=TRUE,1,0),0)&gt;=3,1,0)</f>
        <v>0</v>
      </c>
    </row>
    <row r="835" spans="1:2">
      <c r="A835" t="str">
        <f t="shared" ca="1" si="26"/>
        <v/>
      </c>
      <c r="B835">
        <f t="shared" ca="1" si="27"/>
        <v>0</v>
      </c>
    </row>
    <row r="836" spans="1:2">
      <c r="A836" t="str">
        <f t="shared" ca="1" si="26"/>
        <v/>
      </c>
      <c r="B836">
        <f t="shared" ca="1" si="27"/>
        <v>0</v>
      </c>
    </row>
    <row r="837" spans="1:2">
      <c r="A837" t="str">
        <f t="shared" ca="1" si="26"/>
        <v/>
      </c>
      <c r="B837">
        <f t="shared" ca="1" si="27"/>
        <v>0</v>
      </c>
    </row>
    <row r="838" spans="1:2">
      <c r="A838" t="str">
        <f t="shared" ca="1" si="26"/>
        <v/>
      </c>
      <c r="B838">
        <f t="shared" ca="1" si="27"/>
        <v>0</v>
      </c>
    </row>
    <row r="839" spans="1:2">
      <c r="A839" t="str">
        <f t="shared" ca="1" si="26"/>
        <v/>
      </c>
      <c r="B839">
        <f t="shared" ca="1" si="27"/>
        <v>0</v>
      </c>
    </row>
    <row r="840" spans="1:2">
      <c r="A840" t="str">
        <f t="shared" ca="1" si="26"/>
        <v/>
      </c>
      <c r="B840">
        <f t="shared" ca="1" si="27"/>
        <v>0</v>
      </c>
    </row>
    <row r="841" spans="1:2">
      <c r="A841" t="str">
        <f t="shared" ca="1" si="26"/>
        <v/>
      </c>
      <c r="B841">
        <f t="shared" ca="1" si="27"/>
        <v>0</v>
      </c>
    </row>
    <row r="842" spans="1:2">
      <c r="A842" t="str">
        <f t="shared" ca="1" si="26"/>
        <v/>
      </c>
      <c r="B842">
        <f t="shared" ca="1" si="27"/>
        <v>0</v>
      </c>
    </row>
    <row r="843" spans="1:2">
      <c r="A843" t="str">
        <f t="shared" ca="1" si="26"/>
        <v/>
      </c>
      <c r="B843">
        <f t="shared" ca="1" si="27"/>
        <v>0</v>
      </c>
    </row>
    <row r="844" spans="1:2">
      <c r="A844" t="str">
        <f t="shared" ca="1" si="26"/>
        <v/>
      </c>
      <c r="B844">
        <f t="shared" ca="1" si="27"/>
        <v>0</v>
      </c>
    </row>
    <row r="845" spans="1:2">
      <c r="A845" t="str">
        <f t="shared" ca="1" si="26"/>
        <v/>
      </c>
      <c r="B845">
        <f t="shared" ca="1" si="27"/>
        <v>0</v>
      </c>
    </row>
    <row r="846" spans="1:2">
      <c r="A846" t="str">
        <f t="shared" ca="1" si="26"/>
        <v/>
      </c>
      <c r="B846">
        <f t="shared" ca="1" si="27"/>
        <v>0</v>
      </c>
    </row>
    <row r="847" spans="1:2">
      <c r="A847" t="str">
        <f t="shared" ca="1" si="26"/>
        <v/>
      </c>
      <c r="B847">
        <f t="shared" ca="1" si="27"/>
        <v>0</v>
      </c>
    </row>
    <row r="848" spans="1:2">
      <c r="A848" t="str">
        <f t="shared" ca="1" si="26"/>
        <v/>
      </c>
      <c r="B848">
        <f t="shared" ca="1" si="27"/>
        <v>0</v>
      </c>
    </row>
    <row r="849" spans="1:2">
      <c r="A849" t="str">
        <f t="shared" ca="1" si="26"/>
        <v/>
      </c>
      <c r="B849">
        <f t="shared" ca="1" si="27"/>
        <v>0</v>
      </c>
    </row>
    <row r="850" spans="1:2">
      <c r="A850" t="str">
        <f t="shared" ca="1" si="26"/>
        <v/>
      </c>
      <c r="B850">
        <f t="shared" ca="1" si="27"/>
        <v>0</v>
      </c>
    </row>
    <row r="851" spans="1:2">
      <c r="A851" t="str">
        <f t="shared" ca="1" si="26"/>
        <v/>
      </c>
      <c r="B851">
        <f t="shared" ca="1" si="27"/>
        <v>0</v>
      </c>
    </row>
    <row r="852" spans="1:2">
      <c r="A852" t="str">
        <f t="shared" ca="1" si="26"/>
        <v/>
      </c>
      <c r="B852">
        <f t="shared" ca="1" si="27"/>
        <v>0</v>
      </c>
    </row>
    <row r="853" spans="1:2">
      <c r="A853" t="str">
        <f t="shared" ca="1" si="26"/>
        <v/>
      </c>
      <c r="B853">
        <f t="shared" ca="1" si="27"/>
        <v>0</v>
      </c>
    </row>
    <row r="854" spans="1:2">
      <c r="A854" t="str">
        <f t="shared" ca="1" si="26"/>
        <v/>
      </c>
      <c r="B854">
        <f t="shared" ca="1" si="27"/>
        <v>0</v>
      </c>
    </row>
    <row r="855" spans="1:2">
      <c r="A855" t="str">
        <f t="shared" ca="1" si="26"/>
        <v/>
      </c>
      <c r="B855">
        <f t="shared" ca="1" si="27"/>
        <v>0</v>
      </c>
    </row>
    <row r="856" spans="1:2">
      <c r="A856" t="str">
        <f t="shared" ca="1" si="26"/>
        <v/>
      </c>
      <c r="B856">
        <f t="shared" ca="1" si="27"/>
        <v>0</v>
      </c>
    </row>
    <row r="857" spans="1:2">
      <c r="A857" t="str">
        <f t="shared" ca="1" si="26"/>
        <v/>
      </c>
      <c r="B857">
        <f t="shared" ca="1" si="27"/>
        <v>0</v>
      </c>
    </row>
    <row r="858" spans="1:2">
      <c r="A858" t="str">
        <f t="shared" ca="1" si="26"/>
        <v/>
      </c>
      <c r="B858">
        <f t="shared" ca="1" si="27"/>
        <v>0</v>
      </c>
    </row>
    <row r="859" spans="1:2">
      <c r="A859" t="str">
        <f t="shared" ca="1" si="26"/>
        <v/>
      </c>
      <c r="B859">
        <f t="shared" ca="1" si="27"/>
        <v>0</v>
      </c>
    </row>
    <row r="860" spans="1:2">
      <c r="A860" t="str">
        <f t="shared" ca="1" si="26"/>
        <v/>
      </c>
      <c r="B860">
        <f t="shared" ca="1" si="27"/>
        <v>0</v>
      </c>
    </row>
    <row r="861" spans="1:2">
      <c r="A861" t="str">
        <f t="shared" ca="1" si="26"/>
        <v/>
      </c>
      <c r="B861">
        <f t="shared" ca="1" si="27"/>
        <v>0</v>
      </c>
    </row>
    <row r="862" spans="1:2">
      <c r="A862" t="str">
        <f t="shared" ca="1" si="26"/>
        <v/>
      </c>
      <c r="B862">
        <f t="shared" ca="1" si="27"/>
        <v>0</v>
      </c>
    </row>
    <row r="863" spans="1:2">
      <c r="A863" t="str">
        <f t="shared" ca="1" si="26"/>
        <v/>
      </c>
      <c r="B863">
        <f t="shared" ca="1" si="27"/>
        <v>0</v>
      </c>
    </row>
    <row r="864" spans="1:2">
      <c r="A864" t="str">
        <f t="shared" ca="1" si="26"/>
        <v/>
      </c>
      <c r="B864">
        <f t="shared" ca="1" si="27"/>
        <v>0</v>
      </c>
    </row>
    <row r="865" spans="1:2">
      <c r="A865" t="str">
        <f t="shared" ca="1" si="26"/>
        <v/>
      </c>
      <c r="B865">
        <f t="shared" ca="1" si="27"/>
        <v>0</v>
      </c>
    </row>
    <row r="866" spans="1:2">
      <c r="A866" t="str">
        <f t="shared" ca="1" si="26"/>
        <v/>
      </c>
      <c r="B866">
        <f t="shared" ca="1" si="27"/>
        <v>0</v>
      </c>
    </row>
    <row r="867" spans="1:2">
      <c r="A867" t="str">
        <f t="shared" ca="1" si="26"/>
        <v/>
      </c>
      <c r="B867">
        <f t="shared" ca="1" si="27"/>
        <v>0</v>
      </c>
    </row>
    <row r="868" spans="1:2">
      <c r="A868" t="str">
        <f t="shared" ca="1" si="26"/>
        <v/>
      </c>
      <c r="B868">
        <f t="shared" ca="1" si="27"/>
        <v>0</v>
      </c>
    </row>
    <row r="869" spans="1:2">
      <c r="A869" t="str">
        <f t="shared" ca="1" si="26"/>
        <v/>
      </c>
      <c r="B869">
        <f t="shared" ca="1" si="27"/>
        <v>0</v>
      </c>
    </row>
    <row r="870" spans="1:2">
      <c r="A870" t="str">
        <f t="shared" ca="1" si="26"/>
        <v/>
      </c>
      <c r="B870">
        <f t="shared" ca="1" si="27"/>
        <v>0</v>
      </c>
    </row>
    <row r="871" spans="1:2">
      <c r="A871" t="str">
        <f t="shared" ca="1" si="26"/>
        <v/>
      </c>
      <c r="B871">
        <f t="shared" ca="1" si="27"/>
        <v>0</v>
      </c>
    </row>
    <row r="872" spans="1:2">
      <c r="A872" t="str">
        <f t="shared" ca="1" si="26"/>
        <v/>
      </c>
      <c r="B872">
        <f t="shared" ca="1" si="27"/>
        <v>0</v>
      </c>
    </row>
    <row r="873" spans="1:2">
      <c r="A873" t="str">
        <f t="shared" ca="1" si="26"/>
        <v/>
      </c>
      <c r="B873">
        <f t="shared" ca="1" si="27"/>
        <v>0</v>
      </c>
    </row>
    <row r="874" spans="1:2">
      <c r="A874" t="str">
        <f t="shared" ca="1" si="26"/>
        <v/>
      </c>
      <c r="B874">
        <f t="shared" ca="1" si="27"/>
        <v>0</v>
      </c>
    </row>
    <row r="875" spans="1:2">
      <c r="A875" t="str">
        <f t="shared" ca="1" si="26"/>
        <v/>
      </c>
      <c r="B875">
        <f t="shared" ca="1" si="27"/>
        <v>0</v>
      </c>
    </row>
    <row r="876" spans="1:2">
      <c r="A876" t="str">
        <f t="shared" ca="1" si="26"/>
        <v/>
      </c>
      <c r="B876">
        <f t="shared" ca="1" si="27"/>
        <v>0</v>
      </c>
    </row>
    <row r="877" spans="1:2">
      <c r="A877" t="str">
        <f t="shared" ca="1" si="26"/>
        <v/>
      </c>
      <c r="B877">
        <f t="shared" ca="1" si="27"/>
        <v>0</v>
      </c>
    </row>
    <row r="878" spans="1:2">
      <c r="A878" t="str">
        <f t="shared" ca="1" si="26"/>
        <v/>
      </c>
      <c r="B878">
        <f t="shared" ca="1" si="27"/>
        <v>0</v>
      </c>
    </row>
    <row r="879" spans="1:2">
      <c r="A879" t="str">
        <f t="shared" ca="1" si="26"/>
        <v/>
      </c>
      <c r="B879">
        <f t="shared" ca="1" si="27"/>
        <v>0</v>
      </c>
    </row>
    <row r="880" spans="1:2">
      <c r="A880" t="str">
        <f t="shared" ca="1" si="26"/>
        <v/>
      </c>
      <c r="B880">
        <f t="shared" ca="1" si="27"/>
        <v>0</v>
      </c>
    </row>
    <row r="881" spans="1:2">
      <c r="A881" t="str">
        <f t="shared" ca="1" si="26"/>
        <v/>
      </c>
      <c r="B881">
        <f t="shared" ca="1" si="27"/>
        <v>0</v>
      </c>
    </row>
    <row r="882" spans="1:2">
      <c r="A882" t="str">
        <f t="shared" ca="1" si="26"/>
        <v/>
      </c>
      <c r="B882">
        <f t="shared" ca="1" si="27"/>
        <v>0</v>
      </c>
    </row>
    <row r="883" spans="1:2">
      <c r="A883" t="str">
        <f t="shared" ca="1" si="26"/>
        <v/>
      </c>
      <c r="B883">
        <f t="shared" ca="1" si="27"/>
        <v>0</v>
      </c>
    </row>
    <row r="884" spans="1:2">
      <c r="A884" t="str">
        <f t="shared" ca="1" si="26"/>
        <v/>
      </c>
      <c r="B884">
        <f t="shared" ca="1" si="27"/>
        <v>0</v>
      </c>
    </row>
    <row r="885" spans="1:2">
      <c r="A885" t="str">
        <f t="shared" ca="1" si="26"/>
        <v/>
      </c>
      <c r="B885">
        <f t="shared" ca="1" si="27"/>
        <v>0</v>
      </c>
    </row>
    <row r="886" spans="1:2">
      <c r="A886" t="str">
        <f t="shared" ca="1" si="26"/>
        <v/>
      </c>
      <c r="B886">
        <f t="shared" ca="1" si="27"/>
        <v>0</v>
      </c>
    </row>
    <row r="887" spans="1:2">
      <c r="A887" t="str">
        <f t="shared" ca="1" si="26"/>
        <v/>
      </c>
      <c r="B887">
        <f t="shared" ca="1" si="27"/>
        <v>0</v>
      </c>
    </row>
    <row r="888" spans="1:2">
      <c r="A888" t="str">
        <f t="shared" ca="1" si="26"/>
        <v/>
      </c>
      <c r="B888">
        <f t="shared" ca="1" si="27"/>
        <v>0</v>
      </c>
    </row>
    <row r="889" spans="1:2">
      <c r="A889" t="str">
        <f t="shared" ca="1" si="26"/>
        <v/>
      </c>
      <c r="B889">
        <f t="shared" ca="1" si="27"/>
        <v>0</v>
      </c>
    </row>
    <row r="890" spans="1:2">
      <c r="A890" t="str">
        <f t="shared" ca="1" si="26"/>
        <v/>
      </c>
      <c r="B890">
        <f t="shared" ca="1" si="27"/>
        <v>0</v>
      </c>
    </row>
    <row r="891" spans="1:2">
      <c r="A891" t="str">
        <f t="shared" ca="1" si="26"/>
        <v/>
      </c>
      <c r="B891">
        <f t="shared" ca="1" si="27"/>
        <v>0</v>
      </c>
    </row>
    <row r="892" spans="1:2">
      <c r="A892" t="str">
        <f t="shared" ca="1" si="26"/>
        <v/>
      </c>
      <c r="B892">
        <f t="shared" ca="1" si="27"/>
        <v>0</v>
      </c>
    </row>
    <row r="893" spans="1:2">
      <c r="A893" t="str">
        <f t="shared" ca="1" si="26"/>
        <v/>
      </c>
      <c r="B893">
        <f t="shared" ca="1" si="27"/>
        <v>0</v>
      </c>
    </row>
    <row r="894" spans="1:2">
      <c r="A894" t="str">
        <f t="shared" ca="1" si="26"/>
        <v/>
      </c>
      <c r="B894">
        <f t="shared" ca="1" si="27"/>
        <v>0</v>
      </c>
    </row>
    <row r="895" spans="1:2">
      <c r="A895" t="str">
        <f t="shared" ca="1" si="26"/>
        <v/>
      </c>
      <c r="B895">
        <f t="shared" ca="1" si="27"/>
        <v>0</v>
      </c>
    </row>
    <row r="896" spans="1:2">
      <c r="A896" t="str">
        <f t="shared" ca="1" si="26"/>
        <v/>
      </c>
      <c r="B896">
        <f t="shared" ca="1" si="27"/>
        <v>0</v>
      </c>
    </row>
    <row r="897" spans="1:2">
      <c r="A897" t="str">
        <f t="shared" ca="1" si="26"/>
        <v/>
      </c>
      <c r="B897">
        <f t="shared" ca="1" si="27"/>
        <v>0</v>
      </c>
    </row>
    <row r="898" spans="1:2">
      <c r="A898" t="str">
        <f t="shared" ref="A898:A961" ca="1" si="28">CONCATENATE(INDIRECT(ADDRESS(ROW(),3)))</f>
        <v/>
      </c>
      <c r="B898">
        <f t="shared" ref="B898:B961" ca="1" si="29">IF(IF(INDIRECT(ADDRESS(ROW(),1))&lt;&gt;"",IF(ISNA(MATCH(LEFT(INDIRECT(ADDRESS(ROW(),1)),2),PCNG_MN,0))=TRUE,1,0),0)+IF(INDIRECT(ADDRESS(ROW(),1))&lt;&gt;"",IF(ISNA(MATCH(LEFT(INDIRECT(ADDRESS(ROW(),1)),3),PCNG_MN,0))=TRUE,1,0),0)+IF(INDIRECT(ADDRESS(ROW(),1))&lt;&gt;"",IF(ISNA(MATCH(LEFT(INDIRECT(ADDRESS(ROW(),1)),4),PCNG_MN,0))=TRUE,1,0),0)&gt;=3,1,0)</f>
        <v>0</v>
      </c>
    </row>
    <row r="899" spans="1:2">
      <c r="A899" t="str">
        <f t="shared" ca="1" si="28"/>
        <v/>
      </c>
      <c r="B899">
        <f t="shared" ca="1" si="29"/>
        <v>0</v>
      </c>
    </row>
    <row r="900" spans="1:2">
      <c r="A900" t="str">
        <f t="shared" ca="1" si="28"/>
        <v/>
      </c>
      <c r="B900">
        <f t="shared" ca="1" si="29"/>
        <v>0</v>
      </c>
    </row>
    <row r="901" spans="1:2">
      <c r="A901" t="str">
        <f t="shared" ca="1" si="28"/>
        <v/>
      </c>
      <c r="B901">
        <f t="shared" ca="1" si="29"/>
        <v>0</v>
      </c>
    </row>
    <row r="902" spans="1:2">
      <c r="A902" t="str">
        <f t="shared" ca="1" si="28"/>
        <v/>
      </c>
      <c r="B902">
        <f t="shared" ca="1" si="29"/>
        <v>0</v>
      </c>
    </row>
    <row r="903" spans="1:2">
      <c r="A903" t="str">
        <f t="shared" ca="1" si="28"/>
        <v/>
      </c>
      <c r="B903">
        <f t="shared" ca="1" si="29"/>
        <v>0</v>
      </c>
    </row>
    <row r="904" spans="1:2">
      <c r="A904" t="str">
        <f t="shared" ca="1" si="28"/>
        <v/>
      </c>
      <c r="B904">
        <f t="shared" ca="1" si="29"/>
        <v>0</v>
      </c>
    </row>
    <row r="905" spans="1:2">
      <c r="A905" t="str">
        <f t="shared" ca="1" si="28"/>
        <v/>
      </c>
      <c r="B905">
        <f t="shared" ca="1" si="29"/>
        <v>0</v>
      </c>
    </row>
    <row r="906" spans="1:2">
      <c r="A906" t="str">
        <f t="shared" ca="1" si="28"/>
        <v/>
      </c>
      <c r="B906">
        <f t="shared" ca="1" si="29"/>
        <v>0</v>
      </c>
    </row>
    <row r="907" spans="1:2">
      <c r="A907" t="str">
        <f t="shared" ca="1" si="28"/>
        <v/>
      </c>
      <c r="B907">
        <f t="shared" ca="1" si="29"/>
        <v>0</v>
      </c>
    </row>
    <row r="908" spans="1:2">
      <c r="A908" t="str">
        <f t="shared" ca="1" si="28"/>
        <v/>
      </c>
      <c r="B908">
        <f t="shared" ca="1" si="29"/>
        <v>0</v>
      </c>
    </row>
    <row r="909" spans="1:2">
      <c r="A909" t="str">
        <f t="shared" ca="1" si="28"/>
        <v/>
      </c>
      <c r="B909">
        <f t="shared" ca="1" si="29"/>
        <v>0</v>
      </c>
    </row>
    <row r="910" spans="1:2">
      <c r="A910" t="str">
        <f t="shared" ca="1" si="28"/>
        <v/>
      </c>
      <c r="B910">
        <f t="shared" ca="1" si="29"/>
        <v>0</v>
      </c>
    </row>
    <row r="911" spans="1:2">
      <c r="A911" t="str">
        <f t="shared" ca="1" si="28"/>
        <v/>
      </c>
      <c r="B911">
        <f t="shared" ca="1" si="29"/>
        <v>0</v>
      </c>
    </row>
    <row r="912" spans="1:2">
      <c r="A912" t="str">
        <f t="shared" ca="1" si="28"/>
        <v/>
      </c>
      <c r="B912">
        <f t="shared" ca="1" si="29"/>
        <v>0</v>
      </c>
    </row>
    <row r="913" spans="1:2">
      <c r="A913" t="str">
        <f t="shared" ca="1" si="28"/>
        <v/>
      </c>
      <c r="B913">
        <f t="shared" ca="1" si="29"/>
        <v>0</v>
      </c>
    </row>
    <row r="914" spans="1:2">
      <c r="A914" t="str">
        <f t="shared" ca="1" si="28"/>
        <v/>
      </c>
      <c r="B914">
        <f t="shared" ca="1" si="29"/>
        <v>0</v>
      </c>
    </row>
    <row r="915" spans="1:2">
      <c r="A915" t="str">
        <f t="shared" ca="1" si="28"/>
        <v/>
      </c>
      <c r="B915">
        <f t="shared" ca="1" si="29"/>
        <v>0</v>
      </c>
    </row>
    <row r="916" spans="1:2">
      <c r="A916" t="str">
        <f t="shared" ca="1" si="28"/>
        <v/>
      </c>
      <c r="B916">
        <f t="shared" ca="1" si="29"/>
        <v>0</v>
      </c>
    </row>
    <row r="917" spans="1:2">
      <c r="A917" t="str">
        <f t="shared" ca="1" si="28"/>
        <v/>
      </c>
      <c r="B917">
        <f t="shared" ca="1" si="29"/>
        <v>0</v>
      </c>
    </row>
    <row r="918" spans="1:2">
      <c r="A918" t="str">
        <f t="shared" ca="1" si="28"/>
        <v/>
      </c>
      <c r="B918">
        <f t="shared" ca="1" si="29"/>
        <v>0</v>
      </c>
    </row>
    <row r="919" spans="1:2">
      <c r="A919" t="str">
        <f t="shared" ca="1" si="28"/>
        <v/>
      </c>
      <c r="B919">
        <f t="shared" ca="1" si="29"/>
        <v>0</v>
      </c>
    </row>
    <row r="920" spans="1:2">
      <c r="A920" t="str">
        <f t="shared" ca="1" si="28"/>
        <v/>
      </c>
      <c r="B920">
        <f t="shared" ca="1" si="29"/>
        <v>0</v>
      </c>
    </row>
    <row r="921" spans="1:2">
      <c r="A921" t="str">
        <f t="shared" ca="1" si="28"/>
        <v/>
      </c>
      <c r="B921">
        <f t="shared" ca="1" si="29"/>
        <v>0</v>
      </c>
    </row>
    <row r="922" spans="1:2">
      <c r="A922" t="str">
        <f t="shared" ca="1" si="28"/>
        <v/>
      </c>
      <c r="B922">
        <f t="shared" ca="1" si="29"/>
        <v>0</v>
      </c>
    </row>
    <row r="923" spans="1:2">
      <c r="A923" t="str">
        <f t="shared" ca="1" si="28"/>
        <v/>
      </c>
      <c r="B923">
        <f t="shared" ca="1" si="29"/>
        <v>0</v>
      </c>
    </row>
    <row r="924" spans="1:2">
      <c r="A924" t="str">
        <f t="shared" ca="1" si="28"/>
        <v/>
      </c>
      <c r="B924">
        <f t="shared" ca="1" si="29"/>
        <v>0</v>
      </c>
    </row>
    <row r="925" spans="1:2">
      <c r="A925" t="str">
        <f t="shared" ca="1" si="28"/>
        <v/>
      </c>
      <c r="B925">
        <f t="shared" ca="1" si="29"/>
        <v>0</v>
      </c>
    </row>
    <row r="926" spans="1:2">
      <c r="A926" t="str">
        <f t="shared" ca="1" si="28"/>
        <v/>
      </c>
      <c r="B926">
        <f t="shared" ca="1" si="29"/>
        <v>0</v>
      </c>
    </row>
    <row r="927" spans="1:2">
      <c r="A927" t="str">
        <f t="shared" ca="1" si="28"/>
        <v/>
      </c>
      <c r="B927">
        <f t="shared" ca="1" si="29"/>
        <v>0</v>
      </c>
    </row>
    <row r="928" spans="1:2">
      <c r="A928" t="str">
        <f t="shared" ca="1" si="28"/>
        <v/>
      </c>
      <c r="B928">
        <f t="shared" ca="1" si="29"/>
        <v>0</v>
      </c>
    </row>
    <row r="929" spans="1:2">
      <c r="A929" t="str">
        <f t="shared" ca="1" si="28"/>
        <v/>
      </c>
      <c r="B929">
        <f t="shared" ca="1" si="29"/>
        <v>0</v>
      </c>
    </row>
    <row r="930" spans="1:2">
      <c r="A930" t="str">
        <f t="shared" ca="1" si="28"/>
        <v/>
      </c>
      <c r="B930">
        <f t="shared" ca="1" si="29"/>
        <v>0</v>
      </c>
    </row>
    <row r="931" spans="1:2">
      <c r="A931" t="str">
        <f t="shared" ca="1" si="28"/>
        <v/>
      </c>
      <c r="B931">
        <f t="shared" ca="1" si="29"/>
        <v>0</v>
      </c>
    </row>
    <row r="932" spans="1:2">
      <c r="A932" t="str">
        <f t="shared" ca="1" si="28"/>
        <v/>
      </c>
      <c r="B932">
        <f t="shared" ca="1" si="29"/>
        <v>0</v>
      </c>
    </row>
    <row r="933" spans="1:2">
      <c r="A933" t="str">
        <f t="shared" ca="1" si="28"/>
        <v/>
      </c>
      <c r="B933">
        <f t="shared" ca="1" si="29"/>
        <v>0</v>
      </c>
    </row>
    <row r="934" spans="1:2">
      <c r="A934" t="str">
        <f t="shared" ca="1" si="28"/>
        <v/>
      </c>
      <c r="B934">
        <f t="shared" ca="1" si="29"/>
        <v>0</v>
      </c>
    </row>
    <row r="935" spans="1:2">
      <c r="A935" t="str">
        <f t="shared" ca="1" si="28"/>
        <v/>
      </c>
      <c r="B935">
        <f t="shared" ca="1" si="29"/>
        <v>0</v>
      </c>
    </row>
    <row r="936" spans="1:2">
      <c r="A936" t="str">
        <f t="shared" ca="1" si="28"/>
        <v/>
      </c>
      <c r="B936">
        <f t="shared" ca="1" si="29"/>
        <v>0</v>
      </c>
    </row>
    <row r="937" spans="1:2">
      <c r="A937" t="str">
        <f t="shared" ca="1" si="28"/>
        <v/>
      </c>
      <c r="B937">
        <f t="shared" ca="1" si="29"/>
        <v>0</v>
      </c>
    </row>
    <row r="938" spans="1:2">
      <c r="A938" t="str">
        <f t="shared" ca="1" si="28"/>
        <v/>
      </c>
      <c r="B938">
        <f t="shared" ca="1" si="29"/>
        <v>0</v>
      </c>
    </row>
    <row r="939" spans="1:2">
      <c r="A939" t="str">
        <f t="shared" ca="1" si="28"/>
        <v/>
      </c>
      <c r="B939">
        <f t="shared" ca="1" si="29"/>
        <v>0</v>
      </c>
    </row>
    <row r="940" spans="1:2">
      <c r="A940" t="str">
        <f t="shared" ca="1" si="28"/>
        <v/>
      </c>
      <c r="B940">
        <f t="shared" ca="1" si="29"/>
        <v>0</v>
      </c>
    </row>
    <row r="941" spans="1:2">
      <c r="A941" t="str">
        <f t="shared" ca="1" si="28"/>
        <v/>
      </c>
      <c r="B941">
        <f t="shared" ca="1" si="29"/>
        <v>0</v>
      </c>
    </row>
    <row r="942" spans="1:2">
      <c r="A942" t="str">
        <f t="shared" ca="1" si="28"/>
        <v/>
      </c>
      <c r="B942">
        <f t="shared" ca="1" si="29"/>
        <v>0</v>
      </c>
    </row>
    <row r="943" spans="1:2">
      <c r="A943" t="str">
        <f t="shared" ca="1" si="28"/>
        <v/>
      </c>
      <c r="B943">
        <f t="shared" ca="1" si="29"/>
        <v>0</v>
      </c>
    </row>
    <row r="944" spans="1:2">
      <c r="A944" t="str">
        <f t="shared" ca="1" si="28"/>
        <v/>
      </c>
      <c r="B944">
        <f t="shared" ca="1" si="29"/>
        <v>0</v>
      </c>
    </row>
    <row r="945" spans="1:2">
      <c r="A945" t="str">
        <f t="shared" ca="1" si="28"/>
        <v/>
      </c>
      <c r="B945">
        <f t="shared" ca="1" si="29"/>
        <v>0</v>
      </c>
    </row>
    <row r="946" spans="1:2">
      <c r="A946" t="str">
        <f t="shared" ca="1" si="28"/>
        <v/>
      </c>
      <c r="B946">
        <f t="shared" ca="1" si="29"/>
        <v>0</v>
      </c>
    </row>
    <row r="947" spans="1:2">
      <c r="A947" t="str">
        <f t="shared" ca="1" si="28"/>
        <v/>
      </c>
      <c r="B947">
        <f t="shared" ca="1" si="29"/>
        <v>0</v>
      </c>
    </row>
    <row r="948" spans="1:2">
      <c r="A948" t="str">
        <f t="shared" ca="1" si="28"/>
        <v/>
      </c>
      <c r="B948">
        <f t="shared" ca="1" si="29"/>
        <v>0</v>
      </c>
    </row>
    <row r="949" spans="1:2">
      <c r="A949" t="str">
        <f t="shared" ca="1" si="28"/>
        <v/>
      </c>
      <c r="B949">
        <f t="shared" ca="1" si="29"/>
        <v>0</v>
      </c>
    </row>
    <row r="950" spans="1:2">
      <c r="A950" t="str">
        <f t="shared" ca="1" si="28"/>
        <v/>
      </c>
      <c r="B950">
        <f t="shared" ca="1" si="29"/>
        <v>0</v>
      </c>
    </row>
    <row r="951" spans="1:2">
      <c r="A951" t="str">
        <f t="shared" ca="1" si="28"/>
        <v/>
      </c>
      <c r="B951">
        <f t="shared" ca="1" si="29"/>
        <v>0</v>
      </c>
    </row>
    <row r="952" spans="1:2">
      <c r="A952" t="str">
        <f t="shared" ca="1" si="28"/>
        <v/>
      </c>
      <c r="B952">
        <f t="shared" ca="1" si="29"/>
        <v>0</v>
      </c>
    </row>
    <row r="953" spans="1:2">
      <c r="A953" t="str">
        <f t="shared" ca="1" si="28"/>
        <v/>
      </c>
      <c r="B953">
        <f t="shared" ca="1" si="29"/>
        <v>0</v>
      </c>
    </row>
    <row r="954" spans="1:2">
      <c r="A954" t="str">
        <f t="shared" ca="1" si="28"/>
        <v/>
      </c>
      <c r="B954">
        <f t="shared" ca="1" si="29"/>
        <v>0</v>
      </c>
    </row>
    <row r="955" spans="1:2">
      <c r="A955" t="str">
        <f t="shared" ca="1" si="28"/>
        <v/>
      </c>
      <c r="B955">
        <f t="shared" ca="1" si="29"/>
        <v>0</v>
      </c>
    </row>
    <row r="956" spans="1:2">
      <c r="A956" t="str">
        <f t="shared" ca="1" si="28"/>
        <v/>
      </c>
      <c r="B956">
        <f t="shared" ca="1" si="29"/>
        <v>0</v>
      </c>
    </row>
    <row r="957" spans="1:2">
      <c r="A957" t="str">
        <f t="shared" ca="1" si="28"/>
        <v/>
      </c>
      <c r="B957">
        <f t="shared" ca="1" si="29"/>
        <v>0</v>
      </c>
    </row>
    <row r="958" spans="1:2">
      <c r="A958" t="str">
        <f t="shared" ca="1" si="28"/>
        <v/>
      </c>
      <c r="B958">
        <f t="shared" ca="1" si="29"/>
        <v>0</v>
      </c>
    </row>
    <row r="959" spans="1:2">
      <c r="A959" t="str">
        <f t="shared" ca="1" si="28"/>
        <v/>
      </c>
      <c r="B959">
        <f t="shared" ca="1" si="29"/>
        <v>0</v>
      </c>
    </row>
    <row r="960" spans="1:2">
      <c r="A960" t="str">
        <f t="shared" ca="1" si="28"/>
        <v/>
      </c>
      <c r="B960">
        <f t="shared" ca="1" si="29"/>
        <v>0</v>
      </c>
    </row>
    <row r="961" spans="1:2">
      <c r="A961" t="str">
        <f t="shared" ca="1" si="28"/>
        <v/>
      </c>
      <c r="B961">
        <f t="shared" ca="1" si="29"/>
        <v>0</v>
      </c>
    </row>
    <row r="962" spans="1:2">
      <c r="A962" t="str">
        <f t="shared" ref="A962:A1025" ca="1" si="30">CONCATENATE(INDIRECT(ADDRESS(ROW(),3)))</f>
        <v/>
      </c>
      <c r="B962">
        <f t="shared" ref="B962:B1025" ca="1" si="31">IF(IF(INDIRECT(ADDRESS(ROW(),1))&lt;&gt;"",IF(ISNA(MATCH(LEFT(INDIRECT(ADDRESS(ROW(),1)),2),PCNG_MN,0))=TRUE,1,0),0)+IF(INDIRECT(ADDRESS(ROW(),1))&lt;&gt;"",IF(ISNA(MATCH(LEFT(INDIRECT(ADDRESS(ROW(),1)),3),PCNG_MN,0))=TRUE,1,0),0)+IF(INDIRECT(ADDRESS(ROW(),1))&lt;&gt;"",IF(ISNA(MATCH(LEFT(INDIRECT(ADDRESS(ROW(),1)),4),PCNG_MN,0))=TRUE,1,0),0)&gt;=3,1,0)</f>
        <v>0</v>
      </c>
    </row>
    <row r="963" spans="1:2">
      <c r="A963" t="str">
        <f t="shared" ca="1" si="30"/>
        <v/>
      </c>
      <c r="B963">
        <f t="shared" ca="1" si="31"/>
        <v>0</v>
      </c>
    </row>
    <row r="964" spans="1:2">
      <c r="A964" t="str">
        <f t="shared" ca="1" si="30"/>
        <v/>
      </c>
      <c r="B964">
        <f t="shared" ca="1" si="31"/>
        <v>0</v>
      </c>
    </row>
    <row r="965" spans="1:2">
      <c r="A965" t="str">
        <f t="shared" ca="1" si="30"/>
        <v/>
      </c>
      <c r="B965">
        <f t="shared" ca="1" si="31"/>
        <v>0</v>
      </c>
    </row>
    <row r="966" spans="1:2">
      <c r="A966" t="str">
        <f t="shared" ca="1" si="30"/>
        <v/>
      </c>
      <c r="B966">
        <f t="shared" ca="1" si="31"/>
        <v>0</v>
      </c>
    </row>
    <row r="967" spans="1:2">
      <c r="A967" t="str">
        <f t="shared" ca="1" si="30"/>
        <v/>
      </c>
      <c r="B967">
        <f t="shared" ca="1" si="31"/>
        <v>0</v>
      </c>
    </row>
    <row r="968" spans="1:2">
      <c r="A968" t="str">
        <f t="shared" ca="1" si="30"/>
        <v/>
      </c>
      <c r="B968">
        <f t="shared" ca="1" si="31"/>
        <v>0</v>
      </c>
    </row>
    <row r="969" spans="1:2">
      <c r="A969" t="str">
        <f t="shared" ca="1" si="30"/>
        <v/>
      </c>
      <c r="B969">
        <f t="shared" ca="1" si="31"/>
        <v>0</v>
      </c>
    </row>
    <row r="970" spans="1:2">
      <c r="A970" t="str">
        <f t="shared" ca="1" si="30"/>
        <v/>
      </c>
      <c r="B970">
        <f t="shared" ca="1" si="31"/>
        <v>0</v>
      </c>
    </row>
    <row r="971" spans="1:2">
      <c r="A971" t="str">
        <f t="shared" ca="1" si="30"/>
        <v/>
      </c>
      <c r="B971">
        <f t="shared" ca="1" si="31"/>
        <v>0</v>
      </c>
    </row>
    <row r="972" spans="1:2">
      <c r="A972" t="str">
        <f t="shared" ca="1" si="30"/>
        <v/>
      </c>
      <c r="B972">
        <f t="shared" ca="1" si="31"/>
        <v>0</v>
      </c>
    </row>
    <row r="973" spans="1:2">
      <c r="A973" t="str">
        <f t="shared" ca="1" si="30"/>
        <v/>
      </c>
      <c r="B973">
        <f t="shared" ca="1" si="31"/>
        <v>0</v>
      </c>
    </row>
    <row r="974" spans="1:2">
      <c r="A974" t="str">
        <f t="shared" ca="1" si="30"/>
        <v/>
      </c>
      <c r="B974">
        <f t="shared" ca="1" si="31"/>
        <v>0</v>
      </c>
    </row>
    <row r="975" spans="1:2">
      <c r="A975" t="str">
        <f t="shared" ca="1" si="30"/>
        <v/>
      </c>
      <c r="B975">
        <f t="shared" ca="1" si="31"/>
        <v>0</v>
      </c>
    </row>
    <row r="976" spans="1:2">
      <c r="A976" t="str">
        <f t="shared" ca="1" si="30"/>
        <v/>
      </c>
      <c r="B976">
        <f t="shared" ca="1" si="31"/>
        <v>0</v>
      </c>
    </row>
    <row r="977" spans="1:2">
      <c r="A977" t="str">
        <f t="shared" ca="1" si="30"/>
        <v/>
      </c>
      <c r="B977">
        <f t="shared" ca="1" si="31"/>
        <v>0</v>
      </c>
    </row>
    <row r="978" spans="1:2">
      <c r="A978" t="str">
        <f t="shared" ca="1" si="30"/>
        <v/>
      </c>
      <c r="B978">
        <f t="shared" ca="1" si="31"/>
        <v>0</v>
      </c>
    </row>
    <row r="979" spans="1:2">
      <c r="A979" t="str">
        <f t="shared" ca="1" si="30"/>
        <v/>
      </c>
      <c r="B979">
        <f t="shared" ca="1" si="31"/>
        <v>0</v>
      </c>
    </row>
    <row r="980" spans="1:2">
      <c r="A980" t="str">
        <f t="shared" ca="1" si="30"/>
        <v/>
      </c>
      <c r="B980">
        <f t="shared" ca="1" si="31"/>
        <v>0</v>
      </c>
    </row>
    <row r="981" spans="1:2">
      <c r="A981" t="str">
        <f t="shared" ca="1" si="30"/>
        <v/>
      </c>
      <c r="B981">
        <f t="shared" ca="1" si="31"/>
        <v>0</v>
      </c>
    </row>
    <row r="982" spans="1:2">
      <c r="A982" t="str">
        <f t="shared" ca="1" si="30"/>
        <v/>
      </c>
      <c r="B982">
        <f t="shared" ca="1" si="31"/>
        <v>0</v>
      </c>
    </row>
    <row r="983" spans="1:2">
      <c r="A983" t="str">
        <f t="shared" ca="1" si="30"/>
        <v/>
      </c>
      <c r="B983">
        <f t="shared" ca="1" si="31"/>
        <v>0</v>
      </c>
    </row>
    <row r="984" spans="1:2">
      <c r="A984" t="str">
        <f t="shared" ca="1" si="30"/>
        <v/>
      </c>
      <c r="B984">
        <f t="shared" ca="1" si="31"/>
        <v>0</v>
      </c>
    </row>
    <row r="985" spans="1:2">
      <c r="A985" t="str">
        <f t="shared" ca="1" si="30"/>
        <v/>
      </c>
      <c r="B985">
        <f t="shared" ca="1" si="31"/>
        <v>0</v>
      </c>
    </row>
    <row r="986" spans="1:2">
      <c r="A986" t="str">
        <f t="shared" ca="1" si="30"/>
        <v/>
      </c>
      <c r="B986">
        <f t="shared" ca="1" si="31"/>
        <v>0</v>
      </c>
    </row>
    <row r="987" spans="1:2">
      <c r="A987" t="str">
        <f t="shared" ca="1" si="30"/>
        <v/>
      </c>
      <c r="B987">
        <f t="shared" ca="1" si="31"/>
        <v>0</v>
      </c>
    </row>
    <row r="988" spans="1:2">
      <c r="A988" t="str">
        <f t="shared" ca="1" si="30"/>
        <v/>
      </c>
      <c r="B988">
        <f t="shared" ca="1" si="31"/>
        <v>0</v>
      </c>
    </row>
    <row r="989" spans="1:2">
      <c r="A989" t="str">
        <f t="shared" ca="1" si="30"/>
        <v/>
      </c>
      <c r="B989">
        <f t="shared" ca="1" si="31"/>
        <v>0</v>
      </c>
    </row>
    <row r="990" spans="1:2">
      <c r="A990" t="str">
        <f t="shared" ca="1" si="30"/>
        <v/>
      </c>
      <c r="B990">
        <f t="shared" ca="1" si="31"/>
        <v>0</v>
      </c>
    </row>
    <row r="991" spans="1:2">
      <c r="A991" t="str">
        <f t="shared" ca="1" si="30"/>
        <v/>
      </c>
      <c r="B991">
        <f t="shared" ca="1" si="31"/>
        <v>0</v>
      </c>
    </row>
    <row r="992" spans="1:2">
      <c r="A992" t="str">
        <f t="shared" ca="1" si="30"/>
        <v/>
      </c>
      <c r="B992">
        <f t="shared" ca="1" si="31"/>
        <v>0</v>
      </c>
    </row>
    <row r="993" spans="1:4">
      <c r="A993" t="str">
        <f t="shared" ca="1" si="30"/>
        <v/>
      </c>
      <c r="B993">
        <f t="shared" ca="1" si="31"/>
        <v>0</v>
      </c>
    </row>
    <row r="994" spans="1:4">
      <c r="A994" t="str">
        <f t="shared" ca="1" si="30"/>
        <v/>
      </c>
      <c r="B994">
        <f t="shared" ca="1" si="31"/>
        <v>0</v>
      </c>
    </row>
    <row r="995" spans="1:4">
      <c r="A995" t="str">
        <f t="shared" ca="1" si="30"/>
        <v/>
      </c>
      <c r="B995">
        <f t="shared" ca="1" si="31"/>
        <v>0</v>
      </c>
    </row>
    <row r="996" spans="1:4">
      <c r="A996" t="str">
        <f t="shared" ca="1" si="30"/>
        <v/>
      </c>
      <c r="B996">
        <f t="shared" ca="1" si="31"/>
        <v>0</v>
      </c>
    </row>
    <row r="997" spans="1:4">
      <c r="A997" t="str">
        <f t="shared" ca="1" si="30"/>
        <v/>
      </c>
      <c r="B997">
        <f t="shared" ca="1" si="31"/>
        <v>0</v>
      </c>
    </row>
    <row r="998" spans="1:4">
      <c r="A998" t="str">
        <f t="shared" ca="1" si="30"/>
        <v/>
      </c>
      <c r="B998">
        <f t="shared" ca="1" si="31"/>
        <v>0</v>
      </c>
    </row>
    <row r="999" spans="1:4">
      <c r="A999" t="str">
        <f t="shared" ca="1" si="30"/>
        <v/>
      </c>
      <c r="B999">
        <f t="shared" ca="1" si="31"/>
        <v>0</v>
      </c>
    </row>
    <row r="1000" spans="1:4">
      <c r="A1000" t="str">
        <f t="shared" ca="1" si="30"/>
        <v/>
      </c>
      <c r="B1000">
        <f t="shared" ca="1" si="31"/>
        <v>0</v>
      </c>
    </row>
    <row r="1001" spans="1:4">
      <c r="A1001" t="str">
        <f t="shared" ca="1" si="30"/>
        <v/>
      </c>
      <c r="B1001">
        <f t="shared" ca="1" si="31"/>
        <v>0</v>
      </c>
      <c r="D1001" s="615"/>
    </row>
    <row r="1002" spans="1:4">
      <c r="A1002" t="str">
        <f t="shared" ca="1" si="30"/>
        <v/>
      </c>
      <c r="B1002">
        <f t="shared" ca="1" si="31"/>
        <v>0</v>
      </c>
    </row>
    <row r="1003" spans="1:4">
      <c r="A1003" t="str">
        <f t="shared" ca="1" si="30"/>
        <v/>
      </c>
      <c r="B1003">
        <f t="shared" ca="1" si="31"/>
        <v>0</v>
      </c>
    </row>
    <row r="1004" spans="1:4">
      <c r="A1004" t="str">
        <f t="shared" ca="1" si="30"/>
        <v/>
      </c>
      <c r="B1004">
        <f t="shared" ca="1" si="31"/>
        <v>0</v>
      </c>
    </row>
    <row r="1005" spans="1:4">
      <c r="A1005" t="str">
        <f t="shared" ca="1" si="30"/>
        <v/>
      </c>
      <c r="B1005">
        <f t="shared" ca="1" si="31"/>
        <v>0</v>
      </c>
    </row>
    <row r="1006" spans="1:4">
      <c r="A1006" t="str">
        <f t="shared" ca="1" si="30"/>
        <v/>
      </c>
      <c r="B1006">
        <f t="shared" ca="1" si="31"/>
        <v>0</v>
      </c>
    </row>
    <row r="1007" spans="1:4">
      <c r="A1007" t="str">
        <f t="shared" ca="1" si="30"/>
        <v/>
      </c>
      <c r="B1007">
        <f t="shared" ca="1" si="31"/>
        <v>0</v>
      </c>
    </row>
    <row r="1008" spans="1:4">
      <c r="A1008" t="str">
        <f t="shared" ca="1" si="30"/>
        <v/>
      </c>
      <c r="B1008">
        <f t="shared" ca="1" si="31"/>
        <v>0</v>
      </c>
    </row>
    <row r="1009" spans="1:2">
      <c r="A1009" t="str">
        <f t="shared" ca="1" si="30"/>
        <v/>
      </c>
      <c r="B1009">
        <f t="shared" ca="1" si="31"/>
        <v>0</v>
      </c>
    </row>
    <row r="1010" spans="1:2">
      <c r="A1010" t="str">
        <f t="shared" ca="1" si="30"/>
        <v/>
      </c>
      <c r="B1010">
        <f t="shared" ca="1" si="31"/>
        <v>0</v>
      </c>
    </row>
    <row r="1011" spans="1:2">
      <c r="A1011" t="str">
        <f t="shared" ca="1" si="30"/>
        <v/>
      </c>
      <c r="B1011">
        <f t="shared" ca="1" si="31"/>
        <v>0</v>
      </c>
    </row>
    <row r="1012" spans="1:2">
      <c r="A1012" t="str">
        <f t="shared" ca="1" si="30"/>
        <v/>
      </c>
      <c r="B1012">
        <f t="shared" ca="1" si="31"/>
        <v>0</v>
      </c>
    </row>
    <row r="1013" spans="1:2">
      <c r="A1013" t="str">
        <f t="shared" ca="1" si="30"/>
        <v/>
      </c>
      <c r="B1013">
        <f t="shared" ca="1" si="31"/>
        <v>0</v>
      </c>
    </row>
    <row r="1014" spans="1:2">
      <c r="A1014" t="str">
        <f t="shared" ca="1" si="30"/>
        <v/>
      </c>
      <c r="B1014">
        <f t="shared" ca="1" si="31"/>
        <v>0</v>
      </c>
    </row>
    <row r="1015" spans="1:2">
      <c r="A1015" t="str">
        <f t="shared" ca="1" si="30"/>
        <v/>
      </c>
      <c r="B1015">
        <f t="shared" ca="1" si="31"/>
        <v>0</v>
      </c>
    </row>
    <row r="1016" spans="1:2">
      <c r="A1016" t="str">
        <f t="shared" ca="1" si="30"/>
        <v/>
      </c>
      <c r="B1016">
        <f t="shared" ca="1" si="31"/>
        <v>0</v>
      </c>
    </row>
    <row r="1017" spans="1:2">
      <c r="A1017" t="str">
        <f t="shared" ca="1" si="30"/>
        <v/>
      </c>
      <c r="B1017">
        <f t="shared" ca="1" si="31"/>
        <v>0</v>
      </c>
    </row>
    <row r="1018" spans="1:2">
      <c r="A1018" t="str">
        <f t="shared" ca="1" si="30"/>
        <v/>
      </c>
      <c r="B1018">
        <f t="shared" ca="1" si="31"/>
        <v>0</v>
      </c>
    </row>
    <row r="1019" spans="1:2">
      <c r="A1019" t="str">
        <f t="shared" ca="1" si="30"/>
        <v/>
      </c>
      <c r="B1019">
        <f t="shared" ca="1" si="31"/>
        <v>0</v>
      </c>
    </row>
    <row r="1020" spans="1:2">
      <c r="A1020" t="str">
        <f t="shared" ca="1" si="30"/>
        <v/>
      </c>
      <c r="B1020">
        <f t="shared" ca="1" si="31"/>
        <v>0</v>
      </c>
    </row>
    <row r="1021" spans="1:2">
      <c r="A1021" t="str">
        <f t="shared" ca="1" si="30"/>
        <v/>
      </c>
      <c r="B1021">
        <f t="shared" ca="1" si="31"/>
        <v>0</v>
      </c>
    </row>
    <row r="1022" spans="1:2">
      <c r="A1022" t="str">
        <f t="shared" ca="1" si="30"/>
        <v/>
      </c>
      <c r="B1022">
        <f t="shared" ca="1" si="31"/>
        <v>0</v>
      </c>
    </row>
    <row r="1023" spans="1:2">
      <c r="A1023" t="str">
        <f t="shared" ca="1" si="30"/>
        <v/>
      </c>
      <c r="B1023">
        <f t="shared" ca="1" si="31"/>
        <v>0</v>
      </c>
    </row>
    <row r="1024" spans="1:2">
      <c r="A1024" t="str">
        <f t="shared" ca="1" si="30"/>
        <v/>
      </c>
      <c r="B1024">
        <f t="shared" ca="1" si="31"/>
        <v>0</v>
      </c>
    </row>
    <row r="1025" spans="1:2">
      <c r="A1025" t="str">
        <f t="shared" ca="1" si="30"/>
        <v/>
      </c>
      <c r="B1025">
        <f t="shared" ca="1" si="31"/>
        <v>0</v>
      </c>
    </row>
    <row r="1026" spans="1:2">
      <c r="A1026" t="str">
        <f t="shared" ref="A1026:A1089" ca="1" si="32">CONCATENATE(INDIRECT(ADDRESS(ROW(),3)))</f>
        <v/>
      </c>
      <c r="B1026">
        <f t="shared" ref="B1026:B1089" ca="1" si="33">IF(IF(INDIRECT(ADDRESS(ROW(),1))&lt;&gt;"",IF(ISNA(MATCH(LEFT(INDIRECT(ADDRESS(ROW(),1)),2),PCNG_MN,0))=TRUE,1,0),0)+IF(INDIRECT(ADDRESS(ROW(),1))&lt;&gt;"",IF(ISNA(MATCH(LEFT(INDIRECT(ADDRESS(ROW(),1)),3),PCNG_MN,0))=TRUE,1,0),0)+IF(INDIRECT(ADDRESS(ROW(),1))&lt;&gt;"",IF(ISNA(MATCH(LEFT(INDIRECT(ADDRESS(ROW(),1)),4),PCNG_MN,0))=TRUE,1,0),0)&gt;=3,1,0)</f>
        <v>0</v>
      </c>
    </row>
    <row r="1027" spans="1:2">
      <c r="A1027" t="str">
        <f t="shared" ca="1" si="32"/>
        <v/>
      </c>
      <c r="B1027">
        <f t="shared" ca="1" si="33"/>
        <v>0</v>
      </c>
    </row>
    <row r="1028" spans="1:2">
      <c r="A1028" t="str">
        <f t="shared" ca="1" si="32"/>
        <v/>
      </c>
      <c r="B1028">
        <f t="shared" ca="1" si="33"/>
        <v>0</v>
      </c>
    </row>
    <row r="1029" spans="1:2">
      <c r="A1029" t="str">
        <f t="shared" ca="1" si="32"/>
        <v/>
      </c>
      <c r="B1029">
        <f t="shared" ca="1" si="33"/>
        <v>0</v>
      </c>
    </row>
    <row r="1030" spans="1:2">
      <c r="A1030" t="str">
        <f t="shared" ca="1" si="32"/>
        <v/>
      </c>
      <c r="B1030">
        <f t="shared" ca="1" si="33"/>
        <v>0</v>
      </c>
    </row>
    <row r="1031" spans="1:2">
      <c r="A1031" t="str">
        <f t="shared" ca="1" si="32"/>
        <v/>
      </c>
      <c r="B1031">
        <f t="shared" ca="1" si="33"/>
        <v>0</v>
      </c>
    </row>
    <row r="1032" spans="1:2">
      <c r="A1032" t="str">
        <f t="shared" ca="1" si="32"/>
        <v/>
      </c>
      <c r="B1032">
        <f t="shared" ca="1" si="33"/>
        <v>0</v>
      </c>
    </row>
    <row r="1033" spans="1:2">
      <c r="A1033" t="str">
        <f t="shared" ca="1" si="32"/>
        <v/>
      </c>
      <c r="B1033">
        <f t="shared" ca="1" si="33"/>
        <v>0</v>
      </c>
    </row>
    <row r="1034" spans="1:2">
      <c r="A1034" t="str">
        <f t="shared" ca="1" si="32"/>
        <v/>
      </c>
      <c r="B1034">
        <f t="shared" ca="1" si="33"/>
        <v>0</v>
      </c>
    </row>
    <row r="1035" spans="1:2">
      <c r="A1035" t="str">
        <f t="shared" ca="1" si="32"/>
        <v/>
      </c>
      <c r="B1035">
        <f t="shared" ca="1" si="33"/>
        <v>0</v>
      </c>
    </row>
    <row r="1036" spans="1:2">
      <c r="A1036" t="str">
        <f t="shared" ca="1" si="32"/>
        <v/>
      </c>
      <c r="B1036">
        <f t="shared" ca="1" si="33"/>
        <v>0</v>
      </c>
    </row>
    <row r="1037" spans="1:2">
      <c r="A1037" t="str">
        <f t="shared" ca="1" si="32"/>
        <v/>
      </c>
      <c r="B1037">
        <f t="shared" ca="1" si="33"/>
        <v>0</v>
      </c>
    </row>
    <row r="1038" spans="1:2">
      <c r="A1038" t="str">
        <f t="shared" ca="1" si="32"/>
        <v/>
      </c>
      <c r="B1038">
        <f t="shared" ca="1" si="33"/>
        <v>0</v>
      </c>
    </row>
    <row r="1039" spans="1:2">
      <c r="A1039" t="str">
        <f t="shared" ca="1" si="32"/>
        <v/>
      </c>
      <c r="B1039">
        <f t="shared" ca="1" si="33"/>
        <v>0</v>
      </c>
    </row>
    <row r="1040" spans="1:2">
      <c r="A1040" t="str">
        <f t="shared" ca="1" si="32"/>
        <v/>
      </c>
      <c r="B1040">
        <f t="shared" ca="1" si="33"/>
        <v>0</v>
      </c>
    </row>
    <row r="1041" spans="1:2">
      <c r="A1041" t="str">
        <f t="shared" ca="1" si="32"/>
        <v/>
      </c>
      <c r="B1041">
        <f t="shared" ca="1" si="33"/>
        <v>0</v>
      </c>
    </row>
    <row r="1042" spans="1:2">
      <c r="A1042" t="str">
        <f t="shared" ca="1" si="32"/>
        <v/>
      </c>
      <c r="B1042">
        <f t="shared" ca="1" si="33"/>
        <v>0</v>
      </c>
    </row>
    <row r="1043" spans="1:2">
      <c r="A1043" t="str">
        <f t="shared" ca="1" si="32"/>
        <v/>
      </c>
      <c r="B1043">
        <f t="shared" ca="1" si="33"/>
        <v>0</v>
      </c>
    </row>
    <row r="1044" spans="1:2">
      <c r="A1044" t="str">
        <f t="shared" ca="1" si="32"/>
        <v/>
      </c>
      <c r="B1044">
        <f t="shared" ca="1" si="33"/>
        <v>0</v>
      </c>
    </row>
    <row r="1045" spans="1:2">
      <c r="A1045" t="str">
        <f t="shared" ca="1" si="32"/>
        <v/>
      </c>
      <c r="B1045">
        <f t="shared" ca="1" si="33"/>
        <v>0</v>
      </c>
    </row>
    <row r="1046" spans="1:2">
      <c r="A1046" t="str">
        <f t="shared" ca="1" si="32"/>
        <v/>
      </c>
      <c r="B1046">
        <f t="shared" ca="1" si="33"/>
        <v>0</v>
      </c>
    </row>
    <row r="1047" spans="1:2">
      <c r="A1047" t="str">
        <f t="shared" ca="1" si="32"/>
        <v/>
      </c>
      <c r="B1047">
        <f t="shared" ca="1" si="33"/>
        <v>0</v>
      </c>
    </row>
    <row r="1048" spans="1:2">
      <c r="A1048" t="str">
        <f t="shared" ca="1" si="32"/>
        <v/>
      </c>
      <c r="B1048">
        <f t="shared" ca="1" si="33"/>
        <v>0</v>
      </c>
    </row>
    <row r="1049" spans="1:2">
      <c r="A1049" t="str">
        <f t="shared" ca="1" si="32"/>
        <v/>
      </c>
      <c r="B1049">
        <f t="shared" ca="1" si="33"/>
        <v>0</v>
      </c>
    </row>
    <row r="1050" spans="1:2">
      <c r="A1050" t="str">
        <f t="shared" ca="1" si="32"/>
        <v/>
      </c>
      <c r="B1050">
        <f t="shared" ca="1" si="33"/>
        <v>0</v>
      </c>
    </row>
    <row r="1051" spans="1:2">
      <c r="A1051" t="str">
        <f t="shared" ca="1" si="32"/>
        <v/>
      </c>
      <c r="B1051">
        <f t="shared" ca="1" si="33"/>
        <v>0</v>
      </c>
    </row>
    <row r="1052" spans="1:2">
      <c r="A1052" t="str">
        <f t="shared" ca="1" si="32"/>
        <v/>
      </c>
      <c r="B1052">
        <f t="shared" ca="1" si="33"/>
        <v>0</v>
      </c>
    </row>
    <row r="1053" spans="1:2">
      <c r="A1053" t="str">
        <f t="shared" ca="1" si="32"/>
        <v/>
      </c>
      <c r="B1053">
        <f t="shared" ca="1" si="33"/>
        <v>0</v>
      </c>
    </row>
    <row r="1054" spans="1:2">
      <c r="A1054" t="str">
        <f t="shared" ca="1" si="32"/>
        <v/>
      </c>
      <c r="B1054">
        <f t="shared" ca="1" si="33"/>
        <v>0</v>
      </c>
    </row>
    <row r="1055" spans="1:2">
      <c r="A1055" t="str">
        <f t="shared" ca="1" si="32"/>
        <v/>
      </c>
      <c r="B1055">
        <f t="shared" ca="1" si="33"/>
        <v>0</v>
      </c>
    </row>
    <row r="1056" spans="1:2">
      <c r="A1056" t="str">
        <f t="shared" ca="1" si="32"/>
        <v/>
      </c>
      <c r="B1056">
        <f t="shared" ca="1" si="33"/>
        <v>0</v>
      </c>
    </row>
    <row r="1057" spans="1:2">
      <c r="A1057" t="str">
        <f t="shared" ca="1" si="32"/>
        <v/>
      </c>
      <c r="B1057">
        <f t="shared" ca="1" si="33"/>
        <v>0</v>
      </c>
    </row>
    <row r="1058" spans="1:2">
      <c r="A1058" t="str">
        <f t="shared" ca="1" si="32"/>
        <v/>
      </c>
      <c r="B1058">
        <f t="shared" ca="1" si="33"/>
        <v>0</v>
      </c>
    </row>
    <row r="1059" spans="1:2">
      <c r="A1059" t="str">
        <f t="shared" ca="1" si="32"/>
        <v/>
      </c>
      <c r="B1059">
        <f t="shared" ca="1" si="33"/>
        <v>0</v>
      </c>
    </row>
    <row r="1060" spans="1:2">
      <c r="A1060" t="str">
        <f t="shared" ca="1" si="32"/>
        <v/>
      </c>
      <c r="B1060">
        <f t="shared" ca="1" si="33"/>
        <v>0</v>
      </c>
    </row>
    <row r="1061" spans="1:2">
      <c r="A1061" t="str">
        <f t="shared" ca="1" si="32"/>
        <v/>
      </c>
      <c r="B1061">
        <f t="shared" ca="1" si="33"/>
        <v>0</v>
      </c>
    </row>
    <row r="1062" spans="1:2">
      <c r="A1062" t="str">
        <f t="shared" ca="1" si="32"/>
        <v/>
      </c>
      <c r="B1062">
        <f t="shared" ca="1" si="33"/>
        <v>0</v>
      </c>
    </row>
    <row r="1063" spans="1:2">
      <c r="A1063" t="str">
        <f t="shared" ca="1" si="32"/>
        <v/>
      </c>
      <c r="B1063">
        <f t="shared" ca="1" si="33"/>
        <v>0</v>
      </c>
    </row>
    <row r="1064" spans="1:2">
      <c r="A1064" t="str">
        <f t="shared" ca="1" si="32"/>
        <v/>
      </c>
      <c r="B1064">
        <f t="shared" ca="1" si="33"/>
        <v>0</v>
      </c>
    </row>
    <row r="1065" spans="1:2">
      <c r="A1065" t="str">
        <f t="shared" ca="1" si="32"/>
        <v/>
      </c>
      <c r="B1065">
        <f t="shared" ca="1" si="33"/>
        <v>0</v>
      </c>
    </row>
    <row r="1066" spans="1:2">
      <c r="A1066" t="str">
        <f t="shared" ca="1" si="32"/>
        <v/>
      </c>
      <c r="B1066">
        <f t="shared" ca="1" si="33"/>
        <v>0</v>
      </c>
    </row>
    <row r="1067" spans="1:2">
      <c r="A1067" t="str">
        <f t="shared" ca="1" si="32"/>
        <v/>
      </c>
      <c r="B1067">
        <f t="shared" ca="1" si="33"/>
        <v>0</v>
      </c>
    </row>
    <row r="1068" spans="1:2">
      <c r="A1068" t="str">
        <f t="shared" ca="1" si="32"/>
        <v/>
      </c>
      <c r="B1068">
        <f t="shared" ca="1" si="33"/>
        <v>0</v>
      </c>
    </row>
    <row r="1069" spans="1:2">
      <c r="A1069" t="str">
        <f t="shared" ca="1" si="32"/>
        <v/>
      </c>
      <c r="B1069">
        <f t="shared" ca="1" si="33"/>
        <v>0</v>
      </c>
    </row>
    <row r="1070" spans="1:2">
      <c r="A1070" t="str">
        <f t="shared" ca="1" si="32"/>
        <v/>
      </c>
      <c r="B1070">
        <f t="shared" ca="1" si="33"/>
        <v>0</v>
      </c>
    </row>
    <row r="1071" spans="1:2">
      <c r="A1071" t="str">
        <f t="shared" ca="1" si="32"/>
        <v/>
      </c>
      <c r="B1071">
        <f t="shared" ca="1" si="33"/>
        <v>0</v>
      </c>
    </row>
    <row r="1072" spans="1:2">
      <c r="A1072" t="str">
        <f t="shared" ca="1" si="32"/>
        <v/>
      </c>
      <c r="B1072">
        <f t="shared" ca="1" si="33"/>
        <v>0</v>
      </c>
    </row>
    <row r="1073" spans="1:2">
      <c r="A1073" t="str">
        <f t="shared" ca="1" si="32"/>
        <v/>
      </c>
      <c r="B1073">
        <f t="shared" ca="1" si="33"/>
        <v>0</v>
      </c>
    </row>
    <row r="1074" spans="1:2">
      <c r="A1074" t="str">
        <f t="shared" ca="1" si="32"/>
        <v/>
      </c>
      <c r="B1074">
        <f t="shared" ca="1" si="33"/>
        <v>0</v>
      </c>
    </row>
    <row r="1075" spans="1:2">
      <c r="A1075" t="str">
        <f t="shared" ca="1" si="32"/>
        <v/>
      </c>
      <c r="B1075">
        <f t="shared" ca="1" si="33"/>
        <v>0</v>
      </c>
    </row>
    <row r="1076" spans="1:2">
      <c r="A1076" t="str">
        <f t="shared" ca="1" si="32"/>
        <v/>
      </c>
      <c r="B1076">
        <f t="shared" ca="1" si="33"/>
        <v>0</v>
      </c>
    </row>
    <row r="1077" spans="1:2">
      <c r="A1077" t="str">
        <f t="shared" ca="1" si="32"/>
        <v/>
      </c>
      <c r="B1077">
        <f t="shared" ca="1" si="33"/>
        <v>0</v>
      </c>
    </row>
    <row r="1078" spans="1:2">
      <c r="A1078" t="str">
        <f t="shared" ca="1" si="32"/>
        <v/>
      </c>
      <c r="B1078">
        <f t="shared" ca="1" si="33"/>
        <v>0</v>
      </c>
    </row>
    <row r="1079" spans="1:2">
      <c r="A1079" t="str">
        <f t="shared" ca="1" si="32"/>
        <v/>
      </c>
      <c r="B1079">
        <f t="shared" ca="1" si="33"/>
        <v>0</v>
      </c>
    </row>
    <row r="1080" spans="1:2">
      <c r="A1080" t="str">
        <f t="shared" ca="1" si="32"/>
        <v/>
      </c>
      <c r="B1080">
        <f t="shared" ca="1" si="33"/>
        <v>0</v>
      </c>
    </row>
    <row r="1081" spans="1:2">
      <c r="A1081" t="str">
        <f t="shared" ca="1" si="32"/>
        <v/>
      </c>
      <c r="B1081">
        <f t="shared" ca="1" si="33"/>
        <v>0</v>
      </c>
    </row>
    <row r="1082" spans="1:2">
      <c r="A1082" t="str">
        <f t="shared" ca="1" si="32"/>
        <v/>
      </c>
      <c r="B1082">
        <f t="shared" ca="1" si="33"/>
        <v>0</v>
      </c>
    </row>
    <row r="1083" spans="1:2">
      <c r="A1083" t="str">
        <f t="shared" ca="1" si="32"/>
        <v/>
      </c>
      <c r="B1083">
        <f t="shared" ca="1" si="33"/>
        <v>0</v>
      </c>
    </row>
    <row r="1084" spans="1:2">
      <c r="A1084" t="str">
        <f t="shared" ca="1" si="32"/>
        <v/>
      </c>
      <c r="B1084">
        <f t="shared" ca="1" si="33"/>
        <v>0</v>
      </c>
    </row>
    <row r="1085" spans="1:2">
      <c r="A1085" t="str">
        <f t="shared" ca="1" si="32"/>
        <v/>
      </c>
      <c r="B1085">
        <f t="shared" ca="1" si="33"/>
        <v>0</v>
      </c>
    </row>
    <row r="1086" spans="1:2">
      <c r="A1086" t="str">
        <f t="shared" ca="1" si="32"/>
        <v/>
      </c>
      <c r="B1086">
        <f t="shared" ca="1" si="33"/>
        <v>0</v>
      </c>
    </row>
    <row r="1087" spans="1:2">
      <c r="A1087" t="str">
        <f t="shared" ca="1" si="32"/>
        <v/>
      </c>
      <c r="B1087">
        <f t="shared" ca="1" si="33"/>
        <v>0</v>
      </c>
    </row>
    <row r="1088" spans="1:2">
      <c r="A1088" t="str">
        <f t="shared" ca="1" si="32"/>
        <v/>
      </c>
      <c r="B1088">
        <f t="shared" ca="1" si="33"/>
        <v>0</v>
      </c>
    </row>
    <row r="1089" spans="1:2">
      <c r="A1089" t="str">
        <f t="shared" ca="1" si="32"/>
        <v/>
      </c>
      <c r="B1089">
        <f t="shared" ca="1" si="33"/>
        <v>0</v>
      </c>
    </row>
    <row r="1090" spans="1:2">
      <c r="A1090" t="str">
        <f t="shared" ref="A1090:A1153" ca="1" si="34">CONCATENATE(INDIRECT(ADDRESS(ROW(),3)))</f>
        <v/>
      </c>
      <c r="B1090">
        <f t="shared" ref="B1090:B1153" ca="1" si="35">IF(IF(INDIRECT(ADDRESS(ROW(),1))&lt;&gt;"",IF(ISNA(MATCH(LEFT(INDIRECT(ADDRESS(ROW(),1)),2),PCNG_MN,0))=TRUE,1,0),0)+IF(INDIRECT(ADDRESS(ROW(),1))&lt;&gt;"",IF(ISNA(MATCH(LEFT(INDIRECT(ADDRESS(ROW(),1)),3),PCNG_MN,0))=TRUE,1,0),0)+IF(INDIRECT(ADDRESS(ROW(),1))&lt;&gt;"",IF(ISNA(MATCH(LEFT(INDIRECT(ADDRESS(ROW(),1)),4),PCNG_MN,0))=TRUE,1,0),0)&gt;=3,1,0)</f>
        <v>0</v>
      </c>
    </row>
    <row r="1091" spans="1:2">
      <c r="A1091" t="str">
        <f t="shared" ca="1" si="34"/>
        <v/>
      </c>
      <c r="B1091">
        <f t="shared" ca="1" si="35"/>
        <v>0</v>
      </c>
    </row>
    <row r="1092" spans="1:2">
      <c r="A1092" t="str">
        <f t="shared" ca="1" si="34"/>
        <v/>
      </c>
      <c r="B1092">
        <f t="shared" ca="1" si="35"/>
        <v>0</v>
      </c>
    </row>
    <row r="1093" spans="1:2">
      <c r="A1093" t="str">
        <f t="shared" ca="1" si="34"/>
        <v/>
      </c>
      <c r="B1093">
        <f t="shared" ca="1" si="35"/>
        <v>0</v>
      </c>
    </row>
    <row r="1094" spans="1:2">
      <c r="A1094" t="str">
        <f t="shared" ca="1" si="34"/>
        <v/>
      </c>
      <c r="B1094">
        <f t="shared" ca="1" si="35"/>
        <v>0</v>
      </c>
    </row>
    <row r="1095" spans="1:2">
      <c r="A1095" t="str">
        <f t="shared" ca="1" si="34"/>
        <v/>
      </c>
      <c r="B1095">
        <f t="shared" ca="1" si="35"/>
        <v>0</v>
      </c>
    </row>
    <row r="1096" spans="1:2">
      <c r="A1096" t="str">
        <f t="shared" ca="1" si="34"/>
        <v/>
      </c>
      <c r="B1096">
        <f t="shared" ca="1" si="35"/>
        <v>0</v>
      </c>
    </row>
    <row r="1097" spans="1:2">
      <c r="A1097" t="str">
        <f t="shared" ca="1" si="34"/>
        <v/>
      </c>
      <c r="B1097">
        <f t="shared" ca="1" si="35"/>
        <v>0</v>
      </c>
    </row>
    <row r="1098" spans="1:2">
      <c r="A1098" t="str">
        <f t="shared" ca="1" si="34"/>
        <v/>
      </c>
      <c r="B1098">
        <f t="shared" ca="1" si="35"/>
        <v>0</v>
      </c>
    </row>
    <row r="1099" spans="1:2">
      <c r="A1099" t="str">
        <f t="shared" ca="1" si="34"/>
        <v/>
      </c>
      <c r="B1099">
        <f t="shared" ca="1" si="35"/>
        <v>0</v>
      </c>
    </row>
    <row r="1100" spans="1:2">
      <c r="A1100" t="str">
        <f t="shared" ca="1" si="34"/>
        <v/>
      </c>
      <c r="B1100">
        <f t="shared" ca="1" si="35"/>
        <v>0</v>
      </c>
    </row>
    <row r="1101" spans="1:2">
      <c r="A1101" t="str">
        <f t="shared" ca="1" si="34"/>
        <v/>
      </c>
      <c r="B1101">
        <f t="shared" ca="1" si="35"/>
        <v>0</v>
      </c>
    </row>
    <row r="1102" spans="1:2">
      <c r="A1102" t="str">
        <f t="shared" ca="1" si="34"/>
        <v/>
      </c>
      <c r="B1102">
        <f t="shared" ca="1" si="35"/>
        <v>0</v>
      </c>
    </row>
    <row r="1103" spans="1:2">
      <c r="A1103" t="str">
        <f t="shared" ca="1" si="34"/>
        <v/>
      </c>
      <c r="B1103">
        <f t="shared" ca="1" si="35"/>
        <v>0</v>
      </c>
    </row>
    <row r="1104" spans="1:2">
      <c r="A1104" t="str">
        <f t="shared" ca="1" si="34"/>
        <v/>
      </c>
      <c r="B1104">
        <f t="shared" ca="1" si="35"/>
        <v>0</v>
      </c>
    </row>
    <row r="1105" spans="1:2">
      <c r="A1105" t="str">
        <f t="shared" ca="1" si="34"/>
        <v/>
      </c>
      <c r="B1105">
        <f t="shared" ca="1" si="35"/>
        <v>0</v>
      </c>
    </row>
    <row r="1106" spans="1:2">
      <c r="A1106" t="str">
        <f t="shared" ca="1" si="34"/>
        <v/>
      </c>
      <c r="B1106">
        <f t="shared" ca="1" si="35"/>
        <v>0</v>
      </c>
    </row>
    <row r="1107" spans="1:2">
      <c r="A1107" t="str">
        <f t="shared" ca="1" si="34"/>
        <v/>
      </c>
      <c r="B1107">
        <f t="shared" ca="1" si="35"/>
        <v>0</v>
      </c>
    </row>
    <row r="1108" spans="1:2">
      <c r="A1108" t="str">
        <f t="shared" ca="1" si="34"/>
        <v/>
      </c>
      <c r="B1108">
        <f t="shared" ca="1" si="35"/>
        <v>0</v>
      </c>
    </row>
    <row r="1109" spans="1:2">
      <c r="A1109" t="str">
        <f t="shared" ca="1" si="34"/>
        <v/>
      </c>
      <c r="B1109">
        <f t="shared" ca="1" si="35"/>
        <v>0</v>
      </c>
    </row>
    <row r="1110" spans="1:2">
      <c r="A1110" t="str">
        <f t="shared" ca="1" si="34"/>
        <v/>
      </c>
      <c r="B1110">
        <f t="shared" ca="1" si="35"/>
        <v>0</v>
      </c>
    </row>
    <row r="1111" spans="1:2">
      <c r="A1111" t="str">
        <f t="shared" ca="1" si="34"/>
        <v/>
      </c>
      <c r="B1111">
        <f t="shared" ca="1" si="35"/>
        <v>0</v>
      </c>
    </row>
    <row r="1112" spans="1:2">
      <c r="A1112" t="str">
        <f t="shared" ca="1" si="34"/>
        <v/>
      </c>
      <c r="B1112">
        <f t="shared" ca="1" si="35"/>
        <v>0</v>
      </c>
    </row>
    <row r="1113" spans="1:2">
      <c r="A1113" t="str">
        <f t="shared" ca="1" si="34"/>
        <v/>
      </c>
      <c r="B1113">
        <f t="shared" ca="1" si="35"/>
        <v>0</v>
      </c>
    </row>
    <row r="1114" spans="1:2">
      <c r="A1114" t="str">
        <f t="shared" ca="1" si="34"/>
        <v/>
      </c>
      <c r="B1114">
        <f t="shared" ca="1" si="35"/>
        <v>0</v>
      </c>
    </row>
    <row r="1115" spans="1:2">
      <c r="A1115" t="str">
        <f t="shared" ca="1" si="34"/>
        <v/>
      </c>
      <c r="B1115">
        <f t="shared" ca="1" si="35"/>
        <v>0</v>
      </c>
    </row>
    <row r="1116" spans="1:2">
      <c r="A1116" t="str">
        <f t="shared" ca="1" si="34"/>
        <v/>
      </c>
      <c r="B1116">
        <f t="shared" ca="1" si="35"/>
        <v>0</v>
      </c>
    </row>
    <row r="1117" spans="1:2">
      <c r="A1117" t="str">
        <f t="shared" ca="1" si="34"/>
        <v/>
      </c>
      <c r="B1117">
        <f t="shared" ca="1" si="35"/>
        <v>0</v>
      </c>
    </row>
    <row r="1118" spans="1:2">
      <c r="A1118" t="str">
        <f t="shared" ca="1" si="34"/>
        <v/>
      </c>
      <c r="B1118">
        <f t="shared" ca="1" si="35"/>
        <v>0</v>
      </c>
    </row>
    <row r="1119" spans="1:2">
      <c r="A1119" t="str">
        <f t="shared" ca="1" si="34"/>
        <v/>
      </c>
      <c r="B1119">
        <f t="shared" ca="1" si="35"/>
        <v>0</v>
      </c>
    </row>
    <row r="1120" spans="1:2">
      <c r="A1120" t="str">
        <f t="shared" ca="1" si="34"/>
        <v/>
      </c>
      <c r="B1120">
        <f t="shared" ca="1" si="35"/>
        <v>0</v>
      </c>
    </row>
    <row r="1121" spans="1:2">
      <c r="A1121" t="str">
        <f t="shared" ca="1" si="34"/>
        <v/>
      </c>
      <c r="B1121">
        <f t="shared" ca="1" si="35"/>
        <v>0</v>
      </c>
    </row>
    <row r="1122" spans="1:2">
      <c r="A1122" t="str">
        <f t="shared" ca="1" si="34"/>
        <v/>
      </c>
      <c r="B1122">
        <f t="shared" ca="1" si="35"/>
        <v>0</v>
      </c>
    </row>
    <row r="1123" spans="1:2">
      <c r="A1123" t="str">
        <f t="shared" ca="1" si="34"/>
        <v/>
      </c>
      <c r="B1123">
        <f t="shared" ca="1" si="35"/>
        <v>0</v>
      </c>
    </row>
    <row r="1124" spans="1:2">
      <c r="A1124" t="str">
        <f t="shared" ca="1" si="34"/>
        <v/>
      </c>
      <c r="B1124">
        <f t="shared" ca="1" si="35"/>
        <v>0</v>
      </c>
    </row>
    <row r="1125" spans="1:2">
      <c r="A1125" t="str">
        <f t="shared" ca="1" si="34"/>
        <v/>
      </c>
      <c r="B1125">
        <f t="shared" ca="1" si="35"/>
        <v>0</v>
      </c>
    </row>
    <row r="1126" spans="1:2">
      <c r="A1126" t="str">
        <f t="shared" ca="1" si="34"/>
        <v/>
      </c>
      <c r="B1126">
        <f t="shared" ca="1" si="35"/>
        <v>0</v>
      </c>
    </row>
    <row r="1127" spans="1:2">
      <c r="A1127" t="str">
        <f t="shared" ca="1" si="34"/>
        <v/>
      </c>
      <c r="B1127">
        <f t="shared" ca="1" si="35"/>
        <v>0</v>
      </c>
    </row>
    <row r="1128" spans="1:2">
      <c r="A1128" t="str">
        <f t="shared" ca="1" si="34"/>
        <v/>
      </c>
      <c r="B1128">
        <f t="shared" ca="1" si="35"/>
        <v>0</v>
      </c>
    </row>
    <row r="1129" spans="1:2">
      <c r="A1129" t="str">
        <f t="shared" ca="1" si="34"/>
        <v/>
      </c>
      <c r="B1129">
        <f t="shared" ca="1" si="35"/>
        <v>0</v>
      </c>
    </row>
    <row r="1130" spans="1:2">
      <c r="A1130" t="str">
        <f t="shared" ca="1" si="34"/>
        <v/>
      </c>
      <c r="B1130">
        <f t="shared" ca="1" si="35"/>
        <v>0</v>
      </c>
    </row>
    <row r="1131" spans="1:2">
      <c r="A1131" t="str">
        <f t="shared" ca="1" si="34"/>
        <v/>
      </c>
      <c r="B1131">
        <f t="shared" ca="1" si="35"/>
        <v>0</v>
      </c>
    </row>
    <row r="1132" spans="1:2">
      <c r="A1132" t="str">
        <f t="shared" ca="1" si="34"/>
        <v/>
      </c>
      <c r="B1132">
        <f t="shared" ca="1" si="35"/>
        <v>0</v>
      </c>
    </row>
    <row r="1133" spans="1:2">
      <c r="A1133" t="str">
        <f t="shared" ca="1" si="34"/>
        <v/>
      </c>
      <c r="B1133">
        <f t="shared" ca="1" si="35"/>
        <v>0</v>
      </c>
    </row>
    <row r="1134" spans="1:2">
      <c r="A1134" t="str">
        <f t="shared" ca="1" si="34"/>
        <v/>
      </c>
      <c r="B1134">
        <f t="shared" ca="1" si="35"/>
        <v>0</v>
      </c>
    </row>
    <row r="1135" spans="1:2">
      <c r="A1135" t="str">
        <f t="shared" ca="1" si="34"/>
        <v/>
      </c>
      <c r="B1135">
        <f t="shared" ca="1" si="35"/>
        <v>0</v>
      </c>
    </row>
    <row r="1136" spans="1:2">
      <c r="A1136" t="str">
        <f t="shared" ca="1" si="34"/>
        <v/>
      </c>
      <c r="B1136">
        <f t="shared" ca="1" si="35"/>
        <v>0</v>
      </c>
    </row>
    <row r="1137" spans="1:2">
      <c r="A1137" t="str">
        <f t="shared" ca="1" si="34"/>
        <v/>
      </c>
      <c r="B1137">
        <f t="shared" ca="1" si="35"/>
        <v>0</v>
      </c>
    </row>
    <row r="1138" spans="1:2">
      <c r="A1138" t="str">
        <f t="shared" ca="1" si="34"/>
        <v/>
      </c>
      <c r="B1138">
        <f t="shared" ca="1" si="35"/>
        <v>0</v>
      </c>
    </row>
    <row r="1139" spans="1:2">
      <c r="A1139" t="str">
        <f t="shared" ca="1" si="34"/>
        <v/>
      </c>
      <c r="B1139">
        <f t="shared" ca="1" si="35"/>
        <v>0</v>
      </c>
    </row>
    <row r="1140" spans="1:2">
      <c r="A1140" t="str">
        <f t="shared" ca="1" si="34"/>
        <v/>
      </c>
      <c r="B1140">
        <f t="shared" ca="1" si="35"/>
        <v>0</v>
      </c>
    </row>
    <row r="1141" spans="1:2">
      <c r="A1141" t="str">
        <f t="shared" ca="1" si="34"/>
        <v/>
      </c>
      <c r="B1141">
        <f t="shared" ca="1" si="35"/>
        <v>0</v>
      </c>
    </row>
    <row r="1142" spans="1:2">
      <c r="A1142" t="str">
        <f t="shared" ca="1" si="34"/>
        <v/>
      </c>
      <c r="B1142">
        <f t="shared" ca="1" si="35"/>
        <v>0</v>
      </c>
    </row>
    <row r="1143" spans="1:2">
      <c r="A1143" t="str">
        <f t="shared" ca="1" si="34"/>
        <v/>
      </c>
      <c r="B1143">
        <f t="shared" ca="1" si="35"/>
        <v>0</v>
      </c>
    </row>
    <row r="1144" spans="1:2">
      <c r="A1144" t="str">
        <f t="shared" ca="1" si="34"/>
        <v/>
      </c>
      <c r="B1144">
        <f t="shared" ca="1" si="35"/>
        <v>0</v>
      </c>
    </row>
    <row r="1145" spans="1:2">
      <c r="A1145" t="str">
        <f t="shared" ca="1" si="34"/>
        <v/>
      </c>
      <c r="B1145">
        <f t="shared" ca="1" si="35"/>
        <v>0</v>
      </c>
    </row>
    <row r="1146" spans="1:2">
      <c r="A1146" t="str">
        <f t="shared" ca="1" si="34"/>
        <v/>
      </c>
      <c r="B1146">
        <f t="shared" ca="1" si="35"/>
        <v>0</v>
      </c>
    </row>
    <row r="1147" spans="1:2">
      <c r="A1147" t="str">
        <f t="shared" ca="1" si="34"/>
        <v/>
      </c>
      <c r="B1147">
        <f t="shared" ca="1" si="35"/>
        <v>0</v>
      </c>
    </row>
    <row r="1148" spans="1:2">
      <c r="A1148" t="str">
        <f t="shared" ca="1" si="34"/>
        <v/>
      </c>
      <c r="B1148">
        <f t="shared" ca="1" si="35"/>
        <v>0</v>
      </c>
    </row>
    <row r="1149" spans="1:2">
      <c r="A1149" t="str">
        <f t="shared" ca="1" si="34"/>
        <v/>
      </c>
      <c r="B1149">
        <f t="shared" ca="1" si="35"/>
        <v>0</v>
      </c>
    </row>
    <row r="1150" spans="1:2">
      <c r="A1150" t="str">
        <f t="shared" ca="1" si="34"/>
        <v/>
      </c>
      <c r="B1150">
        <f t="shared" ca="1" si="35"/>
        <v>0</v>
      </c>
    </row>
    <row r="1151" spans="1:2">
      <c r="A1151" t="str">
        <f t="shared" ca="1" si="34"/>
        <v/>
      </c>
      <c r="B1151">
        <f t="shared" ca="1" si="35"/>
        <v>0</v>
      </c>
    </row>
    <row r="1152" spans="1:2">
      <c r="A1152" t="str">
        <f t="shared" ca="1" si="34"/>
        <v/>
      </c>
      <c r="B1152">
        <f t="shared" ca="1" si="35"/>
        <v>0</v>
      </c>
    </row>
    <row r="1153" spans="1:2">
      <c r="A1153" t="str">
        <f t="shared" ca="1" si="34"/>
        <v/>
      </c>
      <c r="B1153">
        <f t="shared" ca="1" si="35"/>
        <v>0</v>
      </c>
    </row>
    <row r="1154" spans="1:2">
      <c r="A1154" t="str">
        <f t="shared" ref="A1154:A1217" ca="1" si="36">CONCATENATE(INDIRECT(ADDRESS(ROW(),3)))</f>
        <v/>
      </c>
      <c r="B1154">
        <f t="shared" ref="B1154:B1217" ca="1" si="37">IF(IF(INDIRECT(ADDRESS(ROW(),1))&lt;&gt;"",IF(ISNA(MATCH(LEFT(INDIRECT(ADDRESS(ROW(),1)),2),PCNG_MN,0))=TRUE,1,0),0)+IF(INDIRECT(ADDRESS(ROW(),1))&lt;&gt;"",IF(ISNA(MATCH(LEFT(INDIRECT(ADDRESS(ROW(),1)),3),PCNG_MN,0))=TRUE,1,0),0)+IF(INDIRECT(ADDRESS(ROW(),1))&lt;&gt;"",IF(ISNA(MATCH(LEFT(INDIRECT(ADDRESS(ROW(),1)),4),PCNG_MN,0))=TRUE,1,0),0)&gt;=3,1,0)</f>
        <v>0</v>
      </c>
    </row>
    <row r="1155" spans="1:2">
      <c r="A1155" t="str">
        <f t="shared" ca="1" si="36"/>
        <v/>
      </c>
      <c r="B1155">
        <f t="shared" ca="1" si="37"/>
        <v>0</v>
      </c>
    </row>
    <row r="1156" spans="1:2">
      <c r="A1156" t="str">
        <f t="shared" ca="1" si="36"/>
        <v/>
      </c>
      <c r="B1156">
        <f t="shared" ca="1" si="37"/>
        <v>0</v>
      </c>
    </row>
    <row r="1157" spans="1:2">
      <c r="A1157" t="str">
        <f t="shared" ca="1" si="36"/>
        <v/>
      </c>
      <c r="B1157">
        <f t="shared" ca="1" si="37"/>
        <v>0</v>
      </c>
    </row>
    <row r="1158" spans="1:2">
      <c r="A1158" t="str">
        <f t="shared" ca="1" si="36"/>
        <v/>
      </c>
      <c r="B1158">
        <f t="shared" ca="1" si="37"/>
        <v>0</v>
      </c>
    </row>
    <row r="1159" spans="1:2">
      <c r="A1159" t="str">
        <f t="shared" ca="1" si="36"/>
        <v/>
      </c>
      <c r="B1159">
        <f t="shared" ca="1" si="37"/>
        <v>0</v>
      </c>
    </row>
    <row r="1160" spans="1:2">
      <c r="A1160" t="str">
        <f t="shared" ca="1" si="36"/>
        <v/>
      </c>
      <c r="B1160">
        <f t="shared" ca="1" si="37"/>
        <v>0</v>
      </c>
    </row>
    <row r="1161" spans="1:2">
      <c r="A1161" t="str">
        <f t="shared" ca="1" si="36"/>
        <v/>
      </c>
      <c r="B1161">
        <f t="shared" ca="1" si="37"/>
        <v>0</v>
      </c>
    </row>
    <row r="1162" spans="1:2">
      <c r="A1162" t="str">
        <f t="shared" ca="1" si="36"/>
        <v/>
      </c>
      <c r="B1162">
        <f t="shared" ca="1" si="37"/>
        <v>0</v>
      </c>
    </row>
    <row r="1163" spans="1:2">
      <c r="A1163" t="str">
        <f t="shared" ca="1" si="36"/>
        <v/>
      </c>
      <c r="B1163">
        <f t="shared" ca="1" si="37"/>
        <v>0</v>
      </c>
    </row>
    <row r="1164" spans="1:2">
      <c r="A1164" t="str">
        <f t="shared" ca="1" si="36"/>
        <v/>
      </c>
      <c r="B1164">
        <f t="shared" ca="1" si="37"/>
        <v>0</v>
      </c>
    </row>
    <row r="1165" spans="1:2">
      <c r="A1165" t="str">
        <f t="shared" ca="1" si="36"/>
        <v/>
      </c>
      <c r="B1165">
        <f t="shared" ca="1" si="37"/>
        <v>0</v>
      </c>
    </row>
    <row r="1166" spans="1:2">
      <c r="A1166" t="str">
        <f t="shared" ca="1" si="36"/>
        <v/>
      </c>
      <c r="B1166">
        <f t="shared" ca="1" si="37"/>
        <v>0</v>
      </c>
    </row>
    <row r="1167" spans="1:2">
      <c r="A1167" t="str">
        <f t="shared" ca="1" si="36"/>
        <v/>
      </c>
      <c r="B1167">
        <f t="shared" ca="1" si="37"/>
        <v>0</v>
      </c>
    </row>
    <row r="1168" spans="1:2">
      <c r="A1168" t="str">
        <f t="shared" ca="1" si="36"/>
        <v/>
      </c>
      <c r="B1168">
        <f t="shared" ca="1" si="37"/>
        <v>0</v>
      </c>
    </row>
    <row r="1169" spans="1:2">
      <c r="A1169" t="str">
        <f t="shared" ca="1" si="36"/>
        <v/>
      </c>
      <c r="B1169">
        <f t="shared" ca="1" si="37"/>
        <v>0</v>
      </c>
    </row>
    <row r="1170" spans="1:2">
      <c r="A1170" t="str">
        <f t="shared" ca="1" si="36"/>
        <v/>
      </c>
      <c r="B1170">
        <f t="shared" ca="1" si="37"/>
        <v>0</v>
      </c>
    </row>
    <row r="1171" spans="1:2">
      <c r="A1171" t="str">
        <f t="shared" ca="1" si="36"/>
        <v/>
      </c>
      <c r="B1171">
        <f t="shared" ca="1" si="37"/>
        <v>0</v>
      </c>
    </row>
    <row r="1172" spans="1:2">
      <c r="A1172" t="str">
        <f t="shared" ca="1" si="36"/>
        <v/>
      </c>
      <c r="B1172">
        <f t="shared" ca="1" si="37"/>
        <v>0</v>
      </c>
    </row>
    <row r="1173" spans="1:2">
      <c r="A1173" t="str">
        <f t="shared" ca="1" si="36"/>
        <v/>
      </c>
      <c r="B1173">
        <f t="shared" ca="1" si="37"/>
        <v>0</v>
      </c>
    </row>
    <row r="1174" spans="1:2">
      <c r="A1174" t="str">
        <f t="shared" ca="1" si="36"/>
        <v/>
      </c>
      <c r="B1174">
        <f t="shared" ca="1" si="37"/>
        <v>0</v>
      </c>
    </row>
    <row r="1175" spans="1:2">
      <c r="A1175" t="str">
        <f t="shared" ca="1" si="36"/>
        <v/>
      </c>
      <c r="B1175">
        <f t="shared" ca="1" si="37"/>
        <v>0</v>
      </c>
    </row>
    <row r="1176" spans="1:2">
      <c r="A1176" t="str">
        <f t="shared" ca="1" si="36"/>
        <v/>
      </c>
      <c r="B1176">
        <f t="shared" ca="1" si="37"/>
        <v>0</v>
      </c>
    </row>
    <row r="1177" spans="1:2">
      <c r="A1177" t="str">
        <f t="shared" ca="1" si="36"/>
        <v/>
      </c>
      <c r="B1177">
        <f t="shared" ca="1" si="37"/>
        <v>0</v>
      </c>
    </row>
    <row r="1178" spans="1:2">
      <c r="A1178" t="str">
        <f t="shared" ca="1" si="36"/>
        <v/>
      </c>
      <c r="B1178">
        <f t="shared" ca="1" si="37"/>
        <v>0</v>
      </c>
    </row>
    <row r="1179" spans="1:2">
      <c r="A1179" t="str">
        <f t="shared" ca="1" si="36"/>
        <v/>
      </c>
      <c r="B1179">
        <f t="shared" ca="1" si="37"/>
        <v>0</v>
      </c>
    </row>
    <row r="1180" spans="1:2">
      <c r="A1180" t="str">
        <f t="shared" ca="1" si="36"/>
        <v/>
      </c>
      <c r="B1180">
        <f t="shared" ca="1" si="37"/>
        <v>0</v>
      </c>
    </row>
    <row r="1181" spans="1:2">
      <c r="A1181" t="str">
        <f t="shared" ca="1" si="36"/>
        <v/>
      </c>
      <c r="B1181">
        <f t="shared" ca="1" si="37"/>
        <v>0</v>
      </c>
    </row>
    <row r="1182" spans="1:2">
      <c r="A1182" t="str">
        <f t="shared" ca="1" si="36"/>
        <v/>
      </c>
      <c r="B1182">
        <f t="shared" ca="1" si="37"/>
        <v>0</v>
      </c>
    </row>
    <row r="1183" spans="1:2">
      <c r="A1183" t="str">
        <f t="shared" ca="1" si="36"/>
        <v/>
      </c>
      <c r="B1183">
        <f t="shared" ca="1" si="37"/>
        <v>0</v>
      </c>
    </row>
    <row r="1184" spans="1:2">
      <c r="A1184" t="str">
        <f t="shared" ca="1" si="36"/>
        <v/>
      </c>
      <c r="B1184">
        <f t="shared" ca="1" si="37"/>
        <v>0</v>
      </c>
    </row>
    <row r="1185" spans="1:2">
      <c r="A1185" t="str">
        <f t="shared" ca="1" si="36"/>
        <v/>
      </c>
      <c r="B1185">
        <f t="shared" ca="1" si="37"/>
        <v>0</v>
      </c>
    </row>
    <row r="1186" spans="1:2">
      <c r="A1186" t="str">
        <f t="shared" ca="1" si="36"/>
        <v/>
      </c>
      <c r="B1186">
        <f t="shared" ca="1" si="37"/>
        <v>0</v>
      </c>
    </row>
    <row r="1187" spans="1:2">
      <c r="A1187" t="str">
        <f t="shared" ca="1" si="36"/>
        <v/>
      </c>
      <c r="B1187">
        <f t="shared" ca="1" si="37"/>
        <v>0</v>
      </c>
    </row>
    <row r="1188" spans="1:2">
      <c r="A1188" t="str">
        <f t="shared" ca="1" si="36"/>
        <v/>
      </c>
      <c r="B1188">
        <f t="shared" ca="1" si="37"/>
        <v>0</v>
      </c>
    </row>
    <row r="1189" spans="1:2">
      <c r="A1189" t="str">
        <f t="shared" ca="1" si="36"/>
        <v/>
      </c>
      <c r="B1189">
        <f t="shared" ca="1" si="37"/>
        <v>0</v>
      </c>
    </row>
    <row r="1190" spans="1:2">
      <c r="A1190" t="str">
        <f t="shared" ca="1" si="36"/>
        <v/>
      </c>
      <c r="B1190">
        <f t="shared" ca="1" si="37"/>
        <v>0</v>
      </c>
    </row>
    <row r="1191" spans="1:2">
      <c r="A1191" t="str">
        <f t="shared" ca="1" si="36"/>
        <v/>
      </c>
      <c r="B1191">
        <f t="shared" ca="1" si="37"/>
        <v>0</v>
      </c>
    </row>
    <row r="1192" spans="1:2">
      <c r="A1192" t="str">
        <f t="shared" ca="1" si="36"/>
        <v/>
      </c>
      <c r="B1192">
        <f t="shared" ca="1" si="37"/>
        <v>0</v>
      </c>
    </row>
    <row r="1193" spans="1:2">
      <c r="A1193" t="str">
        <f t="shared" ca="1" si="36"/>
        <v/>
      </c>
      <c r="B1193">
        <f t="shared" ca="1" si="37"/>
        <v>0</v>
      </c>
    </row>
    <row r="1194" spans="1:2">
      <c r="A1194" t="str">
        <f t="shared" ca="1" si="36"/>
        <v/>
      </c>
      <c r="B1194">
        <f t="shared" ca="1" si="37"/>
        <v>0</v>
      </c>
    </row>
    <row r="1195" spans="1:2">
      <c r="A1195" t="str">
        <f t="shared" ca="1" si="36"/>
        <v/>
      </c>
      <c r="B1195">
        <f t="shared" ca="1" si="37"/>
        <v>0</v>
      </c>
    </row>
    <row r="1196" spans="1:2">
      <c r="A1196" t="str">
        <f t="shared" ca="1" si="36"/>
        <v/>
      </c>
      <c r="B1196">
        <f t="shared" ca="1" si="37"/>
        <v>0</v>
      </c>
    </row>
    <row r="1197" spans="1:2">
      <c r="A1197" t="str">
        <f t="shared" ca="1" si="36"/>
        <v/>
      </c>
      <c r="B1197">
        <f t="shared" ca="1" si="37"/>
        <v>0</v>
      </c>
    </row>
    <row r="1198" spans="1:2">
      <c r="A1198" t="str">
        <f t="shared" ca="1" si="36"/>
        <v/>
      </c>
      <c r="B1198">
        <f t="shared" ca="1" si="37"/>
        <v>0</v>
      </c>
    </row>
    <row r="1199" spans="1:2">
      <c r="A1199" t="str">
        <f t="shared" ca="1" si="36"/>
        <v/>
      </c>
      <c r="B1199">
        <f t="shared" ca="1" si="37"/>
        <v>0</v>
      </c>
    </row>
    <row r="1200" spans="1:2">
      <c r="A1200" t="str">
        <f t="shared" ca="1" si="36"/>
        <v/>
      </c>
      <c r="B1200">
        <f t="shared" ca="1" si="37"/>
        <v>0</v>
      </c>
    </row>
    <row r="1201" spans="1:2">
      <c r="A1201" t="str">
        <f t="shared" ca="1" si="36"/>
        <v/>
      </c>
      <c r="B1201">
        <f t="shared" ca="1" si="37"/>
        <v>0</v>
      </c>
    </row>
    <row r="1202" spans="1:2">
      <c r="A1202" t="str">
        <f t="shared" ca="1" si="36"/>
        <v/>
      </c>
      <c r="B1202">
        <f t="shared" ca="1" si="37"/>
        <v>0</v>
      </c>
    </row>
    <row r="1203" spans="1:2">
      <c r="A1203" t="str">
        <f t="shared" ca="1" si="36"/>
        <v/>
      </c>
      <c r="B1203">
        <f t="shared" ca="1" si="37"/>
        <v>0</v>
      </c>
    </row>
    <row r="1204" spans="1:2">
      <c r="A1204" t="str">
        <f t="shared" ca="1" si="36"/>
        <v/>
      </c>
      <c r="B1204">
        <f t="shared" ca="1" si="37"/>
        <v>0</v>
      </c>
    </row>
    <row r="1205" spans="1:2">
      <c r="A1205" t="str">
        <f t="shared" ca="1" si="36"/>
        <v/>
      </c>
      <c r="B1205">
        <f t="shared" ca="1" si="37"/>
        <v>0</v>
      </c>
    </row>
    <row r="1206" spans="1:2">
      <c r="A1206" t="str">
        <f t="shared" ca="1" si="36"/>
        <v/>
      </c>
      <c r="B1206">
        <f t="shared" ca="1" si="37"/>
        <v>0</v>
      </c>
    </row>
    <row r="1207" spans="1:2">
      <c r="A1207" t="str">
        <f t="shared" ca="1" si="36"/>
        <v/>
      </c>
      <c r="B1207">
        <f t="shared" ca="1" si="37"/>
        <v>0</v>
      </c>
    </row>
    <row r="1208" spans="1:2">
      <c r="A1208" t="str">
        <f t="shared" ca="1" si="36"/>
        <v/>
      </c>
      <c r="B1208">
        <f t="shared" ca="1" si="37"/>
        <v>0</v>
      </c>
    </row>
    <row r="1209" spans="1:2">
      <c r="A1209" t="str">
        <f t="shared" ca="1" si="36"/>
        <v/>
      </c>
      <c r="B1209">
        <f t="shared" ca="1" si="37"/>
        <v>0</v>
      </c>
    </row>
    <row r="1210" spans="1:2">
      <c r="A1210" t="str">
        <f t="shared" ca="1" si="36"/>
        <v/>
      </c>
      <c r="B1210">
        <f t="shared" ca="1" si="37"/>
        <v>0</v>
      </c>
    </row>
    <row r="1211" spans="1:2">
      <c r="A1211" t="str">
        <f t="shared" ca="1" si="36"/>
        <v/>
      </c>
      <c r="B1211">
        <f t="shared" ca="1" si="37"/>
        <v>0</v>
      </c>
    </row>
    <row r="1212" spans="1:2">
      <c r="A1212" t="str">
        <f t="shared" ca="1" si="36"/>
        <v/>
      </c>
      <c r="B1212">
        <f t="shared" ca="1" si="37"/>
        <v>0</v>
      </c>
    </row>
    <row r="1213" spans="1:2">
      <c r="A1213" t="str">
        <f t="shared" ca="1" si="36"/>
        <v/>
      </c>
      <c r="B1213">
        <f t="shared" ca="1" si="37"/>
        <v>0</v>
      </c>
    </row>
    <row r="1214" spans="1:2">
      <c r="A1214" t="str">
        <f t="shared" ca="1" si="36"/>
        <v/>
      </c>
      <c r="B1214">
        <f t="shared" ca="1" si="37"/>
        <v>0</v>
      </c>
    </row>
    <row r="1215" spans="1:2">
      <c r="A1215" t="str">
        <f t="shared" ca="1" si="36"/>
        <v/>
      </c>
      <c r="B1215">
        <f t="shared" ca="1" si="37"/>
        <v>0</v>
      </c>
    </row>
    <row r="1216" spans="1:2">
      <c r="A1216" t="str">
        <f t="shared" ca="1" si="36"/>
        <v/>
      </c>
      <c r="B1216">
        <f t="shared" ca="1" si="37"/>
        <v>0</v>
      </c>
    </row>
    <row r="1217" spans="1:2">
      <c r="A1217" t="str">
        <f t="shared" ca="1" si="36"/>
        <v/>
      </c>
      <c r="B1217">
        <f t="shared" ca="1" si="37"/>
        <v>0</v>
      </c>
    </row>
    <row r="1218" spans="1:2">
      <c r="A1218" t="str">
        <f t="shared" ref="A1218:A1281" ca="1" si="38">CONCATENATE(INDIRECT(ADDRESS(ROW(),3)))</f>
        <v/>
      </c>
      <c r="B1218">
        <f t="shared" ref="B1218:B1281" ca="1" si="39">IF(IF(INDIRECT(ADDRESS(ROW(),1))&lt;&gt;"",IF(ISNA(MATCH(LEFT(INDIRECT(ADDRESS(ROW(),1)),2),PCNG_MN,0))=TRUE,1,0),0)+IF(INDIRECT(ADDRESS(ROW(),1))&lt;&gt;"",IF(ISNA(MATCH(LEFT(INDIRECT(ADDRESS(ROW(),1)),3),PCNG_MN,0))=TRUE,1,0),0)+IF(INDIRECT(ADDRESS(ROW(),1))&lt;&gt;"",IF(ISNA(MATCH(LEFT(INDIRECT(ADDRESS(ROW(),1)),4),PCNG_MN,0))=TRUE,1,0),0)&gt;=3,1,0)</f>
        <v>0</v>
      </c>
    </row>
    <row r="1219" spans="1:2">
      <c r="A1219" t="str">
        <f t="shared" ca="1" si="38"/>
        <v/>
      </c>
      <c r="B1219">
        <f t="shared" ca="1" si="39"/>
        <v>0</v>
      </c>
    </row>
    <row r="1220" spans="1:2">
      <c r="A1220" t="str">
        <f t="shared" ca="1" si="38"/>
        <v/>
      </c>
      <c r="B1220">
        <f t="shared" ca="1" si="39"/>
        <v>0</v>
      </c>
    </row>
    <row r="1221" spans="1:2">
      <c r="A1221" t="str">
        <f t="shared" ca="1" si="38"/>
        <v/>
      </c>
      <c r="B1221">
        <f t="shared" ca="1" si="39"/>
        <v>0</v>
      </c>
    </row>
    <row r="1222" spans="1:2">
      <c r="A1222" t="str">
        <f t="shared" ca="1" si="38"/>
        <v/>
      </c>
      <c r="B1222">
        <f t="shared" ca="1" si="39"/>
        <v>0</v>
      </c>
    </row>
    <row r="1223" spans="1:2">
      <c r="A1223" t="str">
        <f t="shared" ca="1" si="38"/>
        <v/>
      </c>
      <c r="B1223">
        <f t="shared" ca="1" si="39"/>
        <v>0</v>
      </c>
    </row>
    <row r="1224" spans="1:2">
      <c r="A1224" t="str">
        <f t="shared" ca="1" si="38"/>
        <v/>
      </c>
      <c r="B1224">
        <f t="shared" ca="1" si="39"/>
        <v>0</v>
      </c>
    </row>
    <row r="1225" spans="1:2">
      <c r="A1225" t="str">
        <f t="shared" ca="1" si="38"/>
        <v/>
      </c>
      <c r="B1225">
        <f t="shared" ca="1" si="39"/>
        <v>0</v>
      </c>
    </row>
    <row r="1226" spans="1:2">
      <c r="A1226" t="str">
        <f t="shared" ca="1" si="38"/>
        <v/>
      </c>
      <c r="B1226">
        <f t="shared" ca="1" si="39"/>
        <v>0</v>
      </c>
    </row>
    <row r="1227" spans="1:2">
      <c r="A1227" t="str">
        <f t="shared" ca="1" si="38"/>
        <v/>
      </c>
      <c r="B1227">
        <f t="shared" ca="1" si="39"/>
        <v>0</v>
      </c>
    </row>
    <row r="1228" spans="1:2">
      <c r="A1228" t="str">
        <f t="shared" ca="1" si="38"/>
        <v/>
      </c>
      <c r="B1228">
        <f t="shared" ca="1" si="39"/>
        <v>0</v>
      </c>
    </row>
    <row r="1229" spans="1:2">
      <c r="A1229" t="str">
        <f t="shared" ca="1" si="38"/>
        <v/>
      </c>
      <c r="B1229">
        <f t="shared" ca="1" si="39"/>
        <v>0</v>
      </c>
    </row>
    <row r="1230" spans="1:2">
      <c r="A1230" t="str">
        <f t="shared" ca="1" si="38"/>
        <v/>
      </c>
      <c r="B1230">
        <f t="shared" ca="1" si="39"/>
        <v>0</v>
      </c>
    </row>
    <row r="1231" spans="1:2">
      <c r="A1231" t="str">
        <f t="shared" ca="1" si="38"/>
        <v/>
      </c>
      <c r="B1231">
        <f t="shared" ca="1" si="39"/>
        <v>0</v>
      </c>
    </row>
    <row r="1232" spans="1:2">
      <c r="A1232" t="str">
        <f t="shared" ca="1" si="38"/>
        <v/>
      </c>
      <c r="B1232">
        <f t="shared" ca="1" si="39"/>
        <v>0</v>
      </c>
    </row>
    <row r="1233" spans="1:2">
      <c r="A1233" t="str">
        <f t="shared" ca="1" si="38"/>
        <v/>
      </c>
      <c r="B1233">
        <f t="shared" ca="1" si="39"/>
        <v>0</v>
      </c>
    </row>
    <row r="1234" spans="1:2">
      <c r="A1234" t="str">
        <f t="shared" ca="1" si="38"/>
        <v/>
      </c>
      <c r="B1234">
        <f t="shared" ca="1" si="39"/>
        <v>0</v>
      </c>
    </row>
    <row r="1235" spans="1:2">
      <c r="A1235" t="str">
        <f t="shared" ca="1" si="38"/>
        <v/>
      </c>
      <c r="B1235">
        <f t="shared" ca="1" si="39"/>
        <v>0</v>
      </c>
    </row>
    <row r="1236" spans="1:2">
      <c r="A1236" t="str">
        <f t="shared" ca="1" si="38"/>
        <v/>
      </c>
      <c r="B1236">
        <f t="shared" ca="1" si="39"/>
        <v>0</v>
      </c>
    </row>
    <row r="1237" spans="1:2">
      <c r="A1237" t="str">
        <f t="shared" ca="1" si="38"/>
        <v/>
      </c>
      <c r="B1237">
        <f t="shared" ca="1" si="39"/>
        <v>0</v>
      </c>
    </row>
    <row r="1238" spans="1:2">
      <c r="A1238" t="str">
        <f t="shared" ca="1" si="38"/>
        <v/>
      </c>
      <c r="B1238">
        <f t="shared" ca="1" si="39"/>
        <v>0</v>
      </c>
    </row>
    <row r="1239" spans="1:2">
      <c r="A1239" t="str">
        <f t="shared" ca="1" si="38"/>
        <v/>
      </c>
      <c r="B1239">
        <f t="shared" ca="1" si="39"/>
        <v>0</v>
      </c>
    </row>
    <row r="1240" spans="1:2">
      <c r="A1240" t="str">
        <f t="shared" ca="1" si="38"/>
        <v/>
      </c>
      <c r="B1240">
        <f t="shared" ca="1" si="39"/>
        <v>0</v>
      </c>
    </row>
    <row r="1241" spans="1:2">
      <c r="A1241" t="str">
        <f t="shared" ca="1" si="38"/>
        <v/>
      </c>
      <c r="B1241">
        <f t="shared" ca="1" si="39"/>
        <v>0</v>
      </c>
    </row>
    <row r="1242" spans="1:2">
      <c r="A1242" t="str">
        <f t="shared" ca="1" si="38"/>
        <v/>
      </c>
      <c r="B1242">
        <f t="shared" ca="1" si="39"/>
        <v>0</v>
      </c>
    </row>
    <row r="1243" spans="1:2">
      <c r="A1243" t="str">
        <f t="shared" ca="1" si="38"/>
        <v/>
      </c>
      <c r="B1243">
        <f t="shared" ca="1" si="39"/>
        <v>0</v>
      </c>
    </row>
    <row r="1244" spans="1:2">
      <c r="A1244" t="str">
        <f t="shared" ca="1" si="38"/>
        <v/>
      </c>
      <c r="B1244">
        <f t="shared" ca="1" si="39"/>
        <v>0</v>
      </c>
    </row>
    <row r="1245" spans="1:2">
      <c r="A1245" t="str">
        <f t="shared" ca="1" si="38"/>
        <v/>
      </c>
      <c r="B1245">
        <f t="shared" ca="1" si="39"/>
        <v>0</v>
      </c>
    </row>
    <row r="1246" spans="1:2">
      <c r="A1246" t="str">
        <f t="shared" ca="1" si="38"/>
        <v/>
      </c>
      <c r="B1246">
        <f t="shared" ca="1" si="39"/>
        <v>0</v>
      </c>
    </row>
    <row r="1247" spans="1:2">
      <c r="A1247" t="str">
        <f t="shared" ca="1" si="38"/>
        <v/>
      </c>
      <c r="B1247">
        <f t="shared" ca="1" si="39"/>
        <v>0</v>
      </c>
    </row>
    <row r="1248" spans="1:2">
      <c r="A1248" t="str">
        <f t="shared" ca="1" si="38"/>
        <v/>
      </c>
      <c r="B1248">
        <f t="shared" ca="1" si="39"/>
        <v>0</v>
      </c>
    </row>
    <row r="1249" spans="1:2">
      <c r="A1249" t="str">
        <f t="shared" ca="1" si="38"/>
        <v/>
      </c>
      <c r="B1249">
        <f t="shared" ca="1" si="39"/>
        <v>0</v>
      </c>
    </row>
    <row r="1250" spans="1:2">
      <c r="A1250" t="str">
        <f t="shared" ca="1" si="38"/>
        <v/>
      </c>
      <c r="B1250">
        <f t="shared" ca="1" si="39"/>
        <v>0</v>
      </c>
    </row>
    <row r="1251" spans="1:2">
      <c r="A1251" t="str">
        <f t="shared" ca="1" si="38"/>
        <v/>
      </c>
      <c r="B1251">
        <f t="shared" ca="1" si="39"/>
        <v>0</v>
      </c>
    </row>
    <row r="1252" spans="1:2">
      <c r="A1252" t="str">
        <f t="shared" ca="1" si="38"/>
        <v/>
      </c>
      <c r="B1252">
        <f t="shared" ca="1" si="39"/>
        <v>0</v>
      </c>
    </row>
    <row r="1253" spans="1:2">
      <c r="A1253" t="str">
        <f t="shared" ca="1" si="38"/>
        <v/>
      </c>
      <c r="B1253">
        <f t="shared" ca="1" si="39"/>
        <v>0</v>
      </c>
    </row>
    <row r="1254" spans="1:2">
      <c r="A1254" t="str">
        <f t="shared" ca="1" si="38"/>
        <v/>
      </c>
      <c r="B1254">
        <f t="shared" ca="1" si="39"/>
        <v>0</v>
      </c>
    </row>
    <row r="1255" spans="1:2">
      <c r="A1255" t="str">
        <f t="shared" ca="1" si="38"/>
        <v/>
      </c>
      <c r="B1255">
        <f t="shared" ca="1" si="39"/>
        <v>0</v>
      </c>
    </row>
    <row r="1256" spans="1:2">
      <c r="A1256" t="str">
        <f t="shared" ca="1" si="38"/>
        <v/>
      </c>
      <c r="B1256">
        <f t="shared" ca="1" si="39"/>
        <v>0</v>
      </c>
    </row>
    <row r="1257" spans="1:2">
      <c r="A1257" t="str">
        <f t="shared" ca="1" si="38"/>
        <v/>
      </c>
      <c r="B1257">
        <f t="shared" ca="1" si="39"/>
        <v>0</v>
      </c>
    </row>
    <row r="1258" spans="1:2">
      <c r="A1258" t="str">
        <f t="shared" ca="1" si="38"/>
        <v/>
      </c>
      <c r="B1258">
        <f t="shared" ca="1" si="39"/>
        <v>0</v>
      </c>
    </row>
    <row r="1259" spans="1:2">
      <c r="A1259" t="str">
        <f t="shared" ca="1" si="38"/>
        <v/>
      </c>
      <c r="B1259">
        <f t="shared" ca="1" si="39"/>
        <v>0</v>
      </c>
    </row>
    <row r="1260" spans="1:2">
      <c r="A1260" t="str">
        <f t="shared" ca="1" si="38"/>
        <v/>
      </c>
      <c r="B1260">
        <f t="shared" ca="1" si="39"/>
        <v>0</v>
      </c>
    </row>
    <row r="1261" spans="1:2">
      <c r="A1261" t="str">
        <f t="shared" ca="1" si="38"/>
        <v/>
      </c>
      <c r="B1261">
        <f t="shared" ca="1" si="39"/>
        <v>0</v>
      </c>
    </row>
    <row r="1262" spans="1:2">
      <c r="A1262" t="str">
        <f t="shared" ca="1" si="38"/>
        <v/>
      </c>
      <c r="B1262">
        <f t="shared" ca="1" si="39"/>
        <v>0</v>
      </c>
    </row>
    <row r="1263" spans="1:2">
      <c r="A1263" t="str">
        <f t="shared" ca="1" si="38"/>
        <v/>
      </c>
      <c r="B1263">
        <f t="shared" ca="1" si="39"/>
        <v>0</v>
      </c>
    </row>
    <row r="1264" spans="1:2">
      <c r="A1264" t="str">
        <f t="shared" ca="1" si="38"/>
        <v/>
      </c>
      <c r="B1264">
        <f t="shared" ca="1" si="39"/>
        <v>0</v>
      </c>
    </row>
    <row r="1265" spans="1:2">
      <c r="A1265" t="str">
        <f t="shared" ca="1" si="38"/>
        <v/>
      </c>
      <c r="B1265">
        <f t="shared" ca="1" si="39"/>
        <v>0</v>
      </c>
    </row>
    <row r="1266" spans="1:2">
      <c r="A1266" t="str">
        <f t="shared" ca="1" si="38"/>
        <v/>
      </c>
      <c r="B1266">
        <f t="shared" ca="1" si="39"/>
        <v>0</v>
      </c>
    </row>
    <row r="1267" spans="1:2">
      <c r="A1267" t="str">
        <f t="shared" ca="1" si="38"/>
        <v/>
      </c>
      <c r="B1267">
        <f t="shared" ca="1" si="39"/>
        <v>0</v>
      </c>
    </row>
    <row r="1268" spans="1:2">
      <c r="A1268" t="str">
        <f t="shared" ca="1" si="38"/>
        <v/>
      </c>
      <c r="B1268">
        <f t="shared" ca="1" si="39"/>
        <v>0</v>
      </c>
    </row>
    <row r="1269" spans="1:2">
      <c r="A1269" t="str">
        <f t="shared" ca="1" si="38"/>
        <v/>
      </c>
      <c r="B1269">
        <f t="shared" ca="1" si="39"/>
        <v>0</v>
      </c>
    </row>
    <row r="1270" spans="1:2">
      <c r="A1270" t="str">
        <f t="shared" ca="1" si="38"/>
        <v/>
      </c>
      <c r="B1270">
        <f t="shared" ca="1" si="39"/>
        <v>0</v>
      </c>
    </row>
    <row r="1271" spans="1:2">
      <c r="A1271" t="str">
        <f t="shared" ca="1" si="38"/>
        <v/>
      </c>
      <c r="B1271">
        <f t="shared" ca="1" si="39"/>
        <v>0</v>
      </c>
    </row>
    <row r="1272" spans="1:2">
      <c r="A1272" t="str">
        <f t="shared" ca="1" si="38"/>
        <v/>
      </c>
      <c r="B1272">
        <f t="shared" ca="1" si="39"/>
        <v>0</v>
      </c>
    </row>
    <row r="1273" spans="1:2">
      <c r="A1273" t="str">
        <f t="shared" ca="1" si="38"/>
        <v/>
      </c>
      <c r="B1273">
        <f t="shared" ca="1" si="39"/>
        <v>0</v>
      </c>
    </row>
    <row r="1274" spans="1:2">
      <c r="A1274" t="str">
        <f t="shared" ca="1" si="38"/>
        <v/>
      </c>
      <c r="B1274">
        <f t="shared" ca="1" si="39"/>
        <v>0</v>
      </c>
    </row>
    <row r="1275" spans="1:2">
      <c r="A1275" t="str">
        <f t="shared" ca="1" si="38"/>
        <v/>
      </c>
      <c r="B1275">
        <f t="shared" ca="1" si="39"/>
        <v>0</v>
      </c>
    </row>
    <row r="1276" spans="1:2">
      <c r="A1276" t="str">
        <f t="shared" ca="1" si="38"/>
        <v/>
      </c>
      <c r="B1276">
        <f t="shared" ca="1" si="39"/>
        <v>0</v>
      </c>
    </row>
    <row r="1277" spans="1:2">
      <c r="A1277" t="str">
        <f t="shared" ca="1" si="38"/>
        <v/>
      </c>
      <c r="B1277">
        <f t="shared" ca="1" si="39"/>
        <v>0</v>
      </c>
    </row>
    <row r="1278" spans="1:2">
      <c r="A1278" t="str">
        <f t="shared" ca="1" si="38"/>
        <v/>
      </c>
      <c r="B1278">
        <f t="shared" ca="1" si="39"/>
        <v>0</v>
      </c>
    </row>
    <row r="1279" spans="1:2">
      <c r="A1279" t="str">
        <f t="shared" ca="1" si="38"/>
        <v/>
      </c>
      <c r="B1279">
        <f t="shared" ca="1" si="39"/>
        <v>0</v>
      </c>
    </row>
    <row r="1280" spans="1:2">
      <c r="A1280" t="str">
        <f t="shared" ca="1" si="38"/>
        <v/>
      </c>
      <c r="B1280">
        <f t="shared" ca="1" si="39"/>
        <v>0</v>
      </c>
    </row>
    <row r="1281" spans="1:2">
      <c r="A1281" t="str">
        <f t="shared" ca="1" si="38"/>
        <v/>
      </c>
      <c r="B1281">
        <f t="shared" ca="1" si="39"/>
        <v>0</v>
      </c>
    </row>
    <row r="1282" spans="1:2">
      <c r="A1282" t="str">
        <f t="shared" ref="A1282:A1345" ca="1" si="40">CONCATENATE(INDIRECT(ADDRESS(ROW(),3)))</f>
        <v/>
      </c>
      <c r="B1282">
        <f t="shared" ref="B1282:B1345" ca="1" si="41">IF(IF(INDIRECT(ADDRESS(ROW(),1))&lt;&gt;"",IF(ISNA(MATCH(LEFT(INDIRECT(ADDRESS(ROW(),1)),2),PCNG_MN,0))=TRUE,1,0),0)+IF(INDIRECT(ADDRESS(ROW(),1))&lt;&gt;"",IF(ISNA(MATCH(LEFT(INDIRECT(ADDRESS(ROW(),1)),3),PCNG_MN,0))=TRUE,1,0),0)+IF(INDIRECT(ADDRESS(ROW(),1))&lt;&gt;"",IF(ISNA(MATCH(LEFT(INDIRECT(ADDRESS(ROW(),1)),4),PCNG_MN,0))=TRUE,1,0),0)&gt;=3,1,0)</f>
        <v>0</v>
      </c>
    </row>
    <row r="1283" spans="1:2">
      <c r="A1283" t="str">
        <f t="shared" ca="1" si="40"/>
        <v/>
      </c>
      <c r="B1283">
        <f t="shared" ca="1" si="41"/>
        <v>0</v>
      </c>
    </row>
    <row r="1284" spans="1:2">
      <c r="A1284" t="str">
        <f t="shared" ca="1" si="40"/>
        <v/>
      </c>
      <c r="B1284">
        <f t="shared" ca="1" si="41"/>
        <v>0</v>
      </c>
    </row>
    <row r="1285" spans="1:2">
      <c r="A1285" t="str">
        <f t="shared" ca="1" si="40"/>
        <v/>
      </c>
      <c r="B1285">
        <f t="shared" ca="1" si="41"/>
        <v>0</v>
      </c>
    </row>
    <row r="1286" spans="1:2">
      <c r="A1286" t="str">
        <f t="shared" ca="1" si="40"/>
        <v/>
      </c>
      <c r="B1286">
        <f t="shared" ca="1" si="41"/>
        <v>0</v>
      </c>
    </row>
    <row r="1287" spans="1:2">
      <c r="A1287" t="str">
        <f t="shared" ca="1" si="40"/>
        <v/>
      </c>
      <c r="B1287">
        <f t="shared" ca="1" si="41"/>
        <v>0</v>
      </c>
    </row>
    <row r="1288" spans="1:2">
      <c r="A1288" t="str">
        <f t="shared" ca="1" si="40"/>
        <v/>
      </c>
      <c r="B1288">
        <f t="shared" ca="1" si="41"/>
        <v>0</v>
      </c>
    </row>
    <row r="1289" spans="1:2">
      <c r="A1289" t="str">
        <f t="shared" ca="1" si="40"/>
        <v/>
      </c>
      <c r="B1289">
        <f t="shared" ca="1" si="41"/>
        <v>0</v>
      </c>
    </row>
    <row r="1290" spans="1:2">
      <c r="A1290" t="str">
        <f t="shared" ca="1" si="40"/>
        <v/>
      </c>
      <c r="B1290">
        <f t="shared" ca="1" si="41"/>
        <v>0</v>
      </c>
    </row>
    <row r="1291" spans="1:2">
      <c r="A1291" t="str">
        <f t="shared" ca="1" si="40"/>
        <v/>
      </c>
      <c r="B1291">
        <f t="shared" ca="1" si="41"/>
        <v>0</v>
      </c>
    </row>
    <row r="1292" spans="1:2">
      <c r="A1292" t="str">
        <f t="shared" ca="1" si="40"/>
        <v/>
      </c>
      <c r="B1292">
        <f t="shared" ca="1" si="41"/>
        <v>0</v>
      </c>
    </row>
    <row r="1293" spans="1:2">
      <c r="A1293" t="str">
        <f t="shared" ca="1" si="40"/>
        <v/>
      </c>
      <c r="B1293">
        <f t="shared" ca="1" si="41"/>
        <v>0</v>
      </c>
    </row>
    <row r="1294" spans="1:2">
      <c r="A1294" t="str">
        <f t="shared" ca="1" si="40"/>
        <v/>
      </c>
      <c r="B1294">
        <f t="shared" ca="1" si="41"/>
        <v>0</v>
      </c>
    </row>
    <row r="1295" spans="1:2">
      <c r="A1295" t="str">
        <f t="shared" ca="1" si="40"/>
        <v/>
      </c>
      <c r="B1295">
        <f t="shared" ca="1" si="41"/>
        <v>0</v>
      </c>
    </row>
    <row r="1296" spans="1:2">
      <c r="A1296" t="str">
        <f t="shared" ca="1" si="40"/>
        <v/>
      </c>
      <c r="B1296">
        <f t="shared" ca="1" si="41"/>
        <v>0</v>
      </c>
    </row>
    <row r="1297" spans="1:2">
      <c r="A1297" t="str">
        <f t="shared" ca="1" si="40"/>
        <v/>
      </c>
      <c r="B1297">
        <f t="shared" ca="1" si="41"/>
        <v>0</v>
      </c>
    </row>
    <row r="1298" spans="1:2">
      <c r="A1298" t="str">
        <f t="shared" ca="1" si="40"/>
        <v/>
      </c>
      <c r="B1298">
        <f t="shared" ca="1" si="41"/>
        <v>0</v>
      </c>
    </row>
    <row r="1299" spans="1:2">
      <c r="A1299" t="str">
        <f t="shared" ca="1" si="40"/>
        <v/>
      </c>
      <c r="B1299">
        <f t="shared" ca="1" si="41"/>
        <v>0</v>
      </c>
    </row>
    <row r="1300" spans="1:2">
      <c r="A1300" t="str">
        <f t="shared" ca="1" si="40"/>
        <v/>
      </c>
      <c r="B1300">
        <f t="shared" ca="1" si="41"/>
        <v>0</v>
      </c>
    </row>
    <row r="1301" spans="1:2">
      <c r="A1301" t="str">
        <f t="shared" ca="1" si="40"/>
        <v/>
      </c>
      <c r="B1301">
        <f t="shared" ca="1" si="41"/>
        <v>0</v>
      </c>
    </row>
    <row r="1302" spans="1:2">
      <c r="A1302" t="str">
        <f t="shared" ca="1" si="40"/>
        <v/>
      </c>
      <c r="B1302">
        <f t="shared" ca="1" si="41"/>
        <v>0</v>
      </c>
    </row>
    <row r="1303" spans="1:2">
      <c r="A1303" t="str">
        <f t="shared" ca="1" si="40"/>
        <v/>
      </c>
      <c r="B1303">
        <f t="shared" ca="1" si="41"/>
        <v>0</v>
      </c>
    </row>
    <row r="1304" spans="1:2">
      <c r="A1304" t="str">
        <f t="shared" ca="1" si="40"/>
        <v/>
      </c>
      <c r="B1304">
        <f t="shared" ca="1" si="41"/>
        <v>0</v>
      </c>
    </row>
    <row r="1305" spans="1:2">
      <c r="A1305" t="str">
        <f t="shared" ca="1" si="40"/>
        <v/>
      </c>
      <c r="B1305">
        <f t="shared" ca="1" si="41"/>
        <v>0</v>
      </c>
    </row>
    <row r="1306" spans="1:2">
      <c r="A1306" t="str">
        <f t="shared" ca="1" si="40"/>
        <v/>
      </c>
      <c r="B1306">
        <f t="shared" ca="1" si="41"/>
        <v>0</v>
      </c>
    </row>
    <row r="1307" spans="1:2">
      <c r="A1307" t="str">
        <f t="shared" ca="1" si="40"/>
        <v/>
      </c>
      <c r="B1307">
        <f t="shared" ca="1" si="41"/>
        <v>0</v>
      </c>
    </row>
    <row r="1308" spans="1:2">
      <c r="A1308" t="str">
        <f t="shared" ca="1" si="40"/>
        <v/>
      </c>
      <c r="B1308">
        <f t="shared" ca="1" si="41"/>
        <v>0</v>
      </c>
    </row>
    <row r="1309" spans="1:2">
      <c r="A1309" t="str">
        <f t="shared" ca="1" si="40"/>
        <v/>
      </c>
      <c r="B1309">
        <f t="shared" ca="1" si="41"/>
        <v>0</v>
      </c>
    </row>
    <row r="1310" spans="1:2">
      <c r="A1310" t="str">
        <f t="shared" ca="1" si="40"/>
        <v/>
      </c>
      <c r="B1310">
        <f t="shared" ca="1" si="41"/>
        <v>0</v>
      </c>
    </row>
    <row r="1311" spans="1:2">
      <c r="A1311" t="str">
        <f t="shared" ca="1" si="40"/>
        <v/>
      </c>
      <c r="B1311">
        <f t="shared" ca="1" si="41"/>
        <v>0</v>
      </c>
    </row>
    <row r="1312" spans="1:2">
      <c r="A1312" t="str">
        <f t="shared" ca="1" si="40"/>
        <v/>
      </c>
      <c r="B1312">
        <f t="shared" ca="1" si="41"/>
        <v>0</v>
      </c>
    </row>
    <row r="1313" spans="1:2">
      <c r="A1313" t="str">
        <f t="shared" ca="1" si="40"/>
        <v/>
      </c>
      <c r="B1313">
        <f t="shared" ca="1" si="41"/>
        <v>0</v>
      </c>
    </row>
    <row r="1314" spans="1:2">
      <c r="A1314" t="str">
        <f t="shared" ca="1" si="40"/>
        <v/>
      </c>
      <c r="B1314">
        <f t="shared" ca="1" si="41"/>
        <v>0</v>
      </c>
    </row>
    <row r="1315" spans="1:2">
      <c r="A1315" t="str">
        <f t="shared" ca="1" si="40"/>
        <v/>
      </c>
      <c r="B1315">
        <f t="shared" ca="1" si="41"/>
        <v>0</v>
      </c>
    </row>
    <row r="1316" spans="1:2">
      <c r="A1316" t="str">
        <f t="shared" ca="1" si="40"/>
        <v/>
      </c>
      <c r="B1316">
        <f t="shared" ca="1" si="41"/>
        <v>0</v>
      </c>
    </row>
    <row r="1317" spans="1:2">
      <c r="A1317" t="str">
        <f t="shared" ca="1" si="40"/>
        <v/>
      </c>
      <c r="B1317">
        <f t="shared" ca="1" si="41"/>
        <v>0</v>
      </c>
    </row>
    <row r="1318" spans="1:2">
      <c r="A1318" t="str">
        <f t="shared" ca="1" si="40"/>
        <v/>
      </c>
      <c r="B1318">
        <f t="shared" ca="1" si="41"/>
        <v>0</v>
      </c>
    </row>
    <row r="1319" spans="1:2">
      <c r="A1319" t="str">
        <f t="shared" ca="1" si="40"/>
        <v/>
      </c>
      <c r="B1319">
        <f t="shared" ca="1" si="41"/>
        <v>0</v>
      </c>
    </row>
    <row r="1320" spans="1:2">
      <c r="A1320" t="str">
        <f t="shared" ca="1" si="40"/>
        <v/>
      </c>
      <c r="B1320">
        <f t="shared" ca="1" si="41"/>
        <v>0</v>
      </c>
    </row>
    <row r="1321" spans="1:2">
      <c r="A1321" t="str">
        <f t="shared" ca="1" si="40"/>
        <v/>
      </c>
      <c r="B1321">
        <f t="shared" ca="1" si="41"/>
        <v>0</v>
      </c>
    </row>
    <row r="1322" spans="1:2">
      <c r="A1322" t="str">
        <f t="shared" ca="1" si="40"/>
        <v/>
      </c>
      <c r="B1322">
        <f t="shared" ca="1" si="41"/>
        <v>0</v>
      </c>
    </row>
    <row r="1323" spans="1:2">
      <c r="A1323" t="str">
        <f t="shared" ca="1" si="40"/>
        <v/>
      </c>
      <c r="B1323">
        <f t="shared" ca="1" si="41"/>
        <v>0</v>
      </c>
    </row>
    <row r="1324" spans="1:2">
      <c r="A1324" t="str">
        <f t="shared" ca="1" si="40"/>
        <v/>
      </c>
      <c r="B1324">
        <f t="shared" ca="1" si="41"/>
        <v>0</v>
      </c>
    </row>
    <row r="1325" spans="1:2">
      <c r="A1325" t="str">
        <f t="shared" ca="1" si="40"/>
        <v/>
      </c>
      <c r="B1325">
        <f t="shared" ca="1" si="41"/>
        <v>0</v>
      </c>
    </row>
    <row r="1326" spans="1:2">
      <c r="A1326" t="str">
        <f t="shared" ca="1" si="40"/>
        <v/>
      </c>
      <c r="B1326">
        <f t="shared" ca="1" si="41"/>
        <v>0</v>
      </c>
    </row>
    <row r="1327" spans="1:2">
      <c r="A1327" t="str">
        <f t="shared" ca="1" si="40"/>
        <v/>
      </c>
      <c r="B1327">
        <f t="shared" ca="1" si="41"/>
        <v>0</v>
      </c>
    </row>
    <row r="1328" spans="1:2">
      <c r="A1328" t="str">
        <f t="shared" ca="1" si="40"/>
        <v/>
      </c>
      <c r="B1328">
        <f t="shared" ca="1" si="41"/>
        <v>0</v>
      </c>
    </row>
    <row r="1329" spans="1:2">
      <c r="A1329" t="str">
        <f t="shared" ca="1" si="40"/>
        <v/>
      </c>
      <c r="B1329">
        <f t="shared" ca="1" si="41"/>
        <v>0</v>
      </c>
    </row>
    <row r="1330" spans="1:2">
      <c r="A1330" t="str">
        <f t="shared" ca="1" si="40"/>
        <v/>
      </c>
      <c r="B1330">
        <f t="shared" ca="1" si="41"/>
        <v>0</v>
      </c>
    </row>
    <row r="1331" spans="1:2">
      <c r="A1331" t="str">
        <f t="shared" ca="1" si="40"/>
        <v/>
      </c>
      <c r="B1331">
        <f t="shared" ca="1" si="41"/>
        <v>0</v>
      </c>
    </row>
    <row r="1332" spans="1:2">
      <c r="A1332" t="str">
        <f t="shared" ca="1" si="40"/>
        <v/>
      </c>
      <c r="B1332">
        <f t="shared" ca="1" si="41"/>
        <v>0</v>
      </c>
    </row>
    <row r="1333" spans="1:2">
      <c r="A1333" t="str">
        <f t="shared" ca="1" si="40"/>
        <v/>
      </c>
      <c r="B1333">
        <f t="shared" ca="1" si="41"/>
        <v>0</v>
      </c>
    </row>
    <row r="1334" spans="1:2">
      <c r="A1334" t="str">
        <f t="shared" ca="1" si="40"/>
        <v/>
      </c>
      <c r="B1334">
        <f t="shared" ca="1" si="41"/>
        <v>0</v>
      </c>
    </row>
    <row r="1335" spans="1:2">
      <c r="A1335" t="str">
        <f t="shared" ca="1" si="40"/>
        <v/>
      </c>
      <c r="B1335">
        <f t="shared" ca="1" si="41"/>
        <v>0</v>
      </c>
    </row>
    <row r="1336" spans="1:2">
      <c r="A1336" t="str">
        <f t="shared" ca="1" si="40"/>
        <v/>
      </c>
      <c r="B1336">
        <f t="shared" ca="1" si="41"/>
        <v>0</v>
      </c>
    </row>
    <row r="1337" spans="1:2">
      <c r="A1337" t="str">
        <f t="shared" ca="1" si="40"/>
        <v/>
      </c>
      <c r="B1337">
        <f t="shared" ca="1" si="41"/>
        <v>0</v>
      </c>
    </row>
    <row r="1338" spans="1:2">
      <c r="A1338" t="str">
        <f t="shared" ca="1" si="40"/>
        <v/>
      </c>
      <c r="B1338">
        <f t="shared" ca="1" si="41"/>
        <v>0</v>
      </c>
    </row>
    <row r="1339" spans="1:2">
      <c r="A1339" t="str">
        <f t="shared" ca="1" si="40"/>
        <v/>
      </c>
      <c r="B1339">
        <f t="shared" ca="1" si="41"/>
        <v>0</v>
      </c>
    </row>
    <row r="1340" spans="1:2">
      <c r="A1340" t="str">
        <f t="shared" ca="1" si="40"/>
        <v/>
      </c>
      <c r="B1340">
        <f t="shared" ca="1" si="41"/>
        <v>0</v>
      </c>
    </row>
    <row r="1341" spans="1:2">
      <c r="A1341" t="str">
        <f t="shared" ca="1" si="40"/>
        <v/>
      </c>
      <c r="B1341">
        <f t="shared" ca="1" si="41"/>
        <v>0</v>
      </c>
    </row>
    <row r="1342" spans="1:2">
      <c r="A1342" t="str">
        <f t="shared" ca="1" si="40"/>
        <v/>
      </c>
      <c r="B1342">
        <f t="shared" ca="1" si="41"/>
        <v>0</v>
      </c>
    </row>
    <row r="1343" spans="1:2">
      <c r="A1343" t="str">
        <f t="shared" ca="1" si="40"/>
        <v/>
      </c>
      <c r="B1343">
        <f t="shared" ca="1" si="41"/>
        <v>0</v>
      </c>
    </row>
    <row r="1344" spans="1:2">
      <c r="A1344" t="str">
        <f t="shared" ca="1" si="40"/>
        <v/>
      </c>
      <c r="B1344">
        <f t="shared" ca="1" si="41"/>
        <v>0</v>
      </c>
    </row>
    <row r="1345" spans="1:2">
      <c r="A1345" t="str">
        <f t="shared" ca="1" si="40"/>
        <v/>
      </c>
      <c r="B1345">
        <f t="shared" ca="1" si="41"/>
        <v>0</v>
      </c>
    </row>
    <row r="1346" spans="1:2">
      <c r="A1346" t="str">
        <f t="shared" ref="A1346:A1409" ca="1" si="42">CONCATENATE(INDIRECT(ADDRESS(ROW(),3)))</f>
        <v/>
      </c>
      <c r="B1346">
        <f t="shared" ref="B1346:B1409" ca="1" si="43">IF(IF(INDIRECT(ADDRESS(ROW(),1))&lt;&gt;"",IF(ISNA(MATCH(LEFT(INDIRECT(ADDRESS(ROW(),1)),2),PCNG_MN,0))=TRUE,1,0),0)+IF(INDIRECT(ADDRESS(ROW(),1))&lt;&gt;"",IF(ISNA(MATCH(LEFT(INDIRECT(ADDRESS(ROW(),1)),3),PCNG_MN,0))=TRUE,1,0),0)+IF(INDIRECT(ADDRESS(ROW(),1))&lt;&gt;"",IF(ISNA(MATCH(LEFT(INDIRECT(ADDRESS(ROW(),1)),4),PCNG_MN,0))=TRUE,1,0),0)&gt;=3,1,0)</f>
        <v>0</v>
      </c>
    </row>
    <row r="1347" spans="1:2">
      <c r="A1347" t="str">
        <f t="shared" ca="1" si="42"/>
        <v/>
      </c>
      <c r="B1347">
        <f t="shared" ca="1" si="43"/>
        <v>0</v>
      </c>
    </row>
    <row r="1348" spans="1:2">
      <c r="A1348" t="str">
        <f t="shared" ca="1" si="42"/>
        <v/>
      </c>
      <c r="B1348">
        <f t="shared" ca="1" si="43"/>
        <v>0</v>
      </c>
    </row>
    <row r="1349" spans="1:2">
      <c r="A1349" t="str">
        <f t="shared" ca="1" si="42"/>
        <v/>
      </c>
      <c r="B1349">
        <f t="shared" ca="1" si="43"/>
        <v>0</v>
      </c>
    </row>
    <row r="1350" spans="1:2">
      <c r="A1350" t="str">
        <f t="shared" ca="1" si="42"/>
        <v/>
      </c>
      <c r="B1350">
        <f t="shared" ca="1" si="43"/>
        <v>0</v>
      </c>
    </row>
    <row r="1351" spans="1:2">
      <c r="A1351" t="str">
        <f t="shared" ca="1" si="42"/>
        <v/>
      </c>
      <c r="B1351">
        <f t="shared" ca="1" si="43"/>
        <v>0</v>
      </c>
    </row>
    <row r="1352" spans="1:2">
      <c r="A1352" t="str">
        <f t="shared" ca="1" si="42"/>
        <v/>
      </c>
      <c r="B1352">
        <f t="shared" ca="1" si="43"/>
        <v>0</v>
      </c>
    </row>
    <row r="1353" spans="1:2">
      <c r="A1353" t="str">
        <f t="shared" ca="1" si="42"/>
        <v/>
      </c>
      <c r="B1353">
        <f t="shared" ca="1" si="43"/>
        <v>0</v>
      </c>
    </row>
    <row r="1354" spans="1:2">
      <c r="A1354" t="str">
        <f t="shared" ca="1" si="42"/>
        <v/>
      </c>
      <c r="B1354">
        <f t="shared" ca="1" si="43"/>
        <v>0</v>
      </c>
    </row>
    <row r="1355" spans="1:2">
      <c r="A1355" t="str">
        <f t="shared" ca="1" si="42"/>
        <v/>
      </c>
      <c r="B1355">
        <f t="shared" ca="1" si="43"/>
        <v>0</v>
      </c>
    </row>
    <row r="1356" spans="1:2">
      <c r="A1356" t="str">
        <f t="shared" ca="1" si="42"/>
        <v/>
      </c>
      <c r="B1356">
        <f t="shared" ca="1" si="43"/>
        <v>0</v>
      </c>
    </row>
    <row r="1357" spans="1:2">
      <c r="A1357" t="str">
        <f t="shared" ca="1" si="42"/>
        <v/>
      </c>
      <c r="B1357">
        <f t="shared" ca="1" si="43"/>
        <v>0</v>
      </c>
    </row>
    <row r="1358" spans="1:2">
      <c r="A1358" t="str">
        <f t="shared" ca="1" si="42"/>
        <v/>
      </c>
      <c r="B1358">
        <f t="shared" ca="1" si="43"/>
        <v>0</v>
      </c>
    </row>
    <row r="1359" spans="1:2">
      <c r="A1359" t="str">
        <f t="shared" ca="1" si="42"/>
        <v/>
      </c>
      <c r="B1359">
        <f t="shared" ca="1" si="43"/>
        <v>0</v>
      </c>
    </row>
    <row r="1360" spans="1:2">
      <c r="A1360" t="str">
        <f t="shared" ca="1" si="42"/>
        <v/>
      </c>
      <c r="B1360">
        <f t="shared" ca="1" si="43"/>
        <v>0</v>
      </c>
    </row>
    <row r="1361" spans="1:2">
      <c r="A1361" t="str">
        <f t="shared" ca="1" si="42"/>
        <v/>
      </c>
      <c r="B1361">
        <f t="shared" ca="1" si="43"/>
        <v>0</v>
      </c>
    </row>
    <row r="1362" spans="1:2">
      <c r="A1362" t="str">
        <f t="shared" ca="1" si="42"/>
        <v/>
      </c>
      <c r="B1362">
        <f t="shared" ca="1" si="43"/>
        <v>0</v>
      </c>
    </row>
    <row r="1363" spans="1:2">
      <c r="A1363" t="str">
        <f t="shared" ca="1" si="42"/>
        <v/>
      </c>
      <c r="B1363">
        <f t="shared" ca="1" si="43"/>
        <v>0</v>
      </c>
    </row>
    <row r="1364" spans="1:2">
      <c r="A1364" t="str">
        <f t="shared" ca="1" si="42"/>
        <v/>
      </c>
      <c r="B1364">
        <f t="shared" ca="1" si="43"/>
        <v>0</v>
      </c>
    </row>
    <row r="1365" spans="1:2">
      <c r="A1365" t="str">
        <f t="shared" ca="1" si="42"/>
        <v/>
      </c>
      <c r="B1365">
        <f t="shared" ca="1" si="43"/>
        <v>0</v>
      </c>
    </row>
    <row r="1366" spans="1:2">
      <c r="A1366" t="str">
        <f t="shared" ca="1" si="42"/>
        <v/>
      </c>
      <c r="B1366">
        <f t="shared" ca="1" si="43"/>
        <v>0</v>
      </c>
    </row>
    <row r="1367" spans="1:2">
      <c r="A1367" t="str">
        <f t="shared" ca="1" si="42"/>
        <v/>
      </c>
      <c r="B1367">
        <f t="shared" ca="1" si="43"/>
        <v>0</v>
      </c>
    </row>
    <row r="1368" spans="1:2">
      <c r="A1368" t="str">
        <f t="shared" ca="1" si="42"/>
        <v/>
      </c>
      <c r="B1368">
        <f t="shared" ca="1" si="43"/>
        <v>0</v>
      </c>
    </row>
    <row r="1369" spans="1:2">
      <c r="A1369" t="str">
        <f t="shared" ca="1" si="42"/>
        <v/>
      </c>
      <c r="B1369">
        <f t="shared" ca="1" si="43"/>
        <v>0</v>
      </c>
    </row>
    <row r="1370" spans="1:2">
      <c r="A1370" t="str">
        <f t="shared" ca="1" si="42"/>
        <v/>
      </c>
      <c r="B1370">
        <f t="shared" ca="1" si="43"/>
        <v>0</v>
      </c>
    </row>
    <row r="1371" spans="1:2">
      <c r="A1371" t="str">
        <f t="shared" ca="1" si="42"/>
        <v/>
      </c>
      <c r="B1371">
        <f t="shared" ca="1" si="43"/>
        <v>0</v>
      </c>
    </row>
    <row r="1372" spans="1:2">
      <c r="A1372" t="str">
        <f t="shared" ca="1" si="42"/>
        <v/>
      </c>
      <c r="B1372">
        <f t="shared" ca="1" si="43"/>
        <v>0</v>
      </c>
    </row>
    <row r="1373" spans="1:2">
      <c r="A1373" t="str">
        <f t="shared" ca="1" si="42"/>
        <v/>
      </c>
      <c r="B1373">
        <f t="shared" ca="1" si="43"/>
        <v>0</v>
      </c>
    </row>
    <row r="1374" spans="1:2">
      <c r="A1374" t="str">
        <f t="shared" ca="1" si="42"/>
        <v/>
      </c>
      <c r="B1374">
        <f t="shared" ca="1" si="43"/>
        <v>0</v>
      </c>
    </row>
    <row r="1375" spans="1:2">
      <c r="A1375" t="str">
        <f t="shared" ca="1" si="42"/>
        <v/>
      </c>
      <c r="B1375">
        <f t="shared" ca="1" si="43"/>
        <v>0</v>
      </c>
    </row>
    <row r="1376" spans="1:2">
      <c r="A1376" t="str">
        <f t="shared" ca="1" si="42"/>
        <v/>
      </c>
      <c r="B1376">
        <f t="shared" ca="1" si="43"/>
        <v>0</v>
      </c>
    </row>
    <row r="1377" spans="1:2">
      <c r="A1377" t="str">
        <f t="shared" ca="1" si="42"/>
        <v/>
      </c>
      <c r="B1377">
        <f t="shared" ca="1" si="43"/>
        <v>0</v>
      </c>
    </row>
    <row r="1378" spans="1:2">
      <c r="A1378" t="str">
        <f t="shared" ca="1" si="42"/>
        <v/>
      </c>
      <c r="B1378">
        <f t="shared" ca="1" si="43"/>
        <v>0</v>
      </c>
    </row>
    <row r="1379" spans="1:2">
      <c r="A1379" t="str">
        <f t="shared" ca="1" si="42"/>
        <v/>
      </c>
      <c r="B1379">
        <f t="shared" ca="1" si="43"/>
        <v>0</v>
      </c>
    </row>
    <row r="1380" spans="1:2">
      <c r="A1380" t="str">
        <f t="shared" ca="1" si="42"/>
        <v/>
      </c>
      <c r="B1380">
        <f t="shared" ca="1" si="43"/>
        <v>0</v>
      </c>
    </row>
    <row r="1381" spans="1:2">
      <c r="A1381" t="str">
        <f t="shared" ca="1" si="42"/>
        <v/>
      </c>
      <c r="B1381">
        <f t="shared" ca="1" si="43"/>
        <v>0</v>
      </c>
    </row>
    <row r="1382" spans="1:2">
      <c r="A1382" t="str">
        <f t="shared" ca="1" si="42"/>
        <v/>
      </c>
      <c r="B1382">
        <f t="shared" ca="1" si="43"/>
        <v>0</v>
      </c>
    </row>
    <row r="1383" spans="1:2">
      <c r="A1383" t="str">
        <f t="shared" ca="1" si="42"/>
        <v/>
      </c>
      <c r="B1383">
        <f t="shared" ca="1" si="43"/>
        <v>0</v>
      </c>
    </row>
    <row r="1384" spans="1:2">
      <c r="A1384" t="str">
        <f t="shared" ca="1" si="42"/>
        <v/>
      </c>
      <c r="B1384">
        <f t="shared" ca="1" si="43"/>
        <v>0</v>
      </c>
    </row>
    <row r="1385" spans="1:2">
      <c r="A1385" t="str">
        <f t="shared" ca="1" si="42"/>
        <v/>
      </c>
      <c r="B1385">
        <f t="shared" ca="1" si="43"/>
        <v>0</v>
      </c>
    </row>
    <row r="1386" spans="1:2">
      <c r="A1386" t="str">
        <f t="shared" ca="1" si="42"/>
        <v/>
      </c>
      <c r="B1386">
        <f t="shared" ca="1" si="43"/>
        <v>0</v>
      </c>
    </row>
    <row r="1387" spans="1:2">
      <c r="A1387" t="str">
        <f t="shared" ca="1" si="42"/>
        <v/>
      </c>
      <c r="B1387">
        <f t="shared" ca="1" si="43"/>
        <v>0</v>
      </c>
    </row>
    <row r="1388" spans="1:2">
      <c r="A1388" t="str">
        <f t="shared" ca="1" si="42"/>
        <v/>
      </c>
      <c r="B1388">
        <f t="shared" ca="1" si="43"/>
        <v>0</v>
      </c>
    </row>
    <row r="1389" spans="1:2">
      <c r="A1389" t="str">
        <f t="shared" ca="1" si="42"/>
        <v/>
      </c>
      <c r="B1389">
        <f t="shared" ca="1" si="43"/>
        <v>0</v>
      </c>
    </row>
    <row r="1390" spans="1:2">
      <c r="A1390" t="str">
        <f t="shared" ca="1" si="42"/>
        <v/>
      </c>
      <c r="B1390">
        <f t="shared" ca="1" si="43"/>
        <v>0</v>
      </c>
    </row>
    <row r="1391" spans="1:2">
      <c r="A1391" t="str">
        <f t="shared" ca="1" si="42"/>
        <v/>
      </c>
      <c r="B1391">
        <f t="shared" ca="1" si="43"/>
        <v>0</v>
      </c>
    </row>
    <row r="1392" spans="1:2">
      <c r="A1392" t="str">
        <f t="shared" ca="1" si="42"/>
        <v/>
      </c>
      <c r="B1392">
        <f t="shared" ca="1" si="43"/>
        <v>0</v>
      </c>
    </row>
    <row r="1393" spans="1:2">
      <c r="A1393" t="str">
        <f t="shared" ca="1" si="42"/>
        <v/>
      </c>
      <c r="B1393">
        <f t="shared" ca="1" si="43"/>
        <v>0</v>
      </c>
    </row>
    <row r="1394" spans="1:2">
      <c r="A1394" t="str">
        <f t="shared" ca="1" si="42"/>
        <v/>
      </c>
      <c r="B1394">
        <f t="shared" ca="1" si="43"/>
        <v>0</v>
      </c>
    </row>
    <row r="1395" spans="1:2">
      <c r="A1395" t="str">
        <f t="shared" ca="1" si="42"/>
        <v/>
      </c>
      <c r="B1395">
        <f t="shared" ca="1" si="43"/>
        <v>0</v>
      </c>
    </row>
    <row r="1396" spans="1:2">
      <c r="A1396" t="str">
        <f t="shared" ca="1" si="42"/>
        <v/>
      </c>
      <c r="B1396">
        <f t="shared" ca="1" si="43"/>
        <v>0</v>
      </c>
    </row>
    <row r="1397" spans="1:2">
      <c r="A1397" t="str">
        <f t="shared" ca="1" si="42"/>
        <v/>
      </c>
      <c r="B1397">
        <f t="shared" ca="1" si="43"/>
        <v>0</v>
      </c>
    </row>
    <row r="1398" spans="1:2">
      <c r="A1398" t="str">
        <f t="shared" ca="1" si="42"/>
        <v/>
      </c>
      <c r="B1398">
        <f t="shared" ca="1" si="43"/>
        <v>0</v>
      </c>
    </row>
    <row r="1399" spans="1:2">
      <c r="A1399" t="str">
        <f t="shared" ca="1" si="42"/>
        <v/>
      </c>
      <c r="B1399">
        <f t="shared" ca="1" si="43"/>
        <v>0</v>
      </c>
    </row>
    <row r="1400" spans="1:2">
      <c r="A1400" t="str">
        <f t="shared" ca="1" si="42"/>
        <v/>
      </c>
      <c r="B1400">
        <f t="shared" ca="1" si="43"/>
        <v>0</v>
      </c>
    </row>
    <row r="1401" spans="1:2">
      <c r="A1401" t="str">
        <f t="shared" ca="1" si="42"/>
        <v/>
      </c>
      <c r="B1401">
        <f t="shared" ca="1" si="43"/>
        <v>0</v>
      </c>
    </row>
    <row r="1402" spans="1:2">
      <c r="A1402" t="str">
        <f t="shared" ca="1" si="42"/>
        <v/>
      </c>
      <c r="B1402">
        <f t="shared" ca="1" si="43"/>
        <v>0</v>
      </c>
    </row>
    <row r="1403" spans="1:2">
      <c r="A1403" t="str">
        <f t="shared" ca="1" si="42"/>
        <v/>
      </c>
      <c r="B1403">
        <f t="shared" ca="1" si="43"/>
        <v>0</v>
      </c>
    </row>
    <row r="1404" spans="1:2">
      <c r="A1404" t="str">
        <f t="shared" ca="1" si="42"/>
        <v/>
      </c>
      <c r="B1404">
        <f t="shared" ca="1" si="43"/>
        <v>0</v>
      </c>
    </row>
    <row r="1405" spans="1:2">
      <c r="A1405" t="str">
        <f t="shared" ca="1" si="42"/>
        <v/>
      </c>
      <c r="B1405">
        <f t="shared" ca="1" si="43"/>
        <v>0</v>
      </c>
    </row>
    <row r="1406" spans="1:2">
      <c r="A1406" t="str">
        <f t="shared" ca="1" si="42"/>
        <v/>
      </c>
      <c r="B1406">
        <f t="shared" ca="1" si="43"/>
        <v>0</v>
      </c>
    </row>
    <row r="1407" spans="1:2">
      <c r="A1407" t="str">
        <f t="shared" ca="1" si="42"/>
        <v/>
      </c>
      <c r="B1407">
        <f t="shared" ca="1" si="43"/>
        <v>0</v>
      </c>
    </row>
    <row r="1408" spans="1:2">
      <c r="A1408" t="str">
        <f t="shared" ca="1" si="42"/>
        <v/>
      </c>
      <c r="B1408">
        <f t="shared" ca="1" si="43"/>
        <v>0</v>
      </c>
    </row>
    <row r="1409" spans="1:2">
      <c r="A1409" t="str">
        <f t="shared" ca="1" si="42"/>
        <v/>
      </c>
      <c r="B1409">
        <f t="shared" ca="1" si="43"/>
        <v>0</v>
      </c>
    </row>
    <row r="1410" spans="1:2">
      <c r="A1410" t="str">
        <f t="shared" ref="A1410:A1473" ca="1" si="44">CONCATENATE(INDIRECT(ADDRESS(ROW(),3)))</f>
        <v/>
      </c>
      <c r="B1410">
        <f t="shared" ref="B1410:B1473" ca="1" si="45">IF(IF(INDIRECT(ADDRESS(ROW(),1))&lt;&gt;"",IF(ISNA(MATCH(LEFT(INDIRECT(ADDRESS(ROW(),1)),2),PCNG_MN,0))=TRUE,1,0),0)+IF(INDIRECT(ADDRESS(ROW(),1))&lt;&gt;"",IF(ISNA(MATCH(LEFT(INDIRECT(ADDRESS(ROW(),1)),3),PCNG_MN,0))=TRUE,1,0),0)+IF(INDIRECT(ADDRESS(ROW(),1))&lt;&gt;"",IF(ISNA(MATCH(LEFT(INDIRECT(ADDRESS(ROW(),1)),4),PCNG_MN,0))=TRUE,1,0),0)&gt;=3,1,0)</f>
        <v>0</v>
      </c>
    </row>
    <row r="1411" spans="1:2">
      <c r="A1411" t="str">
        <f t="shared" ca="1" si="44"/>
        <v/>
      </c>
      <c r="B1411">
        <f t="shared" ca="1" si="45"/>
        <v>0</v>
      </c>
    </row>
    <row r="1412" spans="1:2">
      <c r="A1412" t="str">
        <f t="shared" ca="1" si="44"/>
        <v/>
      </c>
      <c r="B1412">
        <f t="shared" ca="1" si="45"/>
        <v>0</v>
      </c>
    </row>
    <row r="1413" spans="1:2">
      <c r="A1413" t="str">
        <f t="shared" ca="1" si="44"/>
        <v/>
      </c>
      <c r="B1413">
        <f t="shared" ca="1" si="45"/>
        <v>0</v>
      </c>
    </row>
    <row r="1414" spans="1:2">
      <c r="A1414" t="str">
        <f t="shared" ca="1" si="44"/>
        <v/>
      </c>
      <c r="B1414">
        <f t="shared" ca="1" si="45"/>
        <v>0</v>
      </c>
    </row>
    <row r="1415" spans="1:2">
      <c r="A1415" t="str">
        <f t="shared" ca="1" si="44"/>
        <v/>
      </c>
      <c r="B1415">
        <f t="shared" ca="1" si="45"/>
        <v>0</v>
      </c>
    </row>
    <row r="1416" spans="1:2">
      <c r="A1416" t="str">
        <f t="shared" ca="1" si="44"/>
        <v/>
      </c>
      <c r="B1416">
        <f t="shared" ca="1" si="45"/>
        <v>0</v>
      </c>
    </row>
    <row r="1417" spans="1:2">
      <c r="A1417" t="str">
        <f t="shared" ca="1" si="44"/>
        <v/>
      </c>
      <c r="B1417">
        <f t="shared" ca="1" si="45"/>
        <v>0</v>
      </c>
    </row>
    <row r="1418" spans="1:2">
      <c r="A1418" t="str">
        <f t="shared" ca="1" si="44"/>
        <v/>
      </c>
      <c r="B1418">
        <f t="shared" ca="1" si="45"/>
        <v>0</v>
      </c>
    </row>
    <row r="1419" spans="1:2">
      <c r="A1419" t="str">
        <f t="shared" ca="1" si="44"/>
        <v/>
      </c>
      <c r="B1419">
        <f t="shared" ca="1" si="45"/>
        <v>0</v>
      </c>
    </row>
    <row r="1420" spans="1:2">
      <c r="A1420" t="str">
        <f t="shared" ca="1" si="44"/>
        <v/>
      </c>
      <c r="B1420">
        <f t="shared" ca="1" si="45"/>
        <v>0</v>
      </c>
    </row>
    <row r="1421" spans="1:2">
      <c r="A1421" t="str">
        <f t="shared" ca="1" si="44"/>
        <v/>
      </c>
      <c r="B1421">
        <f t="shared" ca="1" si="45"/>
        <v>0</v>
      </c>
    </row>
    <row r="1422" spans="1:2">
      <c r="A1422" t="str">
        <f t="shared" ca="1" si="44"/>
        <v/>
      </c>
      <c r="B1422">
        <f t="shared" ca="1" si="45"/>
        <v>0</v>
      </c>
    </row>
    <row r="1423" spans="1:2">
      <c r="A1423" t="str">
        <f t="shared" ca="1" si="44"/>
        <v/>
      </c>
      <c r="B1423">
        <f t="shared" ca="1" si="45"/>
        <v>0</v>
      </c>
    </row>
    <row r="1424" spans="1:2">
      <c r="A1424" t="str">
        <f t="shared" ca="1" si="44"/>
        <v/>
      </c>
      <c r="B1424">
        <f t="shared" ca="1" si="45"/>
        <v>0</v>
      </c>
    </row>
    <row r="1425" spans="1:2">
      <c r="A1425" t="str">
        <f t="shared" ca="1" si="44"/>
        <v/>
      </c>
      <c r="B1425">
        <f t="shared" ca="1" si="45"/>
        <v>0</v>
      </c>
    </row>
    <row r="1426" spans="1:2">
      <c r="A1426" t="str">
        <f t="shared" ca="1" si="44"/>
        <v/>
      </c>
      <c r="B1426">
        <f t="shared" ca="1" si="45"/>
        <v>0</v>
      </c>
    </row>
    <row r="1427" spans="1:2">
      <c r="A1427" t="str">
        <f t="shared" ca="1" si="44"/>
        <v/>
      </c>
      <c r="B1427">
        <f t="shared" ca="1" si="45"/>
        <v>0</v>
      </c>
    </row>
    <row r="1428" spans="1:2">
      <c r="A1428" t="str">
        <f t="shared" ca="1" si="44"/>
        <v/>
      </c>
      <c r="B1428">
        <f t="shared" ca="1" si="45"/>
        <v>0</v>
      </c>
    </row>
    <row r="1429" spans="1:2">
      <c r="A1429" t="str">
        <f t="shared" ca="1" si="44"/>
        <v/>
      </c>
      <c r="B1429">
        <f t="shared" ca="1" si="45"/>
        <v>0</v>
      </c>
    </row>
    <row r="1430" spans="1:2">
      <c r="A1430" t="str">
        <f t="shared" ca="1" si="44"/>
        <v/>
      </c>
      <c r="B1430">
        <f t="shared" ca="1" si="45"/>
        <v>0</v>
      </c>
    </row>
    <row r="1431" spans="1:2">
      <c r="A1431" t="str">
        <f t="shared" ca="1" si="44"/>
        <v/>
      </c>
      <c r="B1431">
        <f t="shared" ca="1" si="45"/>
        <v>0</v>
      </c>
    </row>
    <row r="1432" spans="1:2">
      <c r="A1432" t="str">
        <f t="shared" ca="1" si="44"/>
        <v/>
      </c>
      <c r="B1432">
        <f t="shared" ca="1" si="45"/>
        <v>0</v>
      </c>
    </row>
    <row r="1433" spans="1:2">
      <c r="A1433" t="str">
        <f t="shared" ca="1" si="44"/>
        <v/>
      </c>
      <c r="B1433">
        <f t="shared" ca="1" si="45"/>
        <v>0</v>
      </c>
    </row>
    <row r="1434" spans="1:2">
      <c r="A1434" t="str">
        <f t="shared" ca="1" si="44"/>
        <v/>
      </c>
      <c r="B1434">
        <f t="shared" ca="1" si="45"/>
        <v>0</v>
      </c>
    </row>
    <row r="1435" spans="1:2">
      <c r="A1435" t="str">
        <f t="shared" ca="1" si="44"/>
        <v/>
      </c>
      <c r="B1435">
        <f t="shared" ca="1" si="45"/>
        <v>0</v>
      </c>
    </row>
    <row r="1436" spans="1:2">
      <c r="A1436" t="str">
        <f t="shared" ca="1" si="44"/>
        <v/>
      </c>
      <c r="B1436">
        <f t="shared" ca="1" si="45"/>
        <v>0</v>
      </c>
    </row>
    <row r="1437" spans="1:2">
      <c r="A1437" t="str">
        <f t="shared" ca="1" si="44"/>
        <v/>
      </c>
      <c r="B1437">
        <f t="shared" ca="1" si="45"/>
        <v>0</v>
      </c>
    </row>
    <row r="1438" spans="1:2">
      <c r="A1438" t="str">
        <f t="shared" ca="1" si="44"/>
        <v/>
      </c>
      <c r="B1438">
        <f t="shared" ca="1" si="45"/>
        <v>0</v>
      </c>
    </row>
    <row r="1439" spans="1:2">
      <c r="A1439" t="str">
        <f t="shared" ca="1" si="44"/>
        <v/>
      </c>
      <c r="B1439">
        <f t="shared" ca="1" si="45"/>
        <v>0</v>
      </c>
    </row>
    <row r="1440" spans="1:2">
      <c r="A1440" t="str">
        <f t="shared" ca="1" si="44"/>
        <v/>
      </c>
      <c r="B1440">
        <f t="shared" ca="1" si="45"/>
        <v>0</v>
      </c>
    </row>
    <row r="1441" spans="1:2">
      <c r="A1441" t="str">
        <f t="shared" ca="1" si="44"/>
        <v/>
      </c>
      <c r="B1441">
        <f t="shared" ca="1" si="45"/>
        <v>0</v>
      </c>
    </row>
    <row r="1442" spans="1:2">
      <c r="A1442" t="str">
        <f t="shared" ca="1" si="44"/>
        <v/>
      </c>
      <c r="B1442">
        <f t="shared" ca="1" si="45"/>
        <v>0</v>
      </c>
    </row>
    <row r="1443" spans="1:2">
      <c r="A1443" t="str">
        <f t="shared" ca="1" si="44"/>
        <v/>
      </c>
      <c r="B1443">
        <f t="shared" ca="1" si="45"/>
        <v>0</v>
      </c>
    </row>
    <row r="1444" spans="1:2">
      <c r="A1444" t="str">
        <f t="shared" ca="1" si="44"/>
        <v/>
      </c>
      <c r="B1444">
        <f t="shared" ca="1" si="45"/>
        <v>0</v>
      </c>
    </row>
    <row r="1445" spans="1:2">
      <c r="A1445" t="str">
        <f t="shared" ca="1" si="44"/>
        <v/>
      </c>
      <c r="B1445">
        <f t="shared" ca="1" si="45"/>
        <v>0</v>
      </c>
    </row>
    <row r="1446" spans="1:2">
      <c r="A1446" t="str">
        <f t="shared" ca="1" si="44"/>
        <v/>
      </c>
      <c r="B1446">
        <f t="shared" ca="1" si="45"/>
        <v>0</v>
      </c>
    </row>
    <row r="1447" spans="1:2">
      <c r="A1447" t="str">
        <f t="shared" ca="1" si="44"/>
        <v/>
      </c>
      <c r="B1447">
        <f t="shared" ca="1" si="45"/>
        <v>0</v>
      </c>
    </row>
    <row r="1448" spans="1:2">
      <c r="A1448" t="str">
        <f t="shared" ca="1" si="44"/>
        <v/>
      </c>
      <c r="B1448">
        <f t="shared" ca="1" si="45"/>
        <v>0</v>
      </c>
    </row>
    <row r="1449" spans="1:2">
      <c r="A1449" t="str">
        <f t="shared" ca="1" si="44"/>
        <v/>
      </c>
      <c r="B1449">
        <f t="shared" ca="1" si="45"/>
        <v>0</v>
      </c>
    </row>
    <row r="1450" spans="1:2">
      <c r="A1450" t="str">
        <f t="shared" ca="1" si="44"/>
        <v/>
      </c>
      <c r="B1450">
        <f t="shared" ca="1" si="45"/>
        <v>0</v>
      </c>
    </row>
    <row r="1451" spans="1:2">
      <c r="A1451" t="str">
        <f t="shared" ca="1" si="44"/>
        <v/>
      </c>
      <c r="B1451">
        <f t="shared" ca="1" si="45"/>
        <v>0</v>
      </c>
    </row>
    <row r="1452" spans="1:2">
      <c r="A1452" t="str">
        <f t="shared" ca="1" si="44"/>
        <v/>
      </c>
      <c r="B1452">
        <f t="shared" ca="1" si="45"/>
        <v>0</v>
      </c>
    </row>
    <row r="1453" spans="1:2">
      <c r="A1453" t="str">
        <f t="shared" ca="1" si="44"/>
        <v/>
      </c>
      <c r="B1453">
        <f t="shared" ca="1" si="45"/>
        <v>0</v>
      </c>
    </row>
    <row r="1454" spans="1:2">
      <c r="A1454" t="str">
        <f t="shared" ca="1" si="44"/>
        <v/>
      </c>
      <c r="B1454">
        <f t="shared" ca="1" si="45"/>
        <v>0</v>
      </c>
    </row>
    <row r="1455" spans="1:2">
      <c r="A1455" t="str">
        <f t="shared" ca="1" si="44"/>
        <v/>
      </c>
      <c r="B1455">
        <f t="shared" ca="1" si="45"/>
        <v>0</v>
      </c>
    </row>
    <row r="1456" spans="1:2">
      <c r="A1456" t="str">
        <f t="shared" ca="1" si="44"/>
        <v/>
      </c>
      <c r="B1456">
        <f t="shared" ca="1" si="45"/>
        <v>0</v>
      </c>
    </row>
    <row r="1457" spans="1:2">
      <c r="A1457" t="str">
        <f t="shared" ca="1" si="44"/>
        <v/>
      </c>
      <c r="B1457">
        <f t="shared" ca="1" si="45"/>
        <v>0</v>
      </c>
    </row>
    <row r="1458" spans="1:2">
      <c r="A1458" t="str">
        <f t="shared" ca="1" si="44"/>
        <v/>
      </c>
      <c r="B1458">
        <f t="shared" ca="1" si="45"/>
        <v>0</v>
      </c>
    </row>
    <row r="1459" spans="1:2">
      <c r="A1459" t="str">
        <f t="shared" ca="1" si="44"/>
        <v/>
      </c>
      <c r="B1459">
        <f t="shared" ca="1" si="45"/>
        <v>0</v>
      </c>
    </row>
    <row r="1460" spans="1:2">
      <c r="A1460" t="str">
        <f t="shared" ca="1" si="44"/>
        <v/>
      </c>
      <c r="B1460">
        <f t="shared" ca="1" si="45"/>
        <v>0</v>
      </c>
    </row>
    <row r="1461" spans="1:2">
      <c r="A1461" t="str">
        <f t="shared" ca="1" si="44"/>
        <v/>
      </c>
      <c r="B1461">
        <f t="shared" ca="1" si="45"/>
        <v>0</v>
      </c>
    </row>
    <row r="1462" spans="1:2">
      <c r="A1462" t="str">
        <f t="shared" ca="1" si="44"/>
        <v/>
      </c>
      <c r="B1462">
        <f t="shared" ca="1" si="45"/>
        <v>0</v>
      </c>
    </row>
    <row r="1463" spans="1:2">
      <c r="A1463" t="str">
        <f t="shared" ca="1" si="44"/>
        <v/>
      </c>
      <c r="B1463">
        <f t="shared" ca="1" si="45"/>
        <v>0</v>
      </c>
    </row>
    <row r="1464" spans="1:2">
      <c r="A1464" t="str">
        <f t="shared" ca="1" si="44"/>
        <v/>
      </c>
      <c r="B1464">
        <f t="shared" ca="1" si="45"/>
        <v>0</v>
      </c>
    </row>
    <row r="1465" spans="1:2">
      <c r="A1465" t="str">
        <f t="shared" ca="1" si="44"/>
        <v/>
      </c>
      <c r="B1465">
        <f t="shared" ca="1" si="45"/>
        <v>0</v>
      </c>
    </row>
    <row r="1466" spans="1:2">
      <c r="A1466" t="str">
        <f t="shared" ca="1" si="44"/>
        <v/>
      </c>
      <c r="B1466">
        <f t="shared" ca="1" si="45"/>
        <v>0</v>
      </c>
    </row>
    <row r="1467" spans="1:2">
      <c r="A1467" t="str">
        <f t="shared" ca="1" si="44"/>
        <v/>
      </c>
      <c r="B1467">
        <f t="shared" ca="1" si="45"/>
        <v>0</v>
      </c>
    </row>
    <row r="1468" spans="1:2">
      <c r="A1468" t="str">
        <f t="shared" ca="1" si="44"/>
        <v/>
      </c>
      <c r="B1468">
        <f t="shared" ca="1" si="45"/>
        <v>0</v>
      </c>
    </row>
    <row r="1469" spans="1:2">
      <c r="A1469" t="str">
        <f t="shared" ca="1" si="44"/>
        <v/>
      </c>
      <c r="B1469">
        <f t="shared" ca="1" si="45"/>
        <v>0</v>
      </c>
    </row>
    <row r="1470" spans="1:2">
      <c r="A1470" t="str">
        <f t="shared" ca="1" si="44"/>
        <v/>
      </c>
      <c r="B1470">
        <f t="shared" ca="1" si="45"/>
        <v>0</v>
      </c>
    </row>
    <row r="1471" spans="1:2">
      <c r="A1471" t="str">
        <f t="shared" ca="1" si="44"/>
        <v/>
      </c>
      <c r="B1471">
        <f t="shared" ca="1" si="45"/>
        <v>0</v>
      </c>
    </row>
    <row r="1472" spans="1:2">
      <c r="A1472" t="str">
        <f t="shared" ca="1" si="44"/>
        <v/>
      </c>
      <c r="B1472">
        <f t="shared" ca="1" si="45"/>
        <v>0</v>
      </c>
    </row>
    <row r="1473" spans="1:2">
      <c r="A1473" t="str">
        <f t="shared" ca="1" si="44"/>
        <v/>
      </c>
      <c r="B1473">
        <f t="shared" ca="1" si="45"/>
        <v>0</v>
      </c>
    </row>
    <row r="1474" spans="1:2">
      <c r="A1474" t="str">
        <f t="shared" ref="A1474:A1537" ca="1" si="46">CONCATENATE(INDIRECT(ADDRESS(ROW(),3)))</f>
        <v/>
      </c>
      <c r="B1474">
        <f t="shared" ref="B1474:B1537" ca="1" si="47">IF(IF(INDIRECT(ADDRESS(ROW(),1))&lt;&gt;"",IF(ISNA(MATCH(LEFT(INDIRECT(ADDRESS(ROW(),1)),2),PCNG_MN,0))=TRUE,1,0),0)+IF(INDIRECT(ADDRESS(ROW(),1))&lt;&gt;"",IF(ISNA(MATCH(LEFT(INDIRECT(ADDRESS(ROW(),1)),3),PCNG_MN,0))=TRUE,1,0),0)+IF(INDIRECT(ADDRESS(ROW(),1))&lt;&gt;"",IF(ISNA(MATCH(LEFT(INDIRECT(ADDRESS(ROW(),1)),4),PCNG_MN,0))=TRUE,1,0),0)&gt;=3,1,0)</f>
        <v>0</v>
      </c>
    </row>
    <row r="1475" spans="1:2">
      <c r="A1475" t="str">
        <f t="shared" ca="1" si="46"/>
        <v/>
      </c>
      <c r="B1475">
        <f t="shared" ca="1" si="47"/>
        <v>0</v>
      </c>
    </row>
    <row r="1476" spans="1:2">
      <c r="A1476" t="str">
        <f t="shared" ca="1" si="46"/>
        <v/>
      </c>
      <c r="B1476">
        <f t="shared" ca="1" si="47"/>
        <v>0</v>
      </c>
    </row>
    <row r="1477" spans="1:2">
      <c r="A1477" t="str">
        <f t="shared" ca="1" si="46"/>
        <v/>
      </c>
      <c r="B1477">
        <f t="shared" ca="1" si="47"/>
        <v>0</v>
      </c>
    </row>
    <row r="1478" spans="1:2">
      <c r="A1478" t="str">
        <f t="shared" ca="1" si="46"/>
        <v/>
      </c>
      <c r="B1478">
        <f t="shared" ca="1" si="47"/>
        <v>0</v>
      </c>
    </row>
    <row r="1479" spans="1:2">
      <c r="A1479" t="str">
        <f t="shared" ca="1" si="46"/>
        <v/>
      </c>
      <c r="B1479">
        <f t="shared" ca="1" si="47"/>
        <v>0</v>
      </c>
    </row>
    <row r="1480" spans="1:2">
      <c r="A1480" t="str">
        <f t="shared" ca="1" si="46"/>
        <v/>
      </c>
      <c r="B1480">
        <f t="shared" ca="1" si="47"/>
        <v>0</v>
      </c>
    </row>
    <row r="1481" spans="1:2">
      <c r="A1481" t="str">
        <f t="shared" ca="1" si="46"/>
        <v/>
      </c>
      <c r="B1481">
        <f t="shared" ca="1" si="47"/>
        <v>0</v>
      </c>
    </row>
    <row r="1482" spans="1:2">
      <c r="A1482" t="str">
        <f t="shared" ca="1" si="46"/>
        <v/>
      </c>
      <c r="B1482">
        <f t="shared" ca="1" si="47"/>
        <v>0</v>
      </c>
    </row>
    <row r="1483" spans="1:2">
      <c r="A1483" t="str">
        <f t="shared" ca="1" si="46"/>
        <v/>
      </c>
      <c r="B1483">
        <f t="shared" ca="1" si="47"/>
        <v>0</v>
      </c>
    </row>
    <row r="1484" spans="1:2">
      <c r="A1484" t="str">
        <f t="shared" ca="1" si="46"/>
        <v/>
      </c>
      <c r="B1484">
        <f t="shared" ca="1" si="47"/>
        <v>0</v>
      </c>
    </row>
    <row r="1485" spans="1:2">
      <c r="A1485" t="str">
        <f t="shared" ca="1" si="46"/>
        <v/>
      </c>
      <c r="B1485">
        <f t="shared" ca="1" si="47"/>
        <v>0</v>
      </c>
    </row>
    <row r="1486" spans="1:2">
      <c r="A1486" t="str">
        <f t="shared" ca="1" si="46"/>
        <v/>
      </c>
      <c r="B1486">
        <f t="shared" ca="1" si="47"/>
        <v>0</v>
      </c>
    </row>
    <row r="1487" spans="1:2">
      <c r="A1487" t="str">
        <f t="shared" ca="1" si="46"/>
        <v/>
      </c>
      <c r="B1487">
        <f t="shared" ca="1" si="47"/>
        <v>0</v>
      </c>
    </row>
    <row r="1488" spans="1:2">
      <c r="A1488" t="str">
        <f t="shared" ca="1" si="46"/>
        <v/>
      </c>
      <c r="B1488">
        <f t="shared" ca="1" si="47"/>
        <v>0</v>
      </c>
    </row>
    <row r="1489" spans="1:2">
      <c r="A1489" t="str">
        <f t="shared" ca="1" si="46"/>
        <v/>
      </c>
      <c r="B1489">
        <f t="shared" ca="1" si="47"/>
        <v>0</v>
      </c>
    </row>
    <row r="1490" spans="1:2">
      <c r="A1490" t="str">
        <f t="shared" ca="1" si="46"/>
        <v/>
      </c>
      <c r="B1490">
        <f t="shared" ca="1" si="47"/>
        <v>0</v>
      </c>
    </row>
    <row r="1491" spans="1:2">
      <c r="A1491" t="str">
        <f t="shared" ca="1" si="46"/>
        <v/>
      </c>
      <c r="B1491">
        <f t="shared" ca="1" si="47"/>
        <v>0</v>
      </c>
    </row>
    <row r="1492" spans="1:2">
      <c r="A1492" t="str">
        <f t="shared" ca="1" si="46"/>
        <v/>
      </c>
      <c r="B1492">
        <f t="shared" ca="1" si="47"/>
        <v>0</v>
      </c>
    </row>
    <row r="1493" spans="1:2">
      <c r="A1493" t="str">
        <f t="shared" ca="1" si="46"/>
        <v/>
      </c>
      <c r="B1493">
        <f t="shared" ca="1" si="47"/>
        <v>0</v>
      </c>
    </row>
    <row r="1494" spans="1:2">
      <c r="A1494" t="str">
        <f t="shared" ca="1" si="46"/>
        <v/>
      </c>
      <c r="B1494">
        <f t="shared" ca="1" si="47"/>
        <v>0</v>
      </c>
    </row>
    <row r="1495" spans="1:2">
      <c r="A1495" t="str">
        <f t="shared" ca="1" si="46"/>
        <v/>
      </c>
      <c r="B1495">
        <f t="shared" ca="1" si="47"/>
        <v>0</v>
      </c>
    </row>
    <row r="1496" spans="1:2">
      <c r="A1496" t="str">
        <f t="shared" ca="1" si="46"/>
        <v/>
      </c>
      <c r="B1496">
        <f t="shared" ca="1" si="47"/>
        <v>0</v>
      </c>
    </row>
    <row r="1497" spans="1:2">
      <c r="A1497" t="str">
        <f t="shared" ca="1" si="46"/>
        <v/>
      </c>
      <c r="B1497">
        <f t="shared" ca="1" si="47"/>
        <v>0</v>
      </c>
    </row>
    <row r="1498" spans="1:2">
      <c r="A1498" t="str">
        <f t="shared" ca="1" si="46"/>
        <v/>
      </c>
      <c r="B1498">
        <f t="shared" ca="1" si="47"/>
        <v>0</v>
      </c>
    </row>
    <row r="1499" spans="1:2">
      <c r="A1499" t="str">
        <f t="shared" ca="1" si="46"/>
        <v/>
      </c>
      <c r="B1499">
        <f t="shared" ca="1" si="47"/>
        <v>0</v>
      </c>
    </row>
    <row r="1500" spans="1:2">
      <c r="A1500" t="str">
        <f t="shared" ca="1" si="46"/>
        <v/>
      </c>
      <c r="B1500">
        <f t="shared" ca="1" si="47"/>
        <v>0</v>
      </c>
    </row>
    <row r="1501" spans="1:2">
      <c r="A1501" t="str">
        <f t="shared" ca="1" si="46"/>
        <v/>
      </c>
      <c r="B1501">
        <f t="shared" ca="1" si="47"/>
        <v>0</v>
      </c>
    </row>
    <row r="1502" spans="1:2">
      <c r="A1502" t="str">
        <f t="shared" ca="1" si="46"/>
        <v/>
      </c>
      <c r="B1502">
        <f t="shared" ca="1" si="47"/>
        <v>0</v>
      </c>
    </row>
    <row r="1503" spans="1:2">
      <c r="A1503" t="str">
        <f t="shared" ca="1" si="46"/>
        <v/>
      </c>
      <c r="B1503">
        <f t="shared" ca="1" si="47"/>
        <v>0</v>
      </c>
    </row>
    <row r="1504" spans="1:2">
      <c r="A1504" t="str">
        <f t="shared" ca="1" si="46"/>
        <v/>
      </c>
      <c r="B1504">
        <f t="shared" ca="1" si="47"/>
        <v>0</v>
      </c>
    </row>
    <row r="1505" spans="1:2">
      <c r="A1505" t="str">
        <f t="shared" ca="1" si="46"/>
        <v/>
      </c>
      <c r="B1505">
        <f t="shared" ca="1" si="47"/>
        <v>0</v>
      </c>
    </row>
    <row r="1506" spans="1:2">
      <c r="A1506" t="str">
        <f t="shared" ca="1" si="46"/>
        <v/>
      </c>
      <c r="B1506">
        <f t="shared" ca="1" si="47"/>
        <v>0</v>
      </c>
    </row>
    <row r="1507" spans="1:2">
      <c r="A1507" t="str">
        <f t="shared" ca="1" si="46"/>
        <v/>
      </c>
      <c r="B1507">
        <f t="shared" ca="1" si="47"/>
        <v>0</v>
      </c>
    </row>
    <row r="1508" spans="1:2">
      <c r="A1508" t="str">
        <f t="shared" ca="1" si="46"/>
        <v/>
      </c>
      <c r="B1508">
        <f t="shared" ca="1" si="47"/>
        <v>0</v>
      </c>
    </row>
    <row r="1509" spans="1:2">
      <c r="A1509" t="str">
        <f t="shared" ca="1" si="46"/>
        <v/>
      </c>
      <c r="B1509">
        <f t="shared" ca="1" si="47"/>
        <v>0</v>
      </c>
    </row>
    <row r="1510" spans="1:2">
      <c r="A1510" t="str">
        <f t="shared" ca="1" si="46"/>
        <v/>
      </c>
      <c r="B1510">
        <f t="shared" ca="1" si="47"/>
        <v>0</v>
      </c>
    </row>
    <row r="1511" spans="1:2">
      <c r="A1511" t="str">
        <f t="shared" ca="1" si="46"/>
        <v/>
      </c>
      <c r="B1511">
        <f t="shared" ca="1" si="47"/>
        <v>0</v>
      </c>
    </row>
    <row r="1512" spans="1:2">
      <c r="A1512" t="str">
        <f t="shared" ca="1" si="46"/>
        <v/>
      </c>
      <c r="B1512">
        <f t="shared" ca="1" si="47"/>
        <v>0</v>
      </c>
    </row>
    <row r="1513" spans="1:2">
      <c r="A1513" t="str">
        <f t="shared" ca="1" si="46"/>
        <v/>
      </c>
      <c r="B1513">
        <f t="shared" ca="1" si="47"/>
        <v>0</v>
      </c>
    </row>
    <row r="1514" spans="1:2">
      <c r="A1514" t="str">
        <f t="shared" ca="1" si="46"/>
        <v/>
      </c>
      <c r="B1514">
        <f t="shared" ca="1" si="47"/>
        <v>0</v>
      </c>
    </row>
    <row r="1515" spans="1:2">
      <c r="A1515" t="str">
        <f t="shared" ca="1" si="46"/>
        <v/>
      </c>
      <c r="B1515">
        <f t="shared" ca="1" si="47"/>
        <v>0</v>
      </c>
    </row>
    <row r="1516" spans="1:2">
      <c r="A1516" t="str">
        <f t="shared" ca="1" si="46"/>
        <v/>
      </c>
      <c r="B1516">
        <f t="shared" ca="1" si="47"/>
        <v>0</v>
      </c>
    </row>
    <row r="1517" spans="1:2">
      <c r="A1517" t="str">
        <f t="shared" ca="1" si="46"/>
        <v/>
      </c>
      <c r="B1517">
        <f t="shared" ca="1" si="47"/>
        <v>0</v>
      </c>
    </row>
    <row r="1518" spans="1:2">
      <c r="A1518" t="str">
        <f t="shared" ca="1" si="46"/>
        <v/>
      </c>
      <c r="B1518">
        <f t="shared" ca="1" si="47"/>
        <v>0</v>
      </c>
    </row>
    <row r="1519" spans="1:2">
      <c r="A1519" t="str">
        <f t="shared" ca="1" si="46"/>
        <v/>
      </c>
      <c r="B1519">
        <f t="shared" ca="1" si="47"/>
        <v>0</v>
      </c>
    </row>
    <row r="1520" spans="1:2">
      <c r="A1520" t="str">
        <f t="shared" ca="1" si="46"/>
        <v/>
      </c>
      <c r="B1520">
        <f t="shared" ca="1" si="47"/>
        <v>0</v>
      </c>
    </row>
    <row r="1521" spans="1:2">
      <c r="A1521" t="str">
        <f t="shared" ca="1" si="46"/>
        <v/>
      </c>
      <c r="B1521">
        <f t="shared" ca="1" si="47"/>
        <v>0</v>
      </c>
    </row>
    <row r="1522" spans="1:2">
      <c r="A1522" t="str">
        <f t="shared" ca="1" si="46"/>
        <v/>
      </c>
      <c r="B1522">
        <f t="shared" ca="1" si="47"/>
        <v>0</v>
      </c>
    </row>
    <row r="1523" spans="1:2">
      <c r="A1523" t="str">
        <f t="shared" ca="1" si="46"/>
        <v/>
      </c>
      <c r="B1523">
        <f t="shared" ca="1" si="47"/>
        <v>0</v>
      </c>
    </row>
    <row r="1524" spans="1:2">
      <c r="A1524" t="str">
        <f t="shared" ca="1" si="46"/>
        <v/>
      </c>
      <c r="B1524">
        <f t="shared" ca="1" si="47"/>
        <v>0</v>
      </c>
    </row>
    <row r="1525" spans="1:2">
      <c r="A1525" t="str">
        <f t="shared" ca="1" si="46"/>
        <v/>
      </c>
      <c r="B1525">
        <f t="shared" ca="1" si="47"/>
        <v>0</v>
      </c>
    </row>
    <row r="1526" spans="1:2">
      <c r="A1526" t="str">
        <f t="shared" ca="1" si="46"/>
        <v/>
      </c>
      <c r="B1526">
        <f t="shared" ca="1" si="47"/>
        <v>0</v>
      </c>
    </row>
    <row r="1527" spans="1:2">
      <c r="A1527" t="str">
        <f t="shared" ca="1" si="46"/>
        <v/>
      </c>
      <c r="B1527">
        <f t="shared" ca="1" si="47"/>
        <v>0</v>
      </c>
    </row>
    <row r="1528" spans="1:2">
      <c r="A1528" t="str">
        <f t="shared" ca="1" si="46"/>
        <v/>
      </c>
      <c r="B1528">
        <f t="shared" ca="1" si="47"/>
        <v>0</v>
      </c>
    </row>
    <row r="1529" spans="1:2">
      <c r="A1529" t="str">
        <f t="shared" ca="1" si="46"/>
        <v/>
      </c>
      <c r="B1529">
        <f t="shared" ca="1" si="47"/>
        <v>0</v>
      </c>
    </row>
    <row r="1530" spans="1:2">
      <c r="A1530" t="str">
        <f t="shared" ca="1" si="46"/>
        <v/>
      </c>
      <c r="B1530">
        <f t="shared" ca="1" si="47"/>
        <v>0</v>
      </c>
    </row>
    <row r="1531" spans="1:2">
      <c r="A1531" t="str">
        <f t="shared" ca="1" si="46"/>
        <v/>
      </c>
      <c r="B1531">
        <f t="shared" ca="1" si="47"/>
        <v>0</v>
      </c>
    </row>
    <row r="1532" spans="1:2">
      <c r="A1532" t="str">
        <f t="shared" ca="1" si="46"/>
        <v/>
      </c>
      <c r="B1532">
        <f t="shared" ca="1" si="47"/>
        <v>0</v>
      </c>
    </row>
    <row r="1533" spans="1:2">
      <c r="A1533" t="str">
        <f t="shared" ca="1" si="46"/>
        <v/>
      </c>
      <c r="B1533">
        <f t="shared" ca="1" si="47"/>
        <v>0</v>
      </c>
    </row>
    <row r="1534" spans="1:2">
      <c r="A1534" t="str">
        <f t="shared" ca="1" si="46"/>
        <v/>
      </c>
      <c r="B1534">
        <f t="shared" ca="1" si="47"/>
        <v>0</v>
      </c>
    </row>
    <row r="1535" spans="1:2">
      <c r="A1535" t="str">
        <f t="shared" ca="1" si="46"/>
        <v/>
      </c>
      <c r="B1535">
        <f t="shared" ca="1" si="47"/>
        <v>0</v>
      </c>
    </row>
    <row r="1536" spans="1:2">
      <c r="A1536" t="str">
        <f t="shared" ca="1" si="46"/>
        <v/>
      </c>
      <c r="B1536">
        <f t="shared" ca="1" si="47"/>
        <v>0</v>
      </c>
    </row>
    <row r="1537" spans="1:2">
      <c r="A1537" t="str">
        <f t="shared" ca="1" si="46"/>
        <v/>
      </c>
      <c r="B1537">
        <f t="shared" ca="1" si="47"/>
        <v>0</v>
      </c>
    </row>
    <row r="1538" spans="1:2">
      <c r="A1538" t="str">
        <f t="shared" ref="A1538:A1601" ca="1" si="48">CONCATENATE(INDIRECT(ADDRESS(ROW(),3)))</f>
        <v/>
      </c>
      <c r="B1538">
        <f t="shared" ref="B1538:B1601" ca="1" si="49">IF(IF(INDIRECT(ADDRESS(ROW(),1))&lt;&gt;"",IF(ISNA(MATCH(LEFT(INDIRECT(ADDRESS(ROW(),1)),2),PCNG_MN,0))=TRUE,1,0),0)+IF(INDIRECT(ADDRESS(ROW(),1))&lt;&gt;"",IF(ISNA(MATCH(LEFT(INDIRECT(ADDRESS(ROW(),1)),3),PCNG_MN,0))=TRUE,1,0),0)+IF(INDIRECT(ADDRESS(ROW(),1))&lt;&gt;"",IF(ISNA(MATCH(LEFT(INDIRECT(ADDRESS(ROW(),1)),4),PCNG_MN,0))=TRUE,1,0),0)&gt;=3,1,0)</f>
        <v>0</v>
      </c>
    </row>
    <row r="1539" spans="1:2">
      <c r="A1539" t="str">
        <f t="shared" ca="1" si="48"/>
        <v/>
      </c>
      <c r="B1539">
        <f t="shared" ca="1" si="49"/>
        <v>0</v>
      </c>
    </row>
    <row r="1540" spans="1:2">
      <c r="A1540" t="str">
        <f t="shared" ca="1" si="48"/>
        <v/>
      </c>
      <c r="B1540">
        <f t="shared" ca="1" si="49"/>
        <v>0</v>
      </c>
    </row>
    <row r="1541" spans="1:2">
      <c r="A1541" t="str">
        <f t="shared" ca="1" si="48"/>
        <v/>
      </c>
      <c r="B1541">
        <f t="shared" ca="1" si="49"/>
        <v>0</v>
      </c>
    </row>
    <row r="1542" spans="1:2">
      <c r="A1542" t="str">
        <f t="shared" ca="1" si="48"/>
        <v/>
      </c>
      <c r="B1542">
        <f t="shared" ca="1" si="49"/>
        <v>0</v>
      </c>
    </row>
    <row r="1543" spans="1:2">
      <c r="A1543" t="str">
        <f t="shared" ca="1" si="48"/>
        <v/>
      </c>
      <c r="B1543">
        <f t="shared" ca="1" si="49"/>
        <v>0</v>
      </c>
    </row>
    <row r="1544" spans="1:2">
      <c r="A1544" t="str">
        <f t="shared" ca="1" si="48"/>
        <v/>
      </c>
      <c r="B1544">
        <f t="shared" ca="1" si="49"/>
        <v>0</v>
      </c>
    </row>
    <row r="1545" spans="1:2">
      <c r="A1545" t="str">
        <f t="shared" ca="1" si="48"/>
        <v/>
      </c>
      <c r="B1545">
        <f t="shared" ca="1" si="49"/>
        <v>0</v>
      </c>
    </row>
    <row r="1546" spans="1:2">
      <c r="A1546" t="str">
        <f t="shared" ca="1" si="48"/>
        <v/>
      </c>
      <c r="B1546">
        <f t="shared" ca="1" si="49"/>
        <v>0</v>
      </c>
    </row>
    <row r="1547" spans="1:2">
      <c r="A1547" t="str">
        <f t="shared" ca="1" si="48"/>
        <v/>
      </c>
      <c r="B1547">
        <f t="shared" ca="1" si="49"/>
        <v>0</v>
      </c>
    </row>
    <row r="1548" spans="1:2">
      <c r="A1548" t="str">
        <f t="shared" ca="1" si="48"/>
        <v/>
      </c>
      <c r="B1548">
        <f t="shared" ca="1" si="49"/>
        <v>0</v>
      </c>
    </row>
    <row r="1549" spans="1:2">
      <c r="A1549" t="str">
        <f t="shared" ca="1" si="48"/>
        <v/>
      </c>
      <c r="B1549">
        <f t="shared" ca="1" si="49"/>
        <v>0</v>
      </c>
    </row>
    <row r="1550" spans="1:2">
      <c r="A1550" t="str">
        <f t="shared" ca="1" si="48"/>
        <v/>
      </c>
      <c r="B1550">
        <f t="shared" ca="1" si="49"/>
        <v>0</v>
      </c>
    </row>
    <row r="1551" spans="1:2">
      <c r="A1551" t="str">
        <f t="shared" ca="1" si="48"/>
        <v/>
      </c>
      <c r="B1551">
        <f t="shared" ca="1" si="49"/>
        <v>0</v>
      </c>
    </row>
    <row r="1552" spans="1:2">
      <c r="A1552" t="str">
        <f t="shared" ca="1" si="48"/>
        <v/>
      </c>
      <c r="B1552">
        <f t="shared" ca="1" si="49"/>
        <v>0</v>
      </c>
    </row>
    <row r="1553" spans="1:2">
      <c r="A1553" t="str">
        <f t="shared" ca="1" si="48"/>
        <v/>
      </c>
      <c r="B1553">
        <f t="shared" ca="1" si="49"/>
        <v>0</v>
      </c>
    </row>
    <row r="1554" spans="1:2">
      <c r="A1554" t="str">
        <f t="shared" ca="1" si="48"/>
        <v/>
      </c>
      <c r="B1554">
        <f t="shared" ca="1" si="49"/>
        <v>0</v>
      </c>
    </row>
    <row r="1555" spans="1:2">
      <c r="A1555" t="str">
        <f t="shared" ca="1" si="48"/>
        <v/>
      </c>
      <c r="B1555">
        <f t="shared" ca="1" si="49"/>
        <v>0</v>
      </c>
    </row>
    <row r="1556" spans="1:2">
      <c r="A1556" t="str">
        <f t="shared" ca="1" si="48"/>
        <v/>
      </c>
      <c r="B1556">
        <f t="shared" ca="1" si="49"/>
        <v>0</v>
      </c>
    </row>
    <row r="1557" spans="1:2">
      <c r="A1557" t="str">
        <f t="shared" ca="1" si="48"/>
        <v/>
      </c>
      <c r="B1557">
        <f t="shared" ca="1" si="49"/>
        <v>0</v>
      </c>
    </row>
    <row r="1558" spans="1:2">
      <c r="A1558" t="str">
        <f t="shared" ca="1" si="48"/>
        <v/>
      </c>
      <c r="B1558">
        <f t="shared" ca="1" si="49"/>
        <v>0</v>
      </c>
    </row>
    <row r="1559" spans="1:2">
      <c r="A1559" t="str">
        <f t="shared" ca="1" si="48"/>
        <v/>
      </c>
      <c r="B1559">
        <f t="shared" ca="1" si="49"/>
        <v>0</v>
      </c>
    </row>
    <row r="1560" spans="1:2">
      <c r="A1560" t="str">
        <f t="shared" ca="1" si="48"/>
        <v/>
      </c>
      <c r="B1560">
        <f t="shared" ca="1" si="49"/>
        <v>0</v>
      </c>
    </row>
    <row r="1561" spans="1:2">
      <c r="A1561" t="str">
        <f t="shared" ca="1" si="48"/>
        <v/>
      </c>
      <c r="B1561">
        <f t="shared" ca="1" si="49"/>
        <v>0</v>
      </c>
    </row>
    <row r="1562" spans="1:2">
      <c r="A1562" t="str">
        <f t="shared" ca="1" si="48"/>
        <v/>
      </c>
      <c r="B1562">
        <f t="shared" ca="1" si="49"/>
        <v>0</v>
      </c>
    </row>
    <row r="1563" spans="1:2">
      <c r="A1563" t="str">
        <f t="shared" ca="1" si="48"/>
        <v/>
      </c>
      <c r="B1563">
        <f t="shared" ca="1" si="49"/>
        <v>0</v>
      </c>
    </row>
    <row r="1564" spans="1:2">
      <c r="A1564" t="str">
        <f t="shared" ca="1" si="48"/>
        <v/>
      </c>
      <c r="B1564">
        <f t="shared" ca="1" si="49"/>
        <v>0</v>
      </c>
    </row>
    <row r="1565" spans="1:2">
      <c r="A1565" t="str">
        <f t="shared" ca="1" si="48"/>
        <v/>
      </c>
      <c r="B1565">
        <f t="shared" ca="1" si="49"/>
        <v>0</v>
      </c>
    </row>
    <row r="1566" spans="1:2">
      <c r="A1566" t="str">
        <f t="shared" ca="1" si="48"/>
        <v/>
      </c>
      <c r="B1566">
        <f t="shared" ca="1" si="49"/>
        <v>0</v>
      </c>
    </row>
    <row r="1567" spans="1:2">
      <c r="A1567" t="str">
        <f t="shared" ca="1" si="48"/>
        <v/>
      </c>
      <c r="B1567">
        <f t="shared" ca="1" si="49"/>
        <v>0</v>
      </c>
    </row>
    <row r="1568" spans="1:2">
      <c r="A1568" t="str">
        <f t="shared" ca="1" si="48"/>
        <v/>
      </c>
      <c r="B1568">
        <f t="shared" ca="1" si="49"/>
        <v>0</v>
      </c>
    </row>
    <row r="1569" spans="1:2">
      <c r="A1569" t="str">
        <f t="shared" ca="1" si="48"/>
        <v/>
      </c>
      <c r="B1569">
        <f t="shared" ca="1" si="49"/>
        <v>0</v>
      </c>
    </row>
    <row r="1570" spans="1:2">
      <c r="A1570" t="str">
        <f t="shared" ca="1" si="48"/>
        <v/>
      </c>
      <c r="B1570">
        <f t="shared" ca="1" si="49"/>
        <v>0</v>
      </c>
    </row>
    <row r="1571" spans="1:2">
      <c r="A1571" t="str">
        <f t="shared" ca="1" si="48"/>
        <v/>
      </c>
      <c r="B1571">
        <f t="shared" ca="1" si="49"/>
        <v>0</v>
      </c>
    </row>
    <row r="1572" spans="1:2">
      <c r="A1572" t="str">
        <f t="shared" ca="1" si="48"/>
        <v/>
      </c>
      <c r="B1572">
        <f t="shared" ca="1" si="49"/>
        <v>0</v>
      </c>
    </row>
    <row r="1573" spans="1:2">
      <c r="A1573" t="str">
        <f t="shared" ca="1" si="48"/>
        <v/>
      </c>
      <c r="B1573">
        <f t="shared" ca="1" si="49"/>
        <v>0</v>
      </c>
    </row>
    <row r="1574" spans="1:2">
      <c r="A1574" t="str">
        <f t="shared" ca="1" si="48"/>
        <v/>
      </c>
      <c r="B1574">
        <f t="shared" ca="1" si="49"/>
        <v>0</v>
      </c>
    </row>
    <row r="1575" spans="1:2">
      <c r="A1575" t="str">
        <f t="shared" ca="1" si="48"/>
        <v/>
      </c>
      <c r="B1575">
        <f t="shared" ca="1" si="49"/>
        <v>0</v>
      </c>
    </row>
    <row r="1576" spans="1:2">
      <c r="A1576" t="str">
        <f t="shared" ca="1" si="48"/>
        <v/>
      </c>
      <c r="B1576">
        <f t="shared" ca="1" si="49"/>
        <v>0</v>
      </c>
    </row>
    <row r="1577" spans="1:2">
      <c r="A1577" t="str">
        <f t="shared" ca="1" si="48"/>
        <v/>
      </c>
      <c r="B1577">
        <f t="shared" ca="1" si="49"/>
        <v>0</v>
      </c>
    </row>
    <row r="1578" spans="1:2">
      <c r="A1578" t="str">
        <f t="shared" ca="1" si="48"/>
        <v/>
      </c>
      <c r="B1578">
        <f t="shared" ca="1" si="49"/>
        <v>0</v>
      </c>
    </row>
    <row r="1579" spans="1:2">
      <c r="A1579" t="str">
        <f t="shared" ca="1" si="48"/>
        <v/>
      </c>
      <c r="B1579">
        <f t="shared" ca="1" si="49"/>
        <v>0</v>
      </c>
    </row>
    <row r="1580" spans="1:2">
      <c r="A1580" t="str">
        <f t="shared" ca="1" si="48"/>
        <v/>
      </c>
      <c r="B1580">
        <f t="shared" ca="1" si="49"/>
        <v>0</v>
      </c>
    </row>
    <row r="1581" spans="1:2">
      <c r="A1581" t="str">
        <f t="shared" ca="1" si="48"/>
        <v/>
      </c>
      <c r="B1581">
        <f t="shared" ca="1" si="49"/>
        <v>0</v>
      </c>
    </row>
    <row r="1582" spans="1:2">
      <c r="A1582" t="str">
        <f t="shared" ca="1" si="48"/>
        <v/>
      </c>
      <c r="B1582">
        <f t="shared" ca="1" si="49"/>
        <v>0</v>
      </c>
    </row>
    <row r="1583" spans="1:2">
      <c r="A1583" t="str">
        <f t="shared" ca="1" si="48"/>
        <v/>
      </c>
      <c r="B1583">
        <f t="shared" ca="1" si="49"/>
        <v>0</v>
      </c>
    </row>
    <row r="1584" spans="1:2">
      <c r="A1584" t="str">
        <f t="shared" ca="1" si="48"/>
        <v/>
      </c>
      <c r="B1584">
        <f t="shared" ca="1" si="49"/>
        <v>0</v>
      </c>
    </row>
    <row r="1585" spans="1:2">
      <c r="A1585" t="str">
        <f t="shared" ca="1" si="48"/>
        <v/>
      </c>
      <c r="B1585">
        <f t="shared" ca="1" si="49"/>
        <v>0</v>
      </c>
    </row>
    <row r="1586" spans="1:2">
      <c r="A1586" t="str">
        <f t="shared" ca="1" si="48"/>
        <v/>
      </c>
      <c r="B1586">
        <f t="shared" ca="1" si="49"/>
        <v>0</v>
      </c>
    </row>
    <row r="1587" spans="1:2">
      <c r="A1587" t="str">
        <f t="shared" ca="1" si="48"/>
        <v/>
      </c>
      <c r="B1587">
        <f t="shared" ca="1" si="49"/>
        <v>0</v>
      </c>
    </row>
    <row r="1588" spans="1:2">
      <c r="A1588" t="str">
        <f t="shared" ca="1" si="48"/>
        <v/>
      </c>
      <c r="B1588">
        <f t="shared" ca="1" si="49"/>
        <v>0</v>
      </c>
    </row>
    <row r="1589" spans="1:2">
      <c r="A1589" t="str">
        <f t="shared" ca="1" si="48"/>
        <v/>
      </c>
      <c r="B1589">
        <f t="shared" ca="1" si="49"/>
        <v>0</v>
      </c>
    </row>
    <row r="1590" spans="1:2">
      <c r="A1590" t="str">
        <f t="shared" ca="1" si="48"/>
        <v/>
      </c>
      <c r="B1590">
        <f t="shared" ca="1" si="49"/>
        <v>0</v>
      </c>
    </row>
    <row r="1591" spans="1:2">
      <c r="A1591" t="str">
        <f t="shared" ca="1" si="48"/>
        <v/>
      </c>
      <c r="B1591">
        <f t="shared" ca="1" si="49"/>
        <v>0</v>
      </c>
    </row>
    <row r="1592" spans="1:2">
      <c r="A1592" t="str">
        <f t="shared" ca="1" si="48"/>
        <v/>
      </c>
      <c r="B1592">
        <f t="shared" ca="1" si="49"/>
        <v>0</v>
      </c>
    </row>
    <row r="1593" spans="1:2">
      <c r="A1593" t="str">
        <f t="shared" ca="1" si="48"/>
        <v/>
      </c>
      <c r="B1593">
        <f t="shared" ca="1" si="49"/>
        <v>0</v>
      </c>
    </row>
    <row r="1594" spans="1:2">
      <c r="A1594" t="str">
        <f t="shared" ca="1" si="48"/>
        <v/>
      </c>
      <c r="B1594">
        <f t="shared" ca="1" si="49"/>
        <v>0</v>
      </c>
    </row>
    <row r="1595" spans="1:2">
      <c r="A1595" t="str">
        <f t="shared" ca="1" si="48"/>
        <v/>
      </c>
      <c r="B1595">
        <f t="shared" ca="1" si="49"/>
        <v>0</v>
      </c>
    </row>
    <row r="1596" spans="1:2">
      <c r="A1596" t="str">
        <f t="shared" ca="1" si="48"/>
        <v/>
      </c>
      <c r="B1596">
        <f t="shared" ca="1" si="49"/>
        <v>0</v>
      </c>
    </row>
    <row r="1597" spans="1:2">
      <c r="A1597" t="str">
        <f t="shared" ca="1" si="48"/>
        <v/>
      </c>
      <c r="B1597">
        <f t="shared" ca="1" si="49"/>
        <v>0</v>
      </c>
    </row>
    <row r="1598" spans="1:2">
      <c r="A1598" t="str">
        <f t="shared" ca="1" si="48"/>
        <v/>
      </c>
      <c r="B1598">
        <f t="shared" ca="1" si="49"/>
        <v>0</v>
      </c>
    </row>
    <row r="1599" spans="1:2">
      <c r="A1599" t="str">
        <f t="shared" ca="1" si="48"/>
        <v/>
      </c>
      <c r="B1599">
        <f t="shared" ca="1" si="49"/>
        <v>0</v>
      </c>
    </row>
    <row r="1600" spans="1:2">
      <c r="A1600" t="str">
        <f t="shared" ca="1" si="48"/>
        <v/>
      </c>
      <c r="B1600">
        <f t="shared" ca="1" si="49"/>
        <v>0</v>
      </c>
    </row>
    <row r="1601" spans="1:2">
      <c r="A1601" t="str">
        <f t="shared" ca="1" si="48"/>
        <v/>
      </c>
      <c r="B1601">
        <f t="shared" ca="1" si="49"/>
        <v>0</v>
      </c>
    </row>
    <row r="1602" spans="1:2">
      <c r="A1602" t="str">
        <f t="shared" ref="A1602:A1665" ca="1" si="50">CONCATENATE(INDIRECT(ADDRESS(ROW(),3)))</f>
        <v/>
      </c>
      <c r="B1602">
        <f t="shared" ref="B1602:B1665" ca="1" si="51">IF(IF(INDIRECT(ADDRESS(ROW(),1))&lt;&gt;"",IF(ISNA(MATCH(LEFT(INDIRECT(ADDRESS(ROW(),1)),2),PCNG_MN,0))=TRUE,1,0),0)+IF(INDIRECT(ADDRESS(ROW(),1))&lt;&gt;"",IF(ISNA(MATCH(LEFT(INDIRECT(ADDRESS(ROW(),1)),3),PCNG_MN,0))=TRUE,1,0),0)+IF(INDIRECT(ADDRESS(ROW(),1))&lt;&gt;"",IF(ISNA(MATCH(LEFT(INDIRECT(ADDRESS(ROW(),1)),4),PCNG_MN,0))=TRUE,1,0),0)&gt;=3,1,0)</f>
        <v>0</v>
      </c>
    </row>
    <row r="1603" spans="1:2">
      <c r="A1603" t="str">
        <f t="shared" ca="1" si="50"/>
        <v/>
      </c>
      <c r="B1603">
        <f t="shared" ca="1" si="51"/>
        <v>0</v>
      </c>
    </row>
    <row r="1604" spans="1:2">
      <c r="A1604" t="str">
        <f t="shared" ca="1" si="50"/>
        <v/>
      </c>
      <c r="B1604">
        <f t="shared" ca="1" si="51"/>
        <v>0</v>
      </c>
    </row>
    <row r="1605" spans="1:2">
      <c r="A1605" t="str">
        <f t="shared" ca="1" si="50"/>
        <v/>
      </c>
      <c r="B1605">
        <f t="shared" ca="1" si="51"/>
        <v>0</v>
      </c>
    </row>
    <row r="1606" spans="1:2">
      <c r="A1606" t="str">
        <f t="shared" ca="1" si="50"/>
        <v/>
      </c>
      <c r="B1606">
        <f t="shared" ca="1" si="51"/>
        <v>0</v>
      </c>
    </row>
    <row r="1607" spans="1:2">
      <c r="A1607" t="str">
        <f t="shared" ca="1" si="50"/>
        <v/>
      </c>
      <c r="B1607">
        <f t="shared" ca="1" si="51"/>
        <v>0</v>
      </c>
    </row>
    <row r="1608" spans="1:2">
      <c r="A1608" t="str">
        <f t="shared" ca="1" si="50"/>
        <v/>
      </c>
      <c r="B1608">
        <f t="shared" ca="1" si="51"/>
        <v>0</v>
      </c>
    </row>
    <row r="1609" spans="1:2">
      <c r="A1609" t="str">
        <f t="shared" ca="1" si="50"/>
        <v/>
      </c>
      <c r="B1609">
        <f t="shared" ca="1" si="51"/>
        <v>0</v>
      </c>
    </row>
    <row r="1610" spans="1:2">
      <c r="A1610" t="str">
        <f t="shared" ca="1" si="50"/>
        <v/>
      </c>
      <c r="B1610">
        <f t="shared" ca="1" si="51"/>
        <v>0</v>
      </c>
    </row>
    <row r="1611" spans="1:2">
      <c r="A1611" t="str">
        <f t="shared" ca="1" si="50"/>
        <v/>
      </c>
      <c r="B1611">
        <f t="shared" ca="1" si="51"/>
        <v>0</v>
      </c>
    </row>
    <row r="1612" spans="1:2">
      <c r="A1612" t="str">
        <f t="shared" ca="1" si="50"/>
        <v/>
      </c>
      <c r="B1612">
        <f t="shared" ca="1" si="51"/>
        <v>0</v>
      </c>
    </row>
    <row r="1613" spans="1:2">
      <c r="A1613" t="str">
        <f t="shared" ca="1" si="50"/>
        <v/>
      </c>
      <c r="B1613">
        <f t="shared" ca="1" si="51"/>
        <v>0</v>
      </c>
    </row>
    <row r="1614" spans="1:2">
      <c r="A1614" t="str">
        <f t="shared" ca="1" si="50"/>
        <v/>
      </c>
      <c r="B1614">
        <f t="shared" ca="1" si="51"/>
        <v>0</v>
      </c>
    </row>
    <row r="1615" spans="1:2">
      <c r="A1615" t="str">
        <f t="shared" ca="1" si="50"/>
        <v/>
      </c>
      <c r="B1615">
        <f t="shared" ca="1" si="51"/>
        <v>0</v>
      </c>
    </row>
    <row r="1616" spans="1:2">
      <c r="A1616" t="str">
        <f t="shared" ca="1" si="50"/>
        <v/>
      </c>
      <c r="B1616">
        <f t="shared" ca="1" si="51"/>
        <v>0</v>
      </c>
    </row>
    <row r="1617" spans="1:2">
      <c r="A1617" t="str">
        <f t="shared" ca="1" si="50"/>
        <v/>
      </c>
      <c r="B1617">
        <f t="shared" ca="1" si="51"/>
        <v>0</v>
      </c>
    </row>
    <row r="1618" spans="1:2">
      <c r="A1618" t="str">
        <f t="shared" ca="1" si="50"/>
        <v/>
      </c>
      <c r="B1618">
        <f t="shared" ca="1" si="51"/>
        <v>0</v>
      </c>
    </row>
    <row r="1619" spans="1:2">
      <c r="A1619" t="str">
        <f t="shared" ca="1" si="50"/>
        <v/>
      </c>
      <c r="B1619">
        <f t="shared" ca="1" si="51"/>
        <v>0</v>
      </c>
    </row>
    <row r="1620" spans="1:2">
      <c r="A1620" t="str">
        <f t="shared" ca="1" si="50"/>
        <v/>
      </c>
      <c r="B1620">
        <f t="shared" ca="1" si="51"/>
        <v>0</v>
      </c>
    </row>
    <row r="1621" spans="1:2">
      <c r="A1621" t="str">
        <f t="shared" ca="1" si="50"/>
        <v/>
      </c>
      <c r="B1621">
        <f t="shared" ca="1" si="51"/>
        <v>0</v>
      </c>
    </row>
    <row r="1622" spans="1:2">
      <c r="A1622" t="str">
        <f t="shared" ca="1" si="50"/>
        <v/>
      </c>
      <c r="B1622">
        <f t="shared" ca="1" si="51"/>
        <v>0</v>
      </c>
    </row>
    <row r="1623" spans="1:2">
      <c r="A1623" t="str">
        <f t="shared" ca="1" si="50"/>
        <v/>
      </c>
      <c r="B1623">
        <f t="shared" ca="1" si="51"/>
        <v>0</v>
      </c>
    </row>
    <row r="1624" spans="1:2">
      <c r="A1624" t="str">
        <f t="shared" ca="1" si="50"/>
        <v/>
      </c>
      <c r="B1624">
        <f t="shared" ca="1" si="51"/>
        <v>0</v>
      </c>
    </row>
    <row r="1625" spans="1:2">
      <c r="A1625" t="str">
        <f t="shared" ca="1" si="50"/>
        <v/>
      </c>
      <c r="B1625">
        <f t="shared" ca="1" si="51"/>
        <v>0</v>
      </c>
    </row>
    <row r="1626" spans="1:2">
      <c r="A1626" t="str">
        <f t="shared" ca="1" si="50"/>
        <v/>
      </c>
      <c r="B1626">
        <f t="shared" ca="1" si="51"/>
        <v>0</v>
      </c>
    </row>
    <row r="1627" spans="1:2">
      <c r="A1627" t="str">
        <f t="shared" ca="1" si="50"/>
        <v/>
      </c>
      <c r="B1627">
        <f t="shared" ca="1" si="51"/>
        <v>0</v>
      </c>
    </row>
    <row r="1628" spans="1:2">
      <c r="A1628" t="str">
        <f t="shared" ca="1" si="50"/>
        <v/>
      </c>
      <c r="B1628">
        <f t="shared" ca="1" si="51"/>
        <v>0</v>
      </c>
    </row>
    <row r="1629" spans="1:2">
      <c r="A1629" t="str">
        <f t="shared" ca="1" si="50"/>
        <v/>
      </c>
      <c r="B1629">
        <f t="shared" ca="1" si="51"/>
        <v>0</v>
      </c>
    </row>
    <row r="1630" spans="1:2">
      <c r="A1630" t="str">
        <f t="shared" ca="1" si="50"/>
        <v/>
      </c>
      <c r="B1630">
        <f t="shared" ca="1" si="51"/>
        <v>0</v>
      </c>
    </row>
    <row r="1631" spans="1:2">
      <c r="A1631" t="str">
        <f t="shared" ca="1" si="50"/>
        <v/>
      </c>
      <c r="B1631">
        <f t="shared" ca="1" si="51"/>
        <v>0</v>
      </c>
    </row>
    <row r="1632" spans="1:2">
      <c r="A1632" t="str">
        <f t="shared" ca="1" si="50"/>
        <v/>
      </c>
      <c r="B1632">
        <f t="shared" ca="1" si="51"/>
        <v>0</v>
      </c>
    </row>
    <row r="1633" spans="1:2">
      <c r="A1633" t="str">
        <f t="shared" ca="1" si="50"/>
        <v/>
      </c>
      <c r="B1633">
        <f t="shared" ca="1" si="51"/>
        <v>0</v>
      </c>
    </row>
    <row r="1634" spans="1:2">
      <c r="A1634" t="str">
        <f t="shared" ca="1" si="50"/>
        <v/>
      </c>
      <c r="B1634">
        <f t="shared" ca="1" si="51"/>
        <v>0</v>
      </c>
    </row>
    <row r="1635" spans="1:2">
      <c r="A1635" t="str">
        <f t="shared" ca="1" si="50"/>
        <v/>
      </c>
      <c r="B1635">
        <f t="shared" ca="1" si="51"/>
        <v>0</v>
      </c>
    </row>
    <row r="1636" spans="1:2">
      <c r="A1636" t="str">
        <f t="shared" ca="1" si="50"/>
        <v/>
      </c>
      <c r="B1636">
        <f t="shared" ca="1" si="51"/>
        <v>0</v>
      </c>
    </row>
    <row r="1637" spans="1:2">
      <c r="A1637" t="str">
        <f t="shared" ca="1" si="50"/>
        <v/>
      </c>
      <c r="B1637">
        <f t="shared" ca="1" si="51"/>
        <v>0</v>
      </c>
    </row>
    <row r="1638" spans="1:2">
      <c r="A1638" t="str">
        <f t="shared" ca="1" si="50"/>
        <v/>
      </c>
      <c r="B1638">
        <f t="shared" ca="1" si="51"/>
        <v>0</v>
      </c>
    </row>
    <row r="1639" spans="1:2">
      <c r="A1639" t="str">
        <f t="shared" ca="1" si="50"/>
        <v/>
      </c>
      <c r="B1639">
        <f t="shared" ca="1" si="51"/>
        <v>0</v>
      </c>
    </row>
    <row r="1640" spans="1:2">
      <c r="A1640" t="str">
        <f t="shared" ca="1" si="50"/>
        <v/>
      </c>
      <c r="B1640">
        <f t="shared" ca="1" si="51"/>
        <v>0</v>
      </c>
    </row>
    <row r="1641" spans="1:2">
      <c r="A1641" t="str">
        <f t="shared" ca="1" si="50"/>
        <v/>
      </c>
      <c r="B1641">
        <f t="shared" ca="1" si="51"/>
        <v>0</v>
      </c>
    </row>
    <row r="1642" spans="1:2">
      <c r="A1642" t="str">
        <f t="shared" ca="1" si="50"/>
        <v/>
      </c>
      <c r="B1642">
        <f t="shared" ca="1" si="51"/>
        <v>0</v>
      </c>
    </row>
    <row r="1643" spans="1:2">
      <c r="A1643" t="str">
        <f t="shared" ca="1" si="50"/>
        <v/>
      </c>
      <c r="B1643">
        <f t="shared" ca="1" si="51"/>
        <v>0</v>
      </c>
    </row>
    <row r="1644" spans="1:2">
      <c r="A1644" t="str">
        <f t="shared" ca="1" si="50"/>
        <v/>
      </c>
      <c r="B1644">
        <f t="shared" ca="1" si="51"/>
        <v>0</v>
      </c>
    </row>
    <row r="1645" spans="1:2">
      <c r="A1645" t="str">
        <f t="shared" ca="1" si="50"/>
        <v/>
      </c>
      <c r="B1645">
        <f t="shared" ca="1" si="51"/>
        <v>0</v>
      </c>
    </row>
    <row r="1646" spans="1:2">
      <c r="A1646" t="str">
        <f t="shared" ca="1" si="50"/>
        <v/>
      </c>
      <c r="B1646">
        <f t="shared" ca="1" si="51"/>
        <v>0</v>
      </c>
    </row>
    <row r="1647" spans="1:2">
      <c r="A1647" t="str">
        <f t="shared" ca="1" si="50"/>
        <v/>
      </c>
      <c r="B1647">
        <f t="shared" ca="1" si="51"/>
        <v>0</v>
      </c>
    </row>
    <row r="1648" spans="1:2">
      <c r="A1648" t="str">
        <f t="shared" ca="1" si="50"/>
        <v/>
      </c>
      <c r="B1648">
        <f t="shared" ca="1" si="51"/>
        <v>0</v>
      </c>
    </row>
    <row r="1649" spans="1:2">
      <c r="A1649" t="str">
        <f t="shared" ca="1" si="50"/>
        <v/>
      </c>
      <c r="B1649">
        <f t="shared" ca="1" si="51"/>
        <v>0</v>
      </c>
    </row>
    <row r="1650" spans="1:2">
      <c r="A1650" t="str">
        <f t="shared" ca="1" si="50"/>
        <v/>
      </c>
      <c r="B1650">
        <f t="shared" ca="1" si="51"/>
        <v>0</v>
      </c>
    </row>
    <row r="1651" spans="1:2">
      <c r="A1651" t="str">
        <f t="shared" ca="1" si="50"/>
        <v/>
      </c>
      <c r="B1651">
        <f t="shared" ca="1" si="51"/>
        <v>0</v>
      </c>
    </row>
    <row r="1652" spans="1:2">
      <c r="A1652" t="str">
        <f t="shared" ca="1" si="50"/>
        <v/>
      </c>
      <c r="B1652">
        <f t="shared" ca="1" si="51"/>
        <v>0</v>
      </c>
    </row>
    <row r="1653" spans="1:2">
      <c r="A1653" t="str">
        <f t="shared" ca="1" si="50"/>
        <v/>
      </c>
      <c r="B1653">
        <f t="shared" ca="1" si="51"/>
        <v>0</v>
      </c>
    </row>
    <row r="1654" spans="1:2">
      <c r="A1654" t="str">
        <f t="shared" ca="1" si="50"/>
        <v/>
      </c>
      <c r="B1654">
        <f t="shared" ca="1" si="51"/>
        <v>0</v>
      </c>
    </row>
    <row r="1655" spans="1:2">
      <c r="A1655" t="str">
        <f t="shared" ca="1" si="50"/>
        <v/>
      </c>
      <c r="B1655">
        <f t="shared" ca="1" si="51"/>
        <v>0</v>
      </c>
    </row>
    <row r="1656" spans="1:2">
      <c r="A1656" t="str">
        <f t="shared" ca="1" si="50"/>
        <v/>
      </c>
      <c r="B1656">
        <f t="shared" ca="1" si="51"/>
        <v>0</v>
      </c>
    </row>
    <row r="1657" spans="1:2">
      <c r="A1657" t="str">
        <f t="shared" ca="1" si="50"/>
        <v/>
      </c>
      <c r="B1657">
        <f t="shared" ca="1" si="51"/>
        <v>0</v>
      </c>
    </row>
    <row r="1658" spans="1:2">
      <c r="A1658" t="str">
        <f t="shared" ca="1" si="50"/>
        <v/>
      </c>
      <c r="B1658">
        <f t="shared" ca="1" si="51"/>
        <v>0</v>
      </c>
    </row>
    <row r="1659" spans="1:2">
      <c r="A1659" t="str">
        <f t="shared" ca="1" si="50"/>
        <v/>
      </c>
      <c r="B1659">
        <f t="shared" ca="1" si="51"/>
        <v>0</v>
      </c>
    </row>
    <row r="1660" spans="1:2">
      <c r="A1660" t="str">
        <f t="shared" ca="1" si="50"/>
        <v/>
      </c>
      <c r="B1660">
        <f t="shared" ca="1" si="51"/>
        <v>0</v>
      </c>
    </row>
    <row r="1661" spans="1:2">
      <c r="A1661" t="str">
        <f t="shared" ca="1" si="50"/>
        <v/>
      </c>
      <c r="B1661">
        <f t="shared" ca="1" si="51"/>
        <v>0</v>
      </c>
    </row>
    <row r="1662" spans="1:2">
      <c r="A1662" t="str">
        <f t="shared" ca="1" si="50"/>
        <v/>
      </c>
      <c r="B1662">
        <f t="shared" ca="1" si="51"/>
        <v>0</v>
      </c>
    </row>
    <row r="1663" spans="1:2">
      <c r="A1663" t="str">
        <f t="shared" ca="1" si="50"/>
        <v/>
      </c>
      <c r="B1663">
        <f t="shared" ca="1" si="51"/>
        <v>0</v>
      </c>
    </row>
    <row r="1664" spans="1:2">
      <c r="A1664" t="str">
        <f t="shared" ca="1" si="50"/>
        <v/>
      </c>
      <c r="B1664">
        <f t="shared" ca="1" si="51"/>
        <v>0</v>
      </c>
    </row>
    <row r="1665" spans="1:2">
      <c r="A1665" t="str">
        <f t="shared" ca="1" si="50"/>
        <v/>
      </c>
      <c r="B1665">
        <f t="shared" ca="1" si="51"/>
        <v>0</v>
      </c>
    </row>
    <row r="1666" spans="1:2">
      <c r="A1666" t="str">
        <f t="shared" ref="A1666:A1729" ca="1" si="52">CONCATENATE(INDIRECT(ADDRESS(ROW(),3)))</f>
        <v/>
      </c>
      <c r="B1666">
        <f t="shared" ref="B1666:B1729" ca="1" si="53">IF(IF(INDIRECT(ADDRESS(ROW(),1))&lt;&gt;"",IF(ISNA(MATCH(LEFT(INDIRECT(ADDRESS(ROW(),1)),2),PCNG_MN,0))=TRUE,1,0),0)+IF(INDIRECT(ADDRESS(ROW(),1))&lt;&gt;"",IF(ISNA(MATCH(LEFT(INDIRECT(ADDRESS(ROW(),1)),3),PCNG_MN,0))=TRUE,1,0),0)+IF(INDIRECT(ADDRESS(ROW(),1))&lt;&gt;"",IF(ISNA(MATCH(LEFT(INDIRECT(ADDRESS(ROW(),1)),4),PCNG_MN,0))=TRUE,1,0),0)&gt;=3,1,0)</f>
        <v>0</v>
      </c>
    </row>
    <row r="1667" spans="1:2">
      <c r="A1667" t="str">
        <f t="shared" ca="1" si="52"/>
        <v/>
      </c>
      <c r="B1667">
        <f t="shared" ca="1" si="53"/>
        <v>0</v>
      </c>
    </row>
    <row r="1668" spans="1:2">
      <c r="A1668" t="str">
        <f t="shared" ca="1" si="52"/>
        <v/>
      </c>
      <c r="B1668">
        <f t="shared" ca="1" si="53"/>
        <v>0</v>
      </c>
    </row>
    <row r="1669" spans="1:2">
      <c r="A1669" t="str">
        <f t="shared" ca="1" si="52"/>
        <v/>
      </c>
      <c r="B1669">
        <f t="shared" ca="1" si="53"/>
        <v>0</v>
      </c>
    </row>
    <row r="1670" spans="1:2">
      <c r="A1670" t="str">
        <f t="shared" ca="1" si="52"/>
        <v/>
      </c>
      <c r="B1670">
        <f t="shared" ca="1" si="53"/>
        <v>0</v>
      </c>
    </row>
    <row r="1671" spans="1:2">
      <c r="A1671" t="str">
        <f t="shared" ca="1" si="52"/>
        <v/>
      </c>
      <c r="B1671">
        <f t="shared" ca="1" si="53"/>
        <v>0</v>
      </c>
    </row>
    <row r="1672" spans="1:2">
      <c r="A1672" t="str">
        <f t="shared" ca="1" si="52"/>
        <v/>
      </c>
      <c r="B1672">
        <f t="shared" ca="1" si="53"/>
        <v>0</v>
      </c>
    </row>
    <row r="1673" spans="1:2">
      <c r="A1673" t="str">
        <f t="shared" ca="1" si="52"/>
        <v/>
      </c>
      <c r="B1673">
        <f t="shared" ca="1" si="53"/>
        <v>0</v>
      </c>
    </row>
    <row r="1674" spans="1:2">
      <c r="A1674" t="str">
        <f t="shared" ca="1" si="52"/>
        <v/>
      </c>
      <c r="B1674">
        <f t="shared" ca="1" si="53"/>
        <v>0</v>
      </c>
    </row>
    <row r="1675" spans="1:2">
      <c r="A1675" t="str">
        <f t="shared" ca="1" si="52"/>
        <v/>
      </c>
      <c r="B1675">
        <f t="shared" ca="1" si="53"/>
        <v>0</v>
      </c>
    </row>
    <row r="1676" spans="1:2">
      <c r="A1676" t="str">
        <f t="shared" ca="1" si="52"/>
        <v/>
      </c>
      <c r="B1676">
        <f t="shared" ca="1" si="53"/>
        <v>0</v>
      </c>
    </row>
    <row r="1677" spans="1:2">
      <c r="A1677" t="str">
        <f t="shared" ca="1" si="52"/>
        <v/>
      </c>
      <c r="B1677">
        <f t="shared" ca="1" si="53"/>
        <v>0</v>
      </c>
    </row>
    <row r="1678" spans="1:2">
      <c r="A1678" t="str">
        <f t="shared" ca="1" si="52"/>
        <v/>
      </c>
      <c r="B1678">
        <f t="shared" ca="1" si="53"/>
        <v>0</v>
      </c>
    </row>
    <row r="1679" spans="1:2">
      <c r="A1679" t="str">
        <f t="shared" ca="1" si="52"/>
        <v/>
      </c>
      <c r="B1679">
        <f t="shared" ca="1" si="53"/>
        <v>0</v>
      </c>
    </row>
    <row r="1680" spans="1:2">
      <c r="A1680" t="str">
        <f t="shared" ca="1" si="52"/>
        <v/>
      </c>
      <c r="B1680">
        <f t="shared" ca="1" si="53"/>
        <v>0</v>
      </c>
    </row>
    <row r="1681" spans="1:2">
      <c r="A1681" t="str">
        <f t="shared" ca="1" si="52"/>
        <v/>
      </c>
      <c r="B1681">
        <f t="shared" ca="1" si="53"/>
        <v>0</v>
      </c>
    </row>
    <row r="1682" spans="1:2">
      <c r="A1682" t="str">
        <f t="shared" ca="1" si="52"/>
        <v/>
      </c>
      <c r="B1682">
        <f t="shared" ca="1" si="53"/>
        <v>0</v>
      </c>
    </row>
    <row r="1683" spans="1:2">
      <c r="A1683" t="str">
        <f t="shared" ca="1" si="52"/>
        <v/>
      </c>
      <c r="B1683">
        <f t="shared" ca="1" si="53"/>
        <v>0</v>
      </c>
    </row>
    <row r="1684" spans="1:2">
      <c r="A1684" t="str">
        <f t="shared" ca="1" si="52"/>
        <v/>
      </c>
      <c r="B1684">
        <f t="shared" ca="1" si="53"/>
        <v>0</v>
      </c>
    </row>
    <row r="1685" spans="1:2">
      <c r="A1685" t="str">
        <f t="shared" ca="1" si="52"/>
        <v/>
      </c>
      <c r="B1685">
        <f t="shared" ca="1" si="53"/>
        <v>0</v>
      </c>
    </row>
    <row r="1686" spans="1:2">
      <c r="A1686" t="str">
        <f t="shared" ca="1" si="52"/>
        <v/>
      </c>
      <c r="B1686">
        <f t="shared" ca="1" si="53"/>
        <v>0</v>
      </c>
    </row>
    <row r="1687" spans="1:2">
      <c r="A1687" t="str">
        <f t="shared" ca="1" si="52"/>
        <v/>
      </c>
      <c r="B1687">
        <f t="shared" ca="1" si="53"/>
        <v>0</v>
      </c>
    </row>
    <row r="1688" spans="1:2">
      <c r="A1688" t="str">
        <f t="shared" ca="1" si="52"/>
        <v/>
      </c>
      <c r="B1688">
        <f t="shared" ca="1" si="53"/>
        <v>0</v>
      </c>
    </row>
    <row r="1689" spans="1:2">
      <c r="A1689" t="str">
        <f t="shared" ca="1" si="52"/>
        <v/>
      </c>
      <c r="B1689">
        <f t="shared" ca="1" si="53"/>
        <v>0</v>
      </c>
    </row>
    <row r="1690" spans="1:2">
      <c r="A1690" t="str">
        <f t="shared" ca="1" si="52"/>
        <v/>
      </c>
      <c r="B1690">
        <f t="shared" ca="1" si="53"/>
        <v>0</v>
      </c>
    </row>
    <row r="1691" spans="1:2">
      <c r="A1691" t="str">
        <f t="shared" ca="1" si="52"/>
        <v/>
      </c>
      <c r="B1691">
        <f t="shared" ca="1" si="53"/>
        <v>0</v>
      </c>
    </row>
    <row r="1692" spans="1:2">
      <c r="A1692" t="str">
        <f t="shared" ca="1" si="52"/>
        <v/>
      </c>
      <c r="B1692">
        <f t="shared" ca="1" si="53"/>
        <v>0</v>
      </c>
    </row>
    <row r="1693" spans="1:2">
      <c r="A1693" t="str">
        <f t="shared" ca="1" si="52"/>
        <v/>
      </c>
      <c r="B1693">
        <f t="shared" ca="1" si="53"/>
        <v>0</v>
      </c>
    </row>
    <row r="1694" spans="1:2">
      <c r="A1694" t="str">
        <f t="shared" ca="1" si="52"/>
        <v/>
      </c>
      <c r="B1694">
        <f t="shared" ca="1" si="53"/>
        <v>0</v>
      </c>
    </row>
    <row r="1695" spans="1:2">
      <c r="A1695" t="str">
        <f t="shared" ca="1" si="52"/>
        <v/>
      </c>
      <c r="B1695">
        <f t="shared" ca="1" si="53"/>
        <v>0</v>
      </c>
    </row>
    <row r="1696" spans="1:2">
      <c r="A1696" t="str">
        <f t="shared" ca="1" si="52"/>
        <v/>
      </c>
      <c r="B1696">
        <f t="shared" ca="1" si="53"/>
        <v>0</v>
      </c>
    </row>
    <row r="1697" spans="1:2">
      <c r="A1697" t="str">
        <f t="shared" ca="1" si="52"/>
        <v/>
      </c>
      <c r="B1697">
        <f t="shared" ca="1" si="53"/>
        <v>0</v>
      </c>
    </row>
    <row r="1698" spans="1:2">
      <c r="A1698" t="str">
        <f t="shared" ca="1" si="52"/>
        <v/>
      </c>
      <c r="B1698">
        <f t="shared" ca="1" si="53"/>
        <v>0</v>
      </c>
    </row>
    <row r="1699" spans="1:2">
      <c r="A1699" t="str">
        <f t="shared" ca="1" si="52"/>
        <v/>
      </c>
      <c r="B1699">
        <f t="shared" ca="1" si="53"/>
        <v>0</v>
      </c>
    </row>
    <row r="1700" spans="1:2">
      <c r="A1700" t="str">
        <f t="shared" ca="1" si="52"/>
        <v/>
      </c>
      <c r="B1700">
        <f t="shared" ca="1" si="53"/>
        <v>0</v>
      </c>
    </row>
    <row r="1701" spans="1:2">
      <c r="A1701" t="str">
        <f t="shared" ca="1" si="52"/>
        <v/>
      </c>
      <c r="B1701">
        <f t="shared" ca="1" si="53"/>
        <v>0</v>
      </c>
    </row>
    <row r="1702" spans="1:2">
      <c r="A1702" t="str">
        <f t="shared" ca="1" si="52"/>
        <v/>
      </c>
      <c r="B1702">
        <f t="shared" ca="1" si="53"/>
        <v>0</v>
      </c>
    </row>
    <row r="1703" spans="1:2">
      <c r="A1703" t="str">
        <f t="shared" ca="1" si="52"/>
        <v/>
      </c>
      <c r="B1703">
        <f t="shared" ca="1" si="53"/>
        <v>0</v>
      </c>
    </row>
    <row r="1704" spans="1:2">
      <c r="A1704" t="str">
        <f t="shared" ca="1" si="52"/>
        <v/>
      </c>
      <c r="B1704">
        <f t="shared" ca="1" si="53"/>
        <v>0</v>
      </c>
    </row>
    <row r="1705" spans="1:2">
      <c r="A1705" t="str">
        <f t="shared" ca="1" si="52"/>
        <v/>
      </c>
      <c r="B1705">
        <f t="shared" ca="1" si="53"/>
        <v>0</v>
      </c>
    </row>
    <row r="1706" spans="1:2">
      <c r="A1706" t="str">
        <f t="shared" ca="1" si="52"/>
        <v/>
      </c>
      <c r="B1706">
        <f t="shared" ca="1" si="53"/>
        <v>0</v>
      </c>
    </row>
    <row r="1707" spans="1:2">
      <c r="A1707" t="str">
        <f t="shared" ca="1" si="52"/>
        <v/>
      </c>
      <c r="B1707">
        <f t="shared" ca="1" si="53"/>
        <v>0</v>
      </c>
    </row>
    <row r="1708" spans="1:2">
      <c r="A1708" t="str">
        <f t="shared" ca="1" si="52"/>
        <v/>
      </c>
      <c r="B1708">
        <f t="shared" ca="1" si="53"/>
        <v>0</v>
      </c>
    </row>
    <row r="1709" spans="1:2">
      <c r="A1709" t="str">
        <f t="shared" ca="1" si="52"/>
        <v/>
      </c>
      <c r="B1709">
        <f t="shared" ca="1" si="53"/>
        <v>0</v>
      </c>
    </row>
    <row r="1710" spans="1:2">
      <c r="A1710" t="str">
        <f t="shared" ca="1" si="52"/>
        <v/>
      </c>
      <c r="B1710">
        <f t="shared" ca="1" si="53"/>
        <v>0</v>
      </c>
    </row>
    <row r="1711" spans="1:2">
      <c r="A1711" t="str">
        <f t="shared" ca="1" si="52"/>
        <v/>
      </c>
      <c r="B1711">
        <f t="shared" ca="1" si="53"/>
        <v>0</v>
      </c>
    </row>
    <row r="1712" spans="1:2">
      <c r="A1712" t="str">
        <f t="shared" ca="1" si="52"/>
        <v/>
      </c>
      <c r="B1712">
        <f t="shared" ca="1" si="53"/>
        <v>0</v>
      </c>
    </row>
    <row r="1713" spans="1:2">
      <c r="A1713" t="str">
        <f t="shared" ca="1" si="52"/>
        <v/>
      </c>
      <c r="B1713">
        <f t="shared" ca="1" si="53"/>
        <v>0</v>
      </c>
    </row>
    <row r="1714" spans="1:2">
      <c r="A1714" t="str">
        <f t="shared" ca="1" si="52"/>
        <v/>
      </c>
      <c r="B1714">
        <f t="shared" ca="1" si="53"/>
        <v>0</v>
      </c>
    </row>
    <row r="1715" spans="1:2">
      <c r="A1715" t="str">
        <f t="shared" ca="1" si="52"/>
        <v/>
      </c>
      <c r="B1715">
        <f t="shared" ca="1" si="53"/>
        <v>0</v>
      </c>
    </row>
    <row r="1716" spans="1:2">
      <c r="A1716" t="str">
        <f t="shared" ca="1" si="52"/>
        <v/>
      </c>
      <c r="B1716">
        <f t="shared" ca="1" si="53"/>
        <v>0</v>
      </c>
    </row>
    <row r="1717" spans="1:2">
      <c r="A1717" t="str">
        <f t="shared" ca="1" si="52"/>
        <v/>
      </c>
      <c r="B1717">
        <f t="shared" ca="1" si="53"/>
        <v>0</v>
      </c>
    </row>
    <row r="1718" spans="1:2">
      <c r="A1718" t="str">
        <f t="shared" ca="1" si="52"/>
        <v/>
      </c>
      <c r="B1718">
        <f t="shared" ca="1" si="53"/>
        <v>0</v>
      </c>
    </row>
    <row r="1719" spans="1:2">
      <c r="A1719" t="str">
        <f t="shared" ca="1" si="52"/>
        <v/>
      </c>
      <c r="B1719">
        <f t="shared" ca="1" si="53"/>
        <v>0</v>
      </c>
    </row>
    <row r="1720" spans="1:2">
      <c r="A1720" t="str">
        <f t="shared" ca="1" si="52"/>
        <v/>
      </c>
      <c r="B1720">
        <f t="shared" ca="1" si="53"/>
        <v>0</v>
      </c>
    </row>
    <row r="1721" spans="1:2">
      <c r="A1721" t="str">
        <f t="shared" ca="1" si="52"/>
        <v/>
      </c>
      <c r="B1721">
        <f t="shared" ca="1" si="53"/>
        <v>0</v>
      </c>
    </row>
    <row r="1722" spans="1:2">
      <c r="A1722" t="str">
        <f t="shared" ca="1" si="52"/>
        <v/>
      </c>
      <c r="B1722">
        <f t="shared" ca="1" si="53"/>
        <v>0</v>
      </c>
    </row>
    <row r="1723" spans="1:2">
      <c r="A1723" t="str">
        <f t="shared" ca="1" si="52"/>
        <v/>
      </c>
      <c r="B1723">
        <f t="shared" ca="1" si="53"/>
        <v>0</v>
      </c>
    </row>
    <row r="1724" spans="1:2">
      <c r="A1724" t="str">
        <f t="shared" ca="1" si="52"/>
        <v/>
      </c>
      <c r="B1724">
        <f t="shared" ca="1" si="53"/>
        <v>0</v>
      </c>
    </row>
    <row r="1725" spans="1:2">
      <c r="A1725" t="str">
        <f t="shared" ca="1" si="52"/>
        <v/>
      </c>
      <c r="B1725">
        <f t="shared" ca="1" si="53"/>
        <v>0</v>
      </c>
    </row>
    <row r="1726" spans="1:2">
      <c r="A1726" t="str">
        <f t="shared" ca="1" si="52"/>
        <v/>
      </c>
      <c r="B1726">
        <f t="shared" ca="1" si="53"/>
        <v>0</v>
      </c>
    </row>
    <row r="1727" spans="1:2">
      <c r="A1727" t="str">
        <f t="shared" ca="1" si="52"/>
        <v/>
      </c>
      <c r="B1727">
        <f t="shared" ca="1" si="53"/>
        <v>0</v>
      </c>
    </row>
    <row r="1728" spans="1:2">
      <c r="A1728" t="str">
        <f t="shared" ca="1" si="52"/>
        <v/>
      </c>
      <c r="B1728">
        <f t="shared" ca="1" si="53"/>
        <v>0</v>
      </c>
    </row>
    <row r="1729" spans="1:2">
      <c r="A1729" t="str">
        <f t="shared" ca="1" si="52"/>
        <v/>
      </c>
      <c r="B1729">
        <f t="shared" ca="1" si="53"/>
        <v>0</v>
      </c>
    </row>
    <row r="1730" spans="1:2">
      <c r="A1730" t="str">
        <f t="shared" ref="A1730:A1793" ca="1" si="54">CONCATENATE(INDIRECT(ADDRESS(ROW(),3)))</f>
        <v/>
      </c>
      <c r="B1730">
        <f t="shared" ref="B1730:B1793" ca="1" si="55">IF(IF(INDIRECT(ADDRESS(ROW(),1))&lt;&gt;"",IF(ISNA(MATCH(LEFT(INDIRECT(ADDRESS(ROW(),1)),2),PCNG_MN,0))=TRUE,1,0),0)+IF(INDIRECT(ADDRESS(ROW(),1))&lt;&gt;"",IF(ISNA(MATCH(LEFT(INDIRECT(ADDRESS(ROW(),1)),3),PCNG_MN,0))=TRUE,1,0),0)+IF(INDIRECT(ADDRESS(ROW(),1))&lt;&gt;"",IF(ISNA(MATCH(LEFT(INDIRECT(ADDRESS(ROW(),1)),4),PCNG_MN,0))=TRUE,1,0),0)&gt;=3,1,0)</f>
        <v>0</v>
      </c>
    </row>
    <row r="1731" spans="1:2">
      <c r="A1731" t="str">
        <f t="shared" ca="1" si="54"/>
        <v/>
      </c>
      <c r="B1731">
        <f t="shared" ca="1" si="55"/>
        <v>0</v>
      </c>
    </row>
    <row r="1732" spans="1:2">
      <c r="A1732" t="str">
        <f t="shared" ca="1" si="54"/>
        <v/>
      </c>
      <c r="B1732">
        <f t="shared" ca="1" si="55"/>
        <v>0</v>
      </c>
    </row>
    <row r="1733" spans="1:2">
      <c r="A1733" t="str">
        <f t="shared" ca="1" si="54"/>
        <v/>
      </c>
      <c r="B1733">
        <f t="shared" ca="1" si="55"/>
        <v>0</v>
      </c>
    </row>
    <row r="1734" spans="1:2">
      <c r="A1734" t="str">
        <f t="shared" ca="1" si="54"/>
        <v/>
      </c>
      <c r="B1734">
        <f t="shared" ca="1" si="55"/>
        <v>0</v>
      </c>
    </row>
    <row r="1735" spans="1:2">
      <c r="A1735" t="str">
        <f t="shared" ca="1" si="54"/>
        <v/>
      </c>
      <c r="B1735">
        <f t="shared" ca="1" si="55"/>
        <v>0</v>
      </c>
    </row>
    <row r="1736" spans="1:2">
      <c r="A1736" t="str">
        <f t="shared" ca="1" si="54"/>
        <v/>
      </c>
      <c r="B1736">
        <f t="shared" ca="1" si="55"/>
        <v>0</v>
      </c>
    </row>
    <row r="1737" spans="1:2">
      <c r="A1737" t="str">
        <f t="shared" ca="1" si="54"/>
        <v/>
      </c>
      <c r="B1737">
        <f t="shared" ca="1" si="55"/>
        <v>0</v>
      </c>
    </row>
    <row r="1738" spans="1:2">
      <c r="A1738" t="str">
        <f t="shared" ca="1" si="54"/>
        <v/>
      </c>
      <c r="B1738">
        <f t="shared" ca="1" si="55"/>
        <v>0</v>
      </c>
    </row>
    <row r="1739" spans="1:2">
      <c r="A1739" t="str">
        <f t="shared" ca="1" si="54"/>
        <v/>
      </c>
      <c r="B1739">
        <f t="shared" ca="1" si="55"/>
        <v>0</v>
      </c>
    </row>
    <row r="1740" spans="1:2">
      <c r="A1740" t="str">
        <f t="shared" ca="1" si="54"/>
        <v/>
      </c>
      <c r="B1740">
        <f t="shared" ca="1" si="55"/>
        <v>0</v>
      </c>
    </row>
    <row r="1741" spans="1:2">
      <c r="A1741" t="str">
        <f t="shared" ca="1" si="54"/>
        <v/>
      </c>
      <c r="B1741">
        <f t="shared" ca="1" si="55"/>
        <v>0</v>
      </c>
    </row>
    <row r="1742" spans="1:2">
      <c r="A1742" t="str">
        <f t="shared" ca="1" si="54"/>
        <v/>
      </c>
      <c r="B1742">
        <f t="shared" ca="1" si="55"/>
        <v>0</v>
      </c>
    </row>
    <row r="1743" spans="1:2">
      <c r="A1743" t="str">
        <f t="shared" ca="1" si="54"/>
        <v/>
      </c>
      <c r="B1743">
        <f t="shared" ca="1" si="55"/>
        <v>0</v>
      </c>
    </row>
    <row r="1744" spans="1:2">
      <c r="A1744" t="str">
        <f t="shared" ca="1" si="54"/>
        <v/>
      </c>
      <c r="B1744">
        <f t="shared" ca="1" si="55"/>
        <v>0</v>
      </c>
    </row>
    <row r="1745" spans="1:2">
      <c r="A1745" t="str">
        <f t="shared" ca="1" si="54"/>
        <v/>
      </c>
      <c r="B1745">
        <f t="shared" ca="1" si="55"/>
        <v>0</v>
      </c>
    </row>
    <row r="1746" spans="1:2">
      <c r="A1746" t="str">
        <f t="shared" ca="1" si="54"/>
        <v/>
      </c>
      <c r="B1746">
        <f t="shared" ca="1" si="55"/>
        <v>0</v>
      </c>
    </row>
    <row r="1747" spans="1:2">
      <c r="A1747" t="str">
        <f t="shared" ca="1" si="54"/>
        <v/>
      </c>
      <c r="B1747">
        <f t="shared" ca="1" si="55"/>
        <v>0</v>
      </c>
    </row>
    <row r="1748" spans="1:2">
      <c r="A1748" t="str">
        <f t="shared" ca="1" si="54"/>
        <v/>
      </c>
      <c r="B1748">
        <f t="shared" ca="1" si="55"/>
        <v>0</v>
      </c>
    </row>
    <row r="1749" spans="1:2">
      <c r="A1749" t="str">
        <f t="shared" ca="1" si="54"/>
        <v/>
      </c>
      <c r="B1749">
        <f t="shared" ca="1" si="55"/>
        <v>0</v>
      </c>
    </row>
    <row r="1750" spans="1:2">
      <c r="A1750" t="str">
        <f t="shared" ca="1" si="54"/>
        <v/>
      </c>
      <c r="B1750">
        <f t="shared" ca="1" si="55"/>
        <v>0</v>
      </c>
    </row>
    <row r="1751" spans="1:2">
      <c r="A1751" t="str">
        <f t="shared" ca="1" si="54"/>
        <v/>
      </c>
      <c r="B1751">
        <f t="shared" ca="1" si="55"/>
        <v>0</v>
      </c>
    </row>
    <row r="1752" spans="1:2">
      <c r="A1752" t="str">
        <f t="shared" ca="1" si="54"/>
        <v/>
      </c>
      <c r="B1752">
        <f t="shared" ca="1" si="55"/>
        <v>0</v>
      </c>
    </row>
    <row r="1753" spans="1:2">
      <c r="A1753" t="str">
        <f t="shared" ca="1" si="54"/>
        <v/>
      </c>
      <c r="B1753">
        <f t="shared" ca="1" si="55"/>
        <v>0</v>
      </c>
    </row>
    <row r="1754" spans="1:2">
      <c r="A1754" t="str">
        <f t="shared" ca="1" si="54"/>
        <v/>
      </c>
      <c r="B1754">
        <f t="shared" ca="1" si="55"/>
        <v>0</v>
      </c>
    </row>
    <row r="1755" spans="1:2">
      <c r="A1755" t="str">
        <f t="shared" ca="1" si="54"/>
        <v/>
      </c>
      <c r="B1755">
        <f t="shared" ca="1" si="55"/>
        <v>0</v>
      </c>
    </row>
    <row r="1756" spans="1:2">
      <c r="A1756" t="str">
        <f t="shared" ca="1" si="54"/>
        <v/>
      </c>
      <c r="B1756">
        <f t="shared" ca="1" si="55"/>
        <v>0</v>
      </c>
    </row>
    <row r="1757" spans="1:2">
      <c r="A1757" t="str">
        <f t="shared" ca="1" si="54"/>
        <v/>
      </c>
      <c r="B1757">
        <f t="shared" ca="1" si="55"/>
        <v>0</v>
      </c>
    </row>
    <row r="1758" spans="1:2">
      <c r="A1758" t="str">
        <f t="shared" ca="1" si="54"/>
        <v/>
      </c>
      <c r="B1758">
        <f t="shared" ca="1" si="55"/>
        <v>0</v>
      </c>
    </row>
    <row r="1759" spans="1:2">
      <c r="A1759" t="str">
        <f t="shared" ca="1" si="54"/>
        <v/>
      </c>
      <c r="B1759">
        <f t="shared" ca="1" si="55"/>
        <v>0</v>
      </c>
    </row>
    <row r="1760" spans="1:2">
      <c r="A1760" t="str">
        <f t="shared" ca="1" si="54"/>
        <v/>
      </c>
      <c r="B1760">
        <f t="shared" ca="1" si="55"/>
        <v>0</v>
      </c>
    </row>
    <row r="1761" spans="1:2">
      <c r="A1761" t="str">
        <f t="shared" ca="1" si="54"/>
        <v/>
      </c>
      <c r="B1761">
        <f t="shared" ca="1" si="55"/>
        <v>0</v>
      </c>
    </row>
    <row r="1762" spans="1:2">
      <c r="A1762" t="str">
        <f t="shared" ca="1" si="54"/>
        <v/>
      </c>
      <c r="B1762">
        <f t="shared" ca="1" si="55"/>
        <v>0</v>
      </c>
    </row>
    <row r="1763" spans="1:2">
      <c r="A1763" t="str">
        <f t="shared" ca="1" si="54"/>
        <v/>
      </c>
      <c r="B1763">
        <f t="shared" ca="1" si="55"/>
        <v>0</v>
      </c>
    </row>
    <row r="1764" spans="1:2">
      <c r="A1764" t="str">
        <f t="shared" ca="1" si="54"/>
        <v/>
      </c>
      <c r="B1764">
        <f t="shared" ca="1" si="55"/>
        <v>0</v>
      </c>
    </row>
    <row r="1765" spans="1:2">
      <c r="A1765" t="str">
        <f t="shared" ca="1" si="54"/>
        <v/>
      </c>
      <c r="B1765">
        <f t="shared" ca="1" si="55"/>
        <v>0</v>
      </c>
    </row>
    <row r="1766" spans="1:2">
      <c r="A1766" t="str">
        <f t="shared" ca="1" si="54"/>
        <v/>
      </c>
      <c r="B1766">
        <f t="shared" ca="1" si="55"/>
        <v>0</v>
      </c>
    </row>
    <row r="1767" spans="1:2">
      <c r="A1767" t="str">
        <f t="shared" ca="1" si="54"/>
        <v/>
      </c>
      <c r="B1767">
        <f t="shared" ca="1" si="55"/>
        <v>0</v>
      </c>
    </row>
    <row r="1768" spans="1:2">
      <c r="A1768" t="str">
        <f t="shared" ca="1" si="54"/>
        <v/>
      </c>
      <c r="B1768">
        <f t="shared" ca="1" si="55"/>
        <v>0</v>
      </c>
    </row>
    <row r="1769" spans="1:2">
      <c r="A1769" t="str">
        <f t="shared" ca="1" si="54"/>
        <v/>
      </c>
      <c r="B1769">
        <f t="shared" ca="1" si="55"/>
        <v>0</v>
      </c>
    </row>
    <row r="1770" spans="1:2">
      <c r="A1770" t="str">
        <f t="shared" ca="1" si="54"/>
        <v/>
      </c>
      <c r="B1770">
        <f t="shared" ca="1" si="55"/>
        <v>0</v>
      </c>
    </row>
    <row r="1771" spans="1:2">
      <c r="A1771" t="str">
        <f t="shared" ca="1" si="54"/>
        <v/>
      </c>
      <c r="B1771">
        <f t="shared" ca="1" si="55"/>
        <v>0</v>
      </c>
    </row>
    <row r="1772" spans="1:2">
      <c r="A1772" t="str">
        <f t="shared" ca="1" si="54"/>
        <v/>
      </c>
      <c r="B1772">
        <f t="shared" ca="1" si="55"/>
        <v>0</v>
      </c>
    </row>
    <row r="1773" spans="1:2">
      <c r="A1773" t="str">
        <f t="shared" ca="1" si="54"/>
        <v/>
      </c>
      <c r="B1773">
        <f t="shared" ca="1" si="55"/>
        <v>0</v>
      </c>
    </row>
    <row r="1774" spans="1:2">
      <c r="A1774" t="str">
        <f t="shared" ca="1" si="54"/>
        <v/>
      </c>
      <c r="B1774">
        <f t="shared" ca="1" si="55"/>
        <v>0</v>
      </c>
    </row>
    <row r="1775" spans="1:2">
      <c r="A1775" t="str">
        <f t="shared" ca="1" si="54"/>
        <v/>
      </c>
      <c r="B1775">
        <f t="shared" ca="1" si="55"/>
        <v>0</v>
      </c>
    </row>
    <row r="1776" spans="1:2">
      <c r="A1776" t="str">
        <f t="shared" ca="1" si="54"/>
        <v/>
      </c>
      <c r="B1776">
        <f t="shared" ca="1" si="55"/>
        <v>0</v>
      </c>
    </row>
    <row r="1777" spans="1:2">
      <c r="A1777" t="str">
        <f t="shared" ca="1" si="54"/>
        <v/>
      </c>
      <c r="B1777">
        <f t="shared" ca="1" si="55"/>
        <v>0</v>
      </c>
    </row>
    <row r="1778" spans="1:2">
      <c r="A1778" t="str">
        <f t="shared" ca="1" si="54"/>
        <v/>
      </c>
      <c r="B1778">
        <f t="shared" ca="1" si="55"/>
        <v>0</v>
      </c>
    </row>
    <row r="1779" spans="1:2">
      <c r="A1779" t="str">
        <f t="shared" ca="1" si="54"/>
        <v/>
      </c>
      <c r="B1779">
        <f t="shared" ca="1" si="55"/>
        <v>0</v>
      </c>
    </row>
    <row r="1780" spans="1:2">
      <c r="A1780" t="str">
        <f t="shared" ca="1" si="54"/>
        <v/>
      </c>
      <c r="B1780">
        <f t="shared" ca="1" si="55"/>
        <v>0</v>
      </c>
    </row>
    <row r="1781" spans="1:2">
      <c r="A1781" t="str">
        <f t="shared" ca="1" si="54"/>
        <v/>
      </c>
      <c r="B1781">
        <f t="shared" ca="1" si="55"/>
        <v>0</v>
      </c>
    </row>
    <row r="1782" spans="1:2">
      <c r="A1782" t="str">
        <f t="shared" ca="1" si="54"/>
        <v/>
      </c>
      <c r="B1782">
        <f t="shared" ca="1" si="55"/>
        <v>0</v>
      </c>
    </row>
    <row r="1783" spans="1:2">
      <c r="A1783" t="str">
        <f t="shared" ca="1" si="54"/>
        <v/>
      </c>
      <c r="B1783">
        <f t="shared" ca="1" si="55"/>
        <v>0</v>
      </c>
    </row>
    <row r="1784" spans="1:2">
      <c r="A1784" t="str">
        <f t="shared" ca="1" si="54"/>
        <v/>
      </c>
      <c r="B1784">
        <f t="shared" ca="1" si="55"/>
        <v>0</v>
      </c>
    </row>
    <row r="1785" spans="1:2">
      <c r="A1785" t="str">
        <f t="shared" ca="1" si="54"/>
        <v/>
      </c>
      <c r="B1785">
        <f t="shared" ca="1" si="55"/>
        <v>0</v>
      </c>
    </row>
    <row r="1786" spans="1:2">
      <c r="A1786" t="str">
        <f t="shared" ca="1" si="54"/>
        <v/>
      </c>
      <c r="B1786">
        <f t="shared" ca="1" si="55"/>
        <v>0</v>
      </c>
    </row>
    <row r="1787" spans="1:2">
      <c r="A1787" t="str">
        <f t="shared" ca="1" si="54"/>
        <v/>
      </c>
      <c r="B1787">
        <f t="shared" ca="1" si="55"/>
        <v>0</v>
      </c>
    </row>
    <row r="1788" spans="1:2">
      <c r="A1788" t="str">
        <f t="shared" ca="1" si="54"/>
        <v/>
      </c>
      <c r="B1788">
        <f t="shared" ca="1" si="55"/>
        <v>0</v>
      </c>
    </row>
    <row r="1789" spans="1:2">
      <c r="A1789" t="str">
        <f t="shared" ca="1" si="54"/>
        <v/>
      </c>
      <c r="B1789">
        <f t="shared" ca="1" si="55"/>
        <v>0</v>
      </c>
    </row>
    <row r="1790" spans="1:2">
      <c r="A1790" t="str">
        <f t="shared" ca="1" si="54"/>
        <v/>
      </c>
      <c r="B1790">
        <f t="shared" ca="1" si="55"/>
        <v>0</v>
      </c>
    </row>
    <row r="1791" spans="1:2">
      <c r="A1791" t="str">
        <f t="shared" ca="1" si="54"/>
        <v/>
      </c>
      <c r="B1791">
        <f t="shared" ca="1" si="55"/>
        <v>0</v>
      </c>
    </row>
    <row r="1792" spans="1:2">
      <c r="A1792" t="str">
        <f t="shared" ca="1" si="54"/>
        <v/>
      </c>
      <c r="B1792">
        <f t="shared" ca="1" si="55"/>
        <v>0</v>
      </c>
    </row>
    <row r="1793" spans="1:2">
      <c r="A1793" t="str">
        <f t="shared" ca="1" si="54"/>
        <v/>
      </c>
      <c r="B1793">
        <f t="shared" ca="1" si="55"/>
        <v>0</v>
      </c>
    </row>
    <row r="1794" spans="1:2">
      <c r="A1794" t="str">
        <f t="shared" ref="A1794:A1857" ca="1" si="56">CONCATENATE(INDIRECT(ADDRESS(ROW(),3)))</f>
        <v/>
      </c>
      <c r="B1794">
        <f t="shared" ref="B1794:B1857" ca="1" si="57">IF(IF(INDIRECT(ADDRESS(ROW(),1))&lt;&gt;"",IF(ISNA(MATCH(LEFT(INDIRECT(ADDRESS(ROW(),1)),2),PCNG_MN,0))=TRUE,1,0),0)+IF(INDIRECT(ADDRESS(ROW(),1))&lt;&gt;"",IF(ISNA(MATCH(LEFT(INDIRECT(ADDRESS(ROW(),1)),3),PCNG_MN,0))=TRUE,1,0),0)+IF(INDIRECT(ADDRESS(ROW(),1))&lt;&gt;"",IF(ISNA(MATCH(LEFT(INDIRECT(ADDRESS(ROW(),1)),4),PCNG_MN,0))=TRUE,1,0),0)&gt;=3,1,0)</f>
        <v>0</v>
      </c>
    </row>
    <row r="1795" spans="1:2">
      <c r="A1795" t="str">
        <f t="shared" ca="1" si="56"/>
        <v/>
      </c>
      <c r="B1795">
        <f t="shared" ca="1" si="57"/>
        <v>0</v>
      </c>
    </row>
    <row r="1796" spans="1:2">
      <c r="A1796" t="str">
        <f t="shared" ca="1" si="56"/>
        <v/>
      </c>
      <c r="B1796">
        <f t="shared" ca="1" si="57"/>
        <v>0</v>
      </c>
    </row>
    <row r="1797" spans="1:2">
      <c r="A1797" t="str">
        <f t="shared" ca="1" si="56"/>
        <v/>
      </c>
      <c r="B1797">
        <f t="shared" ca="1" si="57"/>
        <v>0</v>
      </c>
    </row>
    <row r="1798" spans="1:2">
      <c r="A1798" t="str">
        <f t="shared" ca="1" si="56"/>
        <v/>
      </c>
      <c r="B1798">
        <f t="shared" ca="1" si="57"/>
        <v>0</v>
      </c>
    </row>
    <row r="1799" spans="1:2">
      <c r="A1799" t="str">
        <f t="shared" ca="1" si="56"/>
        <v/>
      </c>
      <c r="B1799">
        <f t="shared" ca="1" si="57"/>
        <v>0</v>
      </c>
    </row>
    <row r="1800" spans="1:2">
      <c r="A1800" t="str">
        <f t="shared" ca="1" si="56"/>
        <v/>
      </c>
      <c r="B1800">
        <f t="shared" ca="1" si="57"/>
        <v>0</v>
      </c>
    </row>
    <row r="1801" spans="1:2">
      <c r="A1801" t="str">
        <f t="shared" ca="1" si="56"/>
        <v/>
      </c>
      <c r="B1801">
        <f t="shared" ca="1" si="57"/>
        <v>0</v>
      </c>
    </row>
    <row r="1802" spans="1:2">
      <c r="A1802" t="str">
        <f t="shared" ca="1" si="56"/>
        <v/>
      </c>
      <c r="B1802">
        <f t="shared" ca="1" si="57"/>
        <v>0</v>
      </c>
    </row>
    <row r="1803" spans="1:2">
      <c r="A1803" t="str">
        <f t="shared" ca="1" si="56"/>
        <v/>
      </c>
      <c r="B1803">
        <f t="shared" ca="1" si="57"/>
        <v>0</v>
      </c>
    </row>
    <row r="1804" spans="1:2">
      <c r="A1804" t="str">
        <f t="shared" ca="1" si="56"/>
        <v/>
      </c>
      <c r="B1804">
        <f t="shared" ca="1" si="57"/>
        <v>0</v>
      </c>
    </row>
    <row r="1805" spans="1:2">
      <c r="A1805" t="str">
        <f t="shared" ca="1" si="56"/>
        <v/>
      </c>
      <c r="B1805">
        <f t="shared" ca="1" si="57"/>
        <v>0</v>
      </c>
    </row>
    <row r="1806" spans="1:2">
      <c r="A1806" t="str">
        <f t="shared" ca="1" si="56"/>
        <v/>
      </c>
      <c r="B1806">
        <f t="shared" ca="1" si="57"/>
        <v>0</v>
      </c>
    </row>
    <row r="1807" spans="1:2">
      <c r="A1807" t="str">
        <f t="shared" ca="1" si="56"/>
        <v/>
      </c>
      <c r="B1807">
        <f t="shared" ca="1" si="57"/>
        <v>0</v>
      </c>
    </row>
    <row r="1808" spans="1:2">
      <c r="A1808" t="str">
        <f t="shared" ca="1" si="56"/>
        <v/>
      </c>
      <c r="B1808">
        <f t="shared" ca="1" si="57"/>
        <v>0</v>
      </c>
    </row>
    <row r="1809" spans="1:2">
      <c r="A1809" t="str">
        <f t="shared" ca="1" si="56"/>
        <v/>
      </c>
      <c r="B1809">
        <f t="shared" ca="1" si="57"/>
        <v>0</v>
      </c>
    </row>
    <row r="1810" spans="1:2">
      <c r="A1810" t="str">
        <f t="shared" ca="1" si="56"/>
        <v/>
      </c>
      <c r="B1810">
        <f t="shared" ca="1" si="57"/>
        <v>0</v>
      </c>
    </row>
    <row r="1811" spans="1:2">
      <c r="A1811" t="str">
        <f t="shared" ca="1" si="56"/>
        <v/>
      </c>
      <c r="B1811">
        <f t="shared" ca="1" si="57"/>
        <v>0</v>
      </c>
    </row>
    <row r="1812" spans="1:2">
      <c r="A1812" t="str">
        <f t="shared" ca="1" si="56"/>
        <v/>
      </c>
      <c r="B1812">
        <f t="shared" ca="1" si="57"/>
        <v>0</v>
      </c>
    </row>
    <row r="1813" spans="1:2">
      <c r="A1813" t="str">
        <f t="shared" ca="1" si="56"/>
        <v/>
      </c>
      <c r="B1813">
        <f t="shared" ca="1" si="57"/>
        <v>0</v>
      </c>
    </row>
    <row r="1814" spans="1:2">
      <c r="A1814" t="str">
        <f t="shared" ca="1" si="56"/>
        <v/>
      </c>
      <c r="B1814">
        <f t="shared" ca="1" si="57"/>
        <v>0</v>
      </c>
    </row>
    <row r="1815" spans="1:2">
      <c r="A1815" t="str">
        <f t="shared" ca="1" si="56"/>
        <v/>
      </c>
      <c r="B1815">
        <f t="shared" ca="1" si="57"/>
        <v>0</v>
      </c>
    </row>
    <row r="1816" spans="1:2">
      <c r="A1816" t="str">
        <f t="shared" ca="1" si="56"/>
        <v/>
      </c>
      <c r="B1816">
        <f t="shared" ca="1" si="57"/>
        <v>0</v>
      </c>
    </row>
    <row r="1817" spans="1:2">
      <c r="A1817" t="str">
        <f t="shared" ca="1" si="56"/>
        <v/>
      </c>
      <c r="B1817">
        <f t="shared" ca="1" si="57"/>
        <v>0</v>
      </c>
    </row>
    <row r="1818" spans="1:2">
      <c r="A1818" t="str">
        <f t="shared" ca="1" si="56"/>
        <v/>
      </c>
      <c r="B1818">
        <f t="shared" ca="1" si="57"/>
        <v>0</v>
      </c>
    </row>
    <row r="1819" spans="1:2">
      <c r="A1819" t="str">
        <f t="shared" ca="1" si="56"/>
        <v/>
      </c>
      <c r="B1819">
        <f t="shared" ca="1" si="57"/>
        <v>0</v>
      </c>
    </row>
    <row r="1820" spans="1:2">
      <c r="A1820" t="str">
        <f t="shared" ca="1" si="56"/>
        <v/>
      </c>
      <c r="B1820">
        <f t="shared" ca="1" si="57"/>
        <v>0</v>
      </c>
    </row>
    <row r="1821" spans="1:2">
      <c r="A1821" t="str">
        <f t="shared" ca="1" si="56"/>
        <v/>
      </c>
      <c r="B1821">
        <f t="shared" ca="1" si="57"/>
        <v>0</v>
      </c>
    </row>
    <row r="1822" spans="1:2">
      <c r="A1822" t="str">
        <f t="shared" ca="1" si="56"/>
        <v/>
      </c>
      <c r="B1822">
        <f t="shared" ca="1" si="57"/>
        <v>0</v>
      </c>
    </row>
    <row r="1823" spans="1:2">
      <c r="A1823" t="str">
        <f t="shared" ca="1" si="56"/>
        <v/>
      </c>
      <c r="B1823">
        <f t="shared" ca="1" si="57"/>
        <v>0</v>
      </c>
    </row>
    <row r="1824" spans="1:2">
      <c r="A1824" t="str">
        <f t="shared" ca="1" si="56"/>
        <v/>
      </c>
      <c r="B1824">
        <f t="shared" ca="1" si="57"/>
        <v>0</v>
      </c>
    </row>
    <row r="1825" spans="1:2">
      <c r="A1825" t="str">
        <f t="shared" ca="1" si="56"/>
        <v/>
      </c>
      <c r="B1825">
        <f t="shared" ca="1" si="57"/>
        <v>0</v>
      </c>
    </row>
    <row r="1826" spans="1:2">
      <c r="A1826" t="str">
        <f t="shared" ca="1" si="56"/>
        <v/>
      </c>
      <c r="B1826">
        <f t="shared" ca="1" si="57"/>
        <v>0</v>
      </c>
    </row>
    <row r="1827" spans="1:2">
      <c r="A1827" t="str">
        <f t="shared" ca="1" si="56"/>
        <v/>
      </c>
      <c r="B1827">
        <f t="shared" ca="1" si="57"/>
        <v>0</v>
      </c>
    </row>
    <row r="1828" spans="1:2">
      <c r="A1828" t="str">
        <f t="shared" ca="1" si="56"/>
        <v/>
      </c>
      <c r="B1828">
        <f t="shared" ca="1" si="57"/>
        <v>0</v>
      </c>
    </row>
    <row r="1829" spans="1:2">
      <c r="A1829" t="str">
        <f t="shared" ca="1" si="56"/>
        <v/>
      </c>
      <c r="B1829">
        <f t="shared" ca="1" si="57"/>
        <v>0</v>
      </c>
    </row>
    <row r="1830" spans="1:2">
      <c r="A1830" t="str">
        <f t="shared" ca="1" si="56"/>
        <v/>
      </c>
      <c r="B1830">
        <f t="shared" ca="1" si="57"/>
        <v>0</v>
      </c>
    </row>
    <row r="1831" spans="1:2">
      <c r="A1831" t="str">
        <f t="shared" ca="1" si="56"/>
        <v/>
      </c>
      <c r="B1831">
        <f t="shared" ca="1" si="57"/>
        <v>0</v>
      </c>
    </row>
    <row r="1832" spans="1:2">
      <c r="A1832" t="str">
        <f t="shared" ca="1" si="56"/>
        <v/>
      </c>
      <c r="B1832">
        <f t="shared" ca="1" si="57"/>
        <v>0</v>
      </c>
    </row>
    <row r="1833" spans="1:2">
      <c r="A1833" t="str">
        <f t="shared" ca="1" si="56"/>
        <v/>
      </c>
      <c r="B1833">
        <f t="shared" ca="1" si="57"/>
        <v>0</v>
      </c>
    </row>
    <row r="1834" spans="1:2">
      <c r="A1834" t="str">
        <f t="shared" ca="1" si="56"/>
        <v/>
      </c>
      <c r="B1834">
        <f t="shared" ca="1" si="57"/>
        <v>0</v>
      </c>
    </row>
    <row r="1835" spans="1:2">
      <c r="A1835" t="str">
        <f t="shared" ca="1" si="56"/>
        <v/>
      </c>
      <c r="B1835">
        <f t="shared" ca="1" si="57"/>
        <v>0</v>
      </c>
    </row>
    <row r="1836" spans="1:2">
      <c r="A1836" t="str">
        <f t="shared" ca="1" si="56"/>
        <v/>
      </c>
      <c r="B1836">
        <f t="shared" ca="1" si="57"/>
        <v>0</v>
      </c>
    </row>
    <row r="1837" spans="1:2">
      <c r="A1837" t="str">
        <f t="shared" ca="1" si="56"/>
        <v/>
      </c>
      <c r="B1837">
        <f t="shared" ca="1" si="57"/>
        <v>0</v>
      </c>
    </row>
    <row r="1838" spans="1:2">
      <c r="A1838" t="str">
        <f t="shared" ca="1" si="56"/>
        <v/>
      </c>
      <c r="B1838">
        <f t="shared" ca="1" si="57"/>
        <v>0</v>
      </c>
    </row>
    <row r="1839" spans="1:2">
      <c r="A1839" t="str">
        <f t="shared" ca="1" si="56"/>
        <v/>
      </c>
      <c r="B1839">
        <f t="shared" ca="1" si="57"/>
        <v>0</v>
      </c>
    </row>
    <row r="1840" spans="1:2">
      <c r="A1840" t="str">
        <f t="shared" ca="1" si="56"/>
        <v/>
      </c>
      <c r="B1840">
        <f t="shared" ca="1" si="57"/>
        <v>0</v>
      </c>
    </row>
    <row r="1841" spans="1:2">
      <c r="A1841" t="str">
        <f t="shared" ca="1" si="56"/>
        <v/>
      </c>
      <c r="B1841">
        <f t="shared" ca="1" si="57"/>
        <v>0</v>
      </c>
    </row>
    <row r="1842" spans="1:2">
      <c r="A1842" t="str">
        <f t="shared" ca="1" si="56"/>
        <v/>
      </c>
      <c r="B1842">
        <f t="shared" ca="1" si="57"/>
        <v>0</v>
      </c>
    </row>
    <row r="1843" spans="1:2">
      <c r="A1843" t="str">
        <f t="shared" ca="1" si="56"/>
        <v/>
      </c>
      <c r="B1843">
        <f t="shared" ca="1" si="57"/>
        <v>0</v>
      </c>
    </row>
    <row r="1844" spans="1:2">
      <c r="A1844" t="str">
        <f t="shared" ca="1" si="56"/>
        <v/>
      </c>
      <c r="B1844">
        <f t="shared" ca="1" si="57"/>
        <v>0</v>
      </c>
    </row>
    <row r="1845" spans="1:2">
      <c r="A1845" t="str">
        <f t="shared" ca="1" si="56"/>
        <v/>
      </c>
      <c r="B1845">
        <f t="shared" ca="1" si="57"/>
        <v>0</v>
      </c>
    </row>
    <row r="1846" spans="1:2">
      <c r="A1846" t="str">
        <f t="shared" ca="1" si="56"/>
        <v/>
      </c>
      <c r="B1846">
        <f t="shared" ca="1" si="57"/>
        <v>0</v>
      </c>
    </row>
    <row r="1847" spans="1:2">
      <c r="A1847" t="str">
        <f t="shared" ca="1" si="56"/>
        <v/>
      </c>
      <c r="B1847">
        <f t="shared" ca="1" si="57"/>
        <v>0</v>
      </c>
    </row>
    <row r="1848" spans="1:2">
      <c r="A1848" t="str">
        <f t="shared" ca="1" si="56"/>
        <v/>
      </c>
      <c r="B1848">
        <f t="shared" ca="1" si="57"/>
        <v>0</v>
      </c>
    </row>
    <row r="1849" spans="1:2">
      <c r="A1849" t="str">
        <f t="shared" ca="1" si="56"/>
        <v/>
      </c>
      <c r="B1849">
        <f t="shared" ca="1" si="57"/>
        <v>0</v>
      </c>
    </row>
    <row r="1850" spans="1:2">
      <c r="A1850" t="str">
        <f t="shared" ca="1" si="56"/>
        <v/>
      </c>
      <c r="B1850">
        <f t="shared" ca="1" si="57"/>
        <v>0</v>
      </c>
    </row>
    <row r="1851" spans="1:2">
      <c r="A1851" t="str">
        <f t="shared" ca="1" si="56"/>
        <v/>
      </c>
      <c r="B1851">
        <f t="shared" ca="1" si="57"/>
        <v>0</v>
      </c>
    </row>
    <row r="1852" spans="1:2">
      <c r="A1852" t="str">
        <f t="shared" ca="1" si="56"/>
        <v/>
      </c>
      <c r="B1852">
        <f t="shared" ca="1" si="57"/>
        <v>0</v>
      </c>
    </row>
    <row r="1853" spans="1:2">
      <c r="A1853" t="str">
        <f t="shared" ca="1" si="56"/>
        <v/>
      </c>
      <c r="B1853">
        <f t="shared" ca="1" si="57"/>
        <v>0</v>
      </c>
    </row>
    <row r="1854" spans="1:2">
      <c r="A1854" t="str">
        <f t="shared" ca="1" si="56"/>
        <v/>
      </c>
      <c r="B1854">
        <f t="shared" ca="1" si="57"/>
        <v>0</v>
      </c>
    </row>
    <row r="1855" spans="1:2">
      <c r="A1855" t="str">
        <f t="shared" ca="1" si="56"/>
        <v/>
      </c>
      <c r="B1855">
        <f t="shared" ca="1" si="57"/>
        <v>0</v>
      </c>
    </row>
    <row r="1856" spans="1:2">
      <c r="A1856" t="str">
        <f t="shared" ca="1" si="56"/>
        <v/>
      </c>
      <c r="B1856">
        <f t="shared" ca="1" si="57"/>
        <v>0</v>
      </c>
    </row>
    <row r="1857" spans="1:2">
      <c r="A1857" t="str">
        <f t="shared" ca="1" si="56"/>
        <v/>
      </c>
      <c r="B1857">
        <f t="shared" ca="1" si="57"/>
        <v>0</v>
      </c>
    </row>
    <row r="1858" spans="1:2">
      <c r="A1858" t="str">
        <f t="shared" ref="A1858:A1921" ca="1" si="58">CONCATENATE(INDIRECT(ADDRESS(ROW(),3)))</f>
        <v/>
      </c>
      <c r="B1858">
        <f t="shared" ref="B1858:B1921" ca="1" si="59">IF(IF(INDIRECT(ADDRESS(ROW(),1))&lt;&gt;"",IF(ISNA(MATCH(LEFT(INDIRECT(ADDRESS(ROW(),1)),2),PCNG_MN,0))=TRUE,1,0),0)+IF(INDIRECT(ADDRESS(ROW(),1))&lt;&gt;"",IF(ISNA(MATCH(LEFT(INDIRECT(ADDRESS(ROW(),1)),3),PCNG_MN,0))=TRUE,1,0),0)+IF(INDIRECT(ADDRESS(ROW(),1))&lt;&gt;"",IF(ISNA(MATCH(LEFT(INDIRECT(ADDRESS(ROW(),1)),4),PCNG_MN,0))=TRUE,1,0),0)&gt;=3,1,0)</f>
        <v>0</v>
      </c>
    </row>
    <row r="1859" spans="1:2">
      <c r="A1859" t="str">
        <f t="shared" ca="1" si="58"/>
        <v/>
      </c>
      <c r="B1859">
        <f t="shared" ca="1" si="59"/>
        <v>0</v>
      </c>
    </row>
    <row r="1860" spans="1:2">
      <c r="A1860" t="str">
        <f t="shared" ca="1" si="58"/>
        <v/>
      </c>
      <c r="B1860">
        <f t="shared" ca="1" si="59"/>
        <v>0</v>
      </c>
    </row>
    <row r="1861" spans="1:2">
      <c r="A1861" t="str">
        <f t="shared" ca="1" si="58"/>
        <v/>
      </c>
      <c r="B1861">
        <f t="shared" ca="1" si="59"/>
        <v>0</v>
      </c>
    </row>
    <row r="1862" spans="1:2">
      <c r="A1862" t="str">
        <f t="shared" ca="1" si="58"/>
        <v/>
      </c>
      <c r="B1862">
        <f t="shared" ca="1" si="59"/>
        <v>0</v>
      </c>
    </row>
    <row r="1863" spans="1:2">
      <c r="A1863" t="str">
        <f t="shared" ca="1" si="58"/>
        <v/>
      </c>
      <c r="B1863">
        <f t="shared" ca="1" si="59"/>
        <v>0</v>
      </c>
    </row>
    <row r="1864" spans="1:2">
      <c r="A1864" t="str">
        <f t="shared" ca="1" si="58"/>
        <v/>
      </c>
      <c r="B1864">
        <f t="shared" ca="1" si="59"/>
        <v>0</v>
      </c>
    </row>
    <row r="1865" spans="1:2">
      <c r="A1865" t="str">
        <f t="shared" ca="1" si="58"/>
        <v/>
      </c>
      <c r="B1865">
        <f t="shared" ca="1" si="59"/>
        <v>0</v>
      </c>
    </row>
    <row r="1866" spans="1:2">
      <c r="A1866" t="str">
        <f t="shared" ca="1" si="58"/>
        <v/>
      </c>
      <c r="B1866">
        <f t="shared" ca="1" si="59"/>
        <v>0</v>
      </c>
    </row>
    <row r="1867" spans="1:2">
      <c r="A1867" t="str">
        <f t="shared" ca="1" si="58"/>
        <v/>
      </c>
      <c r="B1867">
        <f t="shared" ca="1" si="59"/>
        <v>0</v>
      </c>
    </row>
    <row r="1868" spans="1:2">
      <c r="A1868" t="str">
        <f t="shared" ca="1" si="58"/>
        <v/>
      </c>
      <c r="B1868">
        <f t="shared" ca="1" si="59"/>
        <v>0</v>
      </c>
    </row>
    <row r="1869" spans="1:2">
      <c r="A1869" t="str">
        <f t="shared" ca="1" si="58"/>
        <v/>
      </c>
      <c r="B1869">
        <f t="shared" ca="1" si="59"/>
        <v>0</v>
      </c>
    </row>
    <row r="1870" spans="1:2">
      <c r="A1870" t="str">
        <f t="shared" ca="1" si="58"/>
        <v/>
      </c>
      <c r="B1870">
        <f t="shared" ca="1" si="59"/>
        <v>0</v>
      </c>
    </row>
    <row r="1871" spans="1:2">
      <c r="A1871" t="str">
        <f t="shared" ca="1" si="58"/>
        <v/>
      </c>
      <c r="B1871">
        <f t="shared" ca="1" si="59"/>
        <v>0</v>
      </c>
    </row>
    <row r="1872" spans="1:2">
      <c r="A1872" t="str">
        <f t="shared" ca="1" si="58"/>
        <v/>
      </c>
      <c r="B1872">
        <f t="shared" ca="1" si="59"/>
        <v>0</v>
      </c>
    </row>
    <row r="1873" spans="1:2">
      <c r="A1873" t="str">
        <f t="shared" ca="1" si="58"/>
        <v/>
      </c>
      <c r="B1873">
        <f t="shared" ca="1" si="59"/>
        <v>0</v>
      </c>
    </row>
    <row r="1874" spans="1:2">
      <c r="A1874" t="str">
        <f t="shared" ca="1" si="58"/>
        <v/>
      </c>
      <c r="B1874">
        <f t="shared" ca="1" si="59"/>
        <v>0</v>
      </c>
    </row>
    <row r="1875" spans="1:2">
      <c r="A1875" t="str">
        <f t="shared" ca="1" si="58"/>
        <v/>
      </c>
      <c r="B1875">
        <f t="shared" ca="1" si="59"/>
        <v>0</v>
      </c>
    </row>
    <row r="1876" spans="1:2">
      <c r="A1876" t="str">
        <f t="shared" ca="1" si="58"/>
        <v/>
      </c>
      <c r="B1876">
        <f t="shared" ca="1" si="59"/>
        <v>0</v>
      </c>
    </row>
    <row r="1877" spans="1:2">
      <c r="A1877" t="str">
        <f t="shared" ca="1" si="58"/>
        <v/>
      </c>
      <c r="B1877">
        <f t="shared" ca="1" si="59"/>
        <v>0</v>
      </c>
    </row>
    <row r="1878" spans="1:2">
      <c r="A1878" t="str">
        <f t="shared" ca="1" si="58"/>
        <v/>
      </c>
      <c r="B1878">
        <f t="shared" ca="1" si="59"/>
        <v>0</v>
      </c>
    </row>
    <row r="1879" spans="1:2">
      <c r="A1879" t="str">
        <f t="shared" ca="1" si="58"/>
        <v/>
      </c>
      <c r="B1879">
        <f t="shared" ca="1" si="59"/>
        <v>0</v>
      </c>
    </row>
    <row r="1880" spans="1:2">
      <c r="A1880" t="str">
        <f t="shared" ca="1" si="58"/>
        <v/>
      </c>
      <c r="B1880">
        <f t="shared" ca="1" si="59"/>
        <v>0</v>
      </c>
    </row>
    <row r="1881" spans="1:2">
      <c r="A1881" t="str">
        <f t="shared" ca="1" si="58"/>
        <v/>
      </c>
      <c r="B1881">
        <f t="shared" ca="1" si="59"/>
        <v>0</v>
      </c>
    </row>
    <row r="1882" spans="1:2">
      <c r="A1882" t="str">
        <f t="shared" ca="1" si="58"/>
        <v/>
      </c>
      <c r="B1882">
        <f t="shared" ca="1" si="59"/>
        <v>0</v>
      </c>
    </row>
    <row r="1883" spans="1:2">
      <c r="A1883" t="str">
        <f t="shared" ca="1" si="58"/>
        <v/>
      </c>
      <c r="B1883">
        <f t="shared" ca="1" si="59"/>
        <v>0</v>
      </c>
    </row>
    <row r="1884" spans="1:2">
      <c r="A1884" t="str">
        <f t="shared" ca="1" si="58"/>
        <v/>
      </c>
      <c r="B1884">
        <f t="shared" ca="1" si="59"/>
        <v>0</v>
      </c>
    </row>
    <row r="1885" spans="1:2">
      <c r="A1885" t="str">
        <f t="shared" ca="1" si="58"/>
        <v/>
      </c>
      <c r="B1885">
        <f t="shared" ca="1" si="59"/>
        <v>0</v>
      </c>
    </row>
    <row r="1886" spans="1:2">
      <c r="A1886" t="str">
        <f t="shared" ca="1" si="58"/>
        <v/>
      </c>
      <c r="B1886">
        <f t="shared" ca="1" si="59"/>
        <v>0</v>
      </c>
    </row>
    <row r="1887" spans="1:2">
      <c r="A1887" t="str">
        <f t="shared" ca="1" si="58"/>
        <v/>
      </c>
      <c r="B1887">
        <f t="shared" ca="1" si="59"/>
        <v>0</v>
      </c>
    </row>
    <row r="1888" spans="1:2">
      <c r="A1888" t="str">
        <f t="shared" ca="1" si="58"/>
        <v/>
      </c>
      <c r="B1888">
        <f t="shared" ca="1" si="59"/>
        <v>0</v>
      </c>
    </row>
    <row r="1889" spans="1:2">
      <c r="A1889" t="str">
        <f t="shared" ca="1" si="58"/>
        <v/>
      </c>
      <c r="B1889">
        <f t="shared" ca="1" si="59"/>
        <v>0</v>
      </c>
    </row>
    <row r="1890" spans="1:2">
      <c r="A1890" t="str">
        <f t="shared" ca="1" si="58"/>
        <v/>
      </c>
      <c r="B1890">
        <f t="shared" ca="1" si="59"/>
        <v>0</v>
      </c>
    </row>
    <row r="1891" spans="1:2">
      <c r="A1891" t="str">
        <f t="shared" ca="1" si="58"/>
        <v/>
      </c>
      <c r="B1891">
        <f t="shared" ca="1" si="59"/>
        <v>0</v>
      </c>
    </row>
    <row r="1892" spans="1:2">
      <c r="A1892" t="str">
        <f t="shared" ca="1" si="58"/>
        <v/>
      </c>
      <c r="B1892">
        <f t="shared" ca="1" si="59"/>
        <v>0</v>
      </c>
    </row>
    <row r="1893" spans="1:2">
      <c r="A1893" t="str">
        <f t="shared" ca="1" si="58"/>
        <v/>
      </c>
      <c r="B1893">
        <f t="shared" ca="1" si="59"/>
        <v>0</v>
      </c>
    </row>
    <row r="1894" spans="1:2">
      <c r="A1894" t="str">
        <f t="shared" ca="1" si="58"/>
        <v/>
      </c>
      <c r="B1894">
        <f t="shared" ca="1" si="59"/>
        <v>0</v>
      </c>
    </row>
    <row r="1895" spans="1:2">
      <c r="A1895" t="str">
        <f t="shared" ca="1" si="58"/>
        <v/>
      </c>
      <c r="B1895">
        <f t="shared" ca="1" si="59"/>
        <v>0</v>
      </c>
    </row>
    <row r="1896" spans="1:2">
      <c r="A1896" t="str">
        <f t="shared" ca="1" si="58"/>
        <v/>
      </c>
      <c r="B1896">
        <f t="shared" ca="1" si="59"/>
        <v>0</v>
      </c>
    </row>
    <row r="1897" spans="1:2">
      <c r="A1897" t="str">
        <f t="shared" ca="1" si="58"/>
        <v/>
      </c>
      <c r="B1897">
        <f t="shared" ca="1" si="59"/>
        <v>0</v>
      </c>
    </row>
    <row r="1898" spans="1:2">
      <c r="A1898" t="str">
        <f t="shared" ca="1" si="58"/>
        <v/>
      </c>
      <c r="B1898">
        <f t="shared" ca="1" si="59"/>
        <v>0</v>
      </c>
    </row>
    <row r="1899" spans="1:2">
      <c r="A1899" t="str">
        <f t="shared" ca="1" si="58"/>
        <v/>
      </c>
      <c r="B1899">
        <f t="shared" ca="1" si="59"/>
        <v>0</v>
      </c>
    </row>
    <row r="1900" spans="1:2">
      <c r="A1900" t="str">
        <f t="shared" ca="1" si="58"/>
        <v/>
      </c>
      <c r="B1900">
        <f t="shared" ca="1" si="59"/>
        <v>0</v>
      </c>
    </row>
    <row r="1901" spans="1:2">
      <c r="A1901" t="str">
        <f t="shared" ca="1" si="58"/>
        <v/>
      </c>
      <c r="B1901">
        <f t="shared" ca="1" si="59"/>
        <v>0</v>
      </c>
    </row>
    <row r="1902" spans="1:2">
      <c r="A1902" t="str">
        <f t="shared" ca="1" si="58"/>
        <v/>
      </c>
      <c r="B1902">
        <f t="shared" ca="1" si="59"/>
        <v>0</v>
      </c>
    </row>
    <row r="1903" spans="1:2">
      <c r="A1903" t="str">
        <f t="shared" ca="1" si="58"/>
        <v/>
      </c>
      <c r="B1903">
        <f t="shared" ca="1" si="59"/>
        <v>0</v>
      </c>
    </row>
    <row r="1904" spans="1:2">
      <c r="A1904" t="str">
        <f t="shared" ca="1" si="58"/>
        <v/>
      </c>
      <c r="B1904">
        <f t="shared" ca="1" si="59"/>
        <v>0</v>
      </c>
    </row>
    <row r="1905" spans="1:2">
      <c r="A1905" t="str">
        <f t="shared" ca="1" si="58"/>
        <v/>
      </c>
      <c r="B1905">
        <f t="shared" ca="1" si="59"/>
        <v>0</v>
      </c>
    </row>
    <row r="1906" spans="1:2">
      <c r="A1906" t="str">
        <f t="shared" ca="1" si="58"/>
        <v/>
      </c>
      <c r="B1906">
        <f t="shared" ca="1" si="59"/>
        <v>0</v>
      </c>
    </row>
    <row r="1907" spans="1:2">
      <c r="A1907" t="str">
        <f t="shared" ca="1" si="58"/>
        <v/>
      </c>
      <c r="B1907">
        <f t="shared" ca="1" si="59"/>
        <v>0</v>
      </c>
    </row>
    <row r="1908" spans="1:2">
      <c r="A1908" t="str">
        <f t="shared" ca="1" si="58"/>
        <v/>
      </c>
      <c r="B1908">
        <f t="shared" ca="1" si="59"/>
        <v>0</v>
      </c>
    </row>
    <row r="1909" spans="1:2">
      <c r="A1909" t="str">
        <f t="shared" ca="1" si="58"/>
        <v/>
      </c>
      <c r="B1909">
        <f t="shared" ca="1" si="59"/>
        <v>0</v>
      </c>
    </row>
    <row r="1910" spans="1:2">
      <c r="A1910" t="str">
        <f t="shared" ca="1" si="58"/>
        <v/>
      </c>
      <c r="B1910">
        <f t="shared" ca="1" si="59"/>
        <v>0</v>
      </c>
    </row>
    <row r="1911" spans="1:2">
      <c r="A1911" t="str">
        <f t="shared" ca="1" si="58"/>
        <v/>
      </c>
      <c r="B1911">
        <f t="shared" ca="1" si="59"/>
        <v>0</v>
      </c>
    </row>
    <row r="1912" spans="1:2">
      <c r="A1912" t="str">
        <f t="shared" ca="1" si="58"/>
        <v/>
      </c>
      <c r="B1912">
        <f t="shared" ca="1" si="59"/>
        <v>0</v>
      </c>
    </row>
    <row r="1913" spans="1:2">
      <c r="A1913" t="str">
        <f t="shared" ca="1" si="58"/>
        <v/>
      </c>
      <c r="B1913">
        <f t="shared" ca="1" si="59"/>
        <v>0</v>
      </c>
    </row>
    <row r="1914" spans="1:2">
      <c r="A1914" t="str">
        <f t="shared" ca="1" si="58"/>
        <v/>
      </c>
      <c r="B1914">
        <f t="shared" ca="1" si="59"/>
        <v>0</v>
      </c>
    </row>
    <row r="1915" spans="1:2">
      <c r="A1915" t="str">
        <f t="shared" ca="1" si="58"/>
        <v/>
      </c>
      <c r="B1915">
        <f t="shared" ca="1" si="59"/>
        <v>0</v>
      </c>
    </row>
    <row r="1916" spans="1:2">
      <c r="A1916" t="str">
        <f t="shared" ca="1" si="58"/>
        <v/>
      </c>
      <c r="B1916">
        <f t="shared" ca="1" si="59"/>
        <v>0</v>
      </c>
    </row>
    <row r="1917" spans="1:2">
      <c r="A1917" t="str">
        <f t="shared" ca="1" si="58"/>
        <v/>
      </c>
      <c r="B1917">
        <f t="shared" ca="1" si="59"/>
        <v>0</v>
      </c>
    </row>
    <row r="1918" spans="1:2">
      <c r="A1918" t="str">
        <f t="shared" ca="1" si="58"/>
        <v/>
      </c>
      <c r="B1918">
        <f t="shared" ca="1" si="59"/>
        <v>0</v>
      </c>
    </row>
    <row r="1919" spans="1:2">
      <c r="A1919" t="str">
        <f t="shared" ca="1" si="58"/>
        <v/>
      </c>
      <c r="B1919">
        <f t="shared" ca="1" si="59"/>
        <v>0</v>
      </c>
    </row>
    <row r="1920" spans="1:2">
      <c r="A1920" t="str">
        <f t="shared" ca="1" si="58"/>
        <v/>
      </c>
      <c r="B1920">
        <f t="shared" ca="1" si="59"/>
        <v>0</v>
      </c>
    </row>
    <row r="1921" spans="1:2">
      <c r="A1921" t="str">
        <f t="shared" ca="1" si="58"/>
        <v/>
      </c>
      <c r="B1921">
        <f t="shared" ca="1" si="59"/>
        <v>0</v>
      </c>
    </row>
    <row r="1922" spans="1:2">
      <c r="A1922" t="str">
        <f t="shared" ref="A1922:A1985" ca="1" si="60">CONCATENATE(INDIRECT(ADDRESS(ROW(),3)))</f>
        <v/>
      </c>
      <c r="B1922">
        <f t="shared" ref="B1922:B1985" ca="1" si="61">IF(IF(INDIRECT(ADDRESS(ROW(),1))&lt;&gt;"",IF(ISNA(MATCH(LEFT(INDIRECT(ADDRESS(ROW(),1)),2),PCNG_MN,0))=TRUE,1,0),0)+IF(INDIRECT(ADDRESS(ROW(),1))&lt;&gt;"",IF(ISNA(MATCH(LEFT(INDIRECT(ADDRESS(ROW(),1)),3),PCNG_MN,0))=TRUE,1,0),0)+IF(INDIRECT(ADDRESS(ROW(),1))&lt;&gt;"",IF(ISNA(MATCH(LEFT(INDIRECT(ADDRESS(ROW(),1)),4),PCNG_MN,0))=TRUE,1,0),0)&gt;=3,1,0)</f>
        <v>0</v>
      </c>
    </row>
    <row r="1923" spans="1:2">
      <c r="A1923" t="str">
        <f t="shared" ca="1" si="60"/>
        <v/>
      </c>
      <c r="B1923">
        <f t="shared" ca="1" si="61"/>
        <v>0</v>
      </c>
    </row>
    <row r="1924" spans="1:2">
      <c r="A1924" t="str">
        <f t="shared" ca="1" si="60"/>
        <v/>
      </c>
      <c r="B1924">
        <f t="shared" ca="1" si="61"/>
        <v>0</v>
      </c>
    </row>
    <row r="1925" spans="1:2">
      <c r="A1925" t="str">
        <f t="shared" ca="1" si="60"/>
        <v/>
      </c>
      <c r="B1925">
        <f t="shared" ca="1" si="61"/>
        <v>0</v>
      </c>
    </row>
    <row r="1926" spans="1:2">
      <c r="A1926" t="str">
        <f t="shared" ca="1" si="60"/>
        <v/>
      </c>
      <c r="B1926">
        <f t="shared" ca="1" si="61"/>
        <v>0</v>
      </c>
    </row>
    <row r="1927" spans="1:2">
      <c r="A1927" t="str">
        <f t="shared" ca="1" si="60"/>
        <v/>
      </c>
      <c r="B1927">
        <f t="shared" ca="1" si="61"/>
        <v>0</v>
      </c>
    </row>
    <row r="1928" spans="1:2">
      <c r="A1928" t="str">
        <f t="shared" ca="1" si="60"/>
        <v/>
      </c>
      <c r="B1928">
        <f t="shared" ca="1" si="61"/>
        <v>0</v>
      </c>
    </row>
    <row r="1929" spans="1:2">
      <c r="A1929" t="str">
        <f t="shared" ca="1" si="60"/>
        <v/>
      </c>
      <c r="B1929">
        <f t="shared" ca="1" si="61"/>
        <v>0</v>
      </c>
    </row>
    <row r="1930" spans="1:2">
      <c r="A1930" t="str">
        <f t="shared" ca="1" si="60"/>
        <v/>
      </c>
      <c r="B1930">
        <f t="shared" ca="1" si="61"/>
        <v>0</v>
      </c>
    </row>
    <row r="1931" spans="1:2">
      <c r="A1931" t="str">
        <f t="shared" ca="1" si="60"/>
        <v/>
      </c>
      <c r="B1931">
        <f t="shared" ca="1" si="61"/>
        <v>0</v>
      </c>
    </row>
    <row r="1932" spans="1:2">
      <c r="A1932" t="str">
        <f t="shared" ca="1" si="60"/>
        <v/>
      </c>
      <c r="B1932">
        <f t="shared" ca="1" si="61"/>
        <v>0</v>
      </c>
    </row>
    <row r="1933" spans="1:2">
      <c r="A1933" t="str">
        <f t="shared" ca="1" si="60"/>
        <v/>
      </c>
      <c r="B1933">
        <f t="shared" ca="1" si="61"/>
        <v>0</v>
      </c>
    </row>
    <row r="1934" spans="1:2">
      <c r="A1934" t="str">
        <f t="shared" ca="1" si="60"/>
        <v/>
      </c>
      <c r="B1934">
        <f t="shared" ca="1" si="61"/>
        <v>0</v>
      </c>
    </row>
    <row r="1935" spans="1:2">
      <c r="A1935" t="str">
        <f t="shared" ca="1" si="60"/>
        <v/>
      </c>
      <c r="B1935">
        <f t="shared" ca="1" si="61"/>
        <v>0</v>
      </c>
    </row>
    <row r="1936" spans="1:2">
      <c r="A1936" t="str">
        <f t="shared" ca="1" si="60"/>
        <v/>
      </c>
      <c r="B1936">
        <f t="shared" ca="1" si="61"/>
        <v>0</v>
      </c>
    </row>
    <row r="1937" spans="1:2">
      <c r="A1937" t="str">
        <f t="shared" ca="1" si="60"/>
        <v/>
      </c>
      <c r="B1937">
        <f t="shared" ca="1" si="61"/>
        <v>0</v>
      </c>
    </row>
    <row r="1938" spans="1:2">
      <c r="A1938" t="str">
        <f t="shared" ca="1" si="60"/>
        <v/>
      </c>
      <c r="B1938">
        <f t="shared" ca="1" si="61"/>
        <v>0</v>
      </c>
    </row>
    <row r="1939" spans="1:2">
      <c r="A1939" t="str">
        <f t="shared" ca="1" si="60"/>
        <v/>
      </c>
      <c r="B1939">
        <f t="shared" ca="1" si="61"/>
        <v>0</v>
      </c>
    </row>
    <row r="1940" spans="1:2">
      <c r="A1940" t="str">
        <f t="shared" ca="1" si="60"/>
        <v/>
      </c>
      <c r="B1940">
        <f t="shared" ca="1" si="61"/>
        <v>0</v>
      </c>
    </row>
    <row r="1941" spans="1:2">
      <c r="A1941" t="str">
        <f t="shared" ca="1" si="60"/>
        <v/>
      </c>
      <c r="B1941">
        <f t="shared" ca="1" si="61"/>
        <v>0</v>
      </c>
    </row>
    <row r="1942" spans="1:2">
      <c r="A1942" t="str">
        <f t="shared" ca="1" si="60"/>
        <v/>
      </c>
      <c r="B1942">
        <f t="shared" ca="1" si="61"/>
        <v>0</v>
      </c>
    </row>
    <row r="1943" spans="1:2">
      <c r="A1943" t="str">
        <f t="shared" ca="1" si="60"/>
        <v/>
      </c>
      <c r="B1943">
        <f t="shared" ca="1" si="61"/>
        <v>0</v>
      </c>
    </row>
    <row r="1944" spans="1:2">
      <c r="A1944" t="str">
        <f t="shared" ca="1" si="60"/>
        <v/>
      </c>
      <c r="B1944">
        <f t="shared" ca="1" si="61"/>
        <v>0</v>
      </c>
    </row>
    <row r="1945" spans="1:2">
      <c r="A1945" t="str">
        <f t="shared" ca="1" si="60"/>
        <v/>
      </c>
      <c r="B1945">
        <f t="shared" ca="1" si="61"/>
        <v>0</v>
      </c>
    </row>
    <row r="1946" spans="1:2">
      <c r="A1946" t="str">
        <f t="shared" ca="1" si="60"/>
        <v/>
      </c>
      <c r="B1946">
        <f t="shared" ca="1" si="61"/>
        <v>0</v>
      </c>
    </row>
    <row r="1947" spans="1:2">
      <c r="A1947" t="str">
        <f t="shared" ca="1" si="60"/>
        <v/>
      </c>
      <c r="B1947">
        <f t="shared" ca="1" si="61"/>
        <v>0</v>
      </c>
    </row>
    <row r="1948" spans="1:2">
      <c r="A1948" t="str">
        <f t="shared" ca="1" si="60"/>
        <v/>
      </c>
      <c r="B1948">
        <f t="shared" ca="1" si="61"/>
        <v>0</v>
      </c>
    </row>
    <row r="1949" spans="1:2">
      <c r="A1949" t="str">
        <f t="shared" ca="1" si="60"/>
        <v/>
      </c>
      <c r="B1949">
        <f t="shared" ca="1" si="61"/>
        <v>0</v>
      </c>
    </row>
    <row r="1950" spans="1:2">
      <c r="A1950" t="str">
        <f t="shared" ca="1" si="60"/>
        <v/>
      </c>
      <c r="B1950">
        <f t="shared" ca="1" si="61"/>
        <v>0</v>
      </c>
    </row>
    <row r="1951" spans="1:2">
      <c r="A1951" t="str">
        <f t="shared" ca="1" si="60"/>
        <v/>
      </c>
      <c r="B1951">
        <f t="shared" ca="1" si="61"/>
        <v>0</v>
      </c>
    </row>
    <row r="1952" spans="1:2">
      <c r="A1952" t="str">
        <f t="shared" ca="1" si="60"/>
        <v/>
      </c>
      <c r="B1952">
        <f t="shared" ca="1" si="61"/>
        <v>0</v>
      </c>
    </row>
    <row r="1953" spans="1:2">
      <c r="A1953" t="str">
        <f t="shared" ca="1" si="60"/>
        <v/>
      </c>
      <c r="B1953">
        <f t="shared" ca="1" si="61"/>
        <v>0</v>
      </c>
    </row>
    <row r="1954" spans="1:2">
      <c r="A1954" t="str">
        <f t="shared" ca="1" si="60"/>
        <v/>
      </c>
      <c r="B1954">
        <f t="shared" ca="1" si="61"/>
        <v>0</v>
      </c>
    </row>
    <row r="1955" spans="1:2">
      <c r="A1955" t="str">
        <f t="shared" ca="1" si="60"/>
        <v/>
      </c>
      <c r="B1955">
        <f t="shared" ca="1" si="61"/>
        <v>0</v>
      </c>
    </row>
    <row r="1956" spans="1:2">
      <c r="A1956" t="str">
        <f t="shared" ca="1" si="60"/>
        <v/>
      </c>
      <c r="B1956">
        <f t="shared" ca="1" si="61"/>
        <v>0</v>
      </c>
    </row>
    <row r="1957" spans="1:2">
      <c r="A1957" t="str">
        <f t="shared" ca="1" si="60"/>
        <v/>
      </c>
      <c r="B1957">
        <f t="shared" ca="1" si="61"/>
        <v>0</v>
      </c>
    </row>
    <row r="1958" spans="1:2">
      <c r="A1958" t="str">
        <f t="shared" ca="1" si="60"/>
        <v/>
      </c>
      <c r="B1958">
        <f t="shared" ca="1" si="61"/>
        <v>0</v>
      </c>
    </row>
    <row r="1959" spans="1:2">
      <c r="A1959" t="str">
        <f t="shared" ca="1" si="60"/>
        <v/>
      </c>
      <c r="B1959">
        <f t="shared" ca="1" si="61"/>
        <v>0</v>
      </c>
    </row>
    <row r="1960" spans="1:2">
      <c r="A1960" t="str">
        <f t="shared" ca="1" si="60"/>
        <v/>
      </c>
      <c r="B1960">
        <f t="shared" ca="1" si="61"/>
        <v>0</v>
      </c>
    </row>
    <row r="1961" spans="1:2">
      <c r="A1961" t="str">
        <f t="shared" ca="1" si="60"/>
        <v/>
      </c>
      <c r="B1961">
        <f t="shared" ca="1" si="61"/>
        <v>0</v>
      </c>
    </row>
    <row r="1962" spans="1:2">
      <c r="A1962" t="str">
        <f t="shared" ca="1" si="60"/>
        <v/>
      </c>
      <c r="B1962">
        <f t="shared" ca="1" si="61"/>
        <v>0</v>
      </c>
    </row>
    <row r="1963" spans="1:2">
      <c r="A1963" t="str">
        <f t="shared" ca="1" si="60"/>
        <v/>
      </c>
      <c r="B1963">
        <f t="shared" ca="1" si="61"/>
        <v>0</v>
      </c>
    </row>
    <row r="1964" spans="1:2">
      <c r="A1964" t="str">
        <f t="shared" ca="1" si="60"/>
        <v/>
      </c>
      <c r="B1964">
        <f t="shared" ca="1" si="61"/>
        <v>0</v>
      </c>
    </row>
    <row r="1965" spans="1:2">
      <c r="A1965" t="str">
        <f t="shared" ca="1" si="60"/>
        <v/>
      </c>
      <c r="B1965">
        <f t="shared" ca="1" si="61"/>
        <v>0</v>
      </c>
    </row>
    <row r="1966" spans="1:2">
      <c r="A1966" t="str">
        <f t="shared" ca="1" si="60"/>
        <v/>
      </c>
      <c r="B1966">
        <f t="shared" ca="1" si="61"/>
        <v>0</v>
      </c>
    </row>
    <row r="1967" spans="1:2">
      <c r="A1967" t="str">
        <f t="shared" ca="1" si="60"/>
        <v/>
      </c>
      <c r="B1967">
        <f t="shared" ca="1" si="61"/>
        <v>0</v>
      </c>
    </row>
    <row r="1968" spans="1:2">
      <c r="A1968" t="str">
        <f t="shared" ca="1" si="60"/>
        <v/>
      </c>
      <c r="B1968">
        <f t="shared" ca="1" si="61"/>
        <v>0</v>
      </c>
    </row>
    <row r="1969" spans="1:2">
      <c r="A1969" t="str">
        <f t="shared" ca="1" si="60"/>
        <v/>
      </c>
      <c r="B1969">
        <f t="shared" ca="1" si="61"/>
        <v>0</v>
      </c>
    </row>
    <row r="1970" spans="1:2">
      <c r="A1970" t="str">
        <f t="shared" ca="1" si="60"/>
        <v/>
      </c>
      <c r="B1970">
        <f t="shared" ca="1" si="61"/>
        <v>0</v>
      </c>
    </row>
    <row r="1971" spans="1:2">
      <c r="A1971" t="str">
        <f t="shared" ca="1" si="60"/>
        <v/>
      </c>
      <c r="B1971">
        <f t="shared" ca="1" si="61"/>
        <v>0</v>
      </c>
    </row>
    <row r="1972" spans="1:2">
      <c r="A1972" t="str">
        <f t="shared" ca="1" si="60"/>
        <v/>
      </c>
      <c r="B1972">
        <f t="shared" ca="1" si="61"/>
        <v>0</v>
      </c>
    </row>
    <row r="1973" spans="1:2">
      <c r="A1973" t="str">
        <f t="shared" ca="1" si="60"/>
        <v/>
      </c>
      <c r="B1973">
        <f t="shared" ca="1" si="61"/>
        <v>0</v>
      </c>
    </row>
    <row r="1974" spans="1:2">
      <c r="A1974" t="str">
        <f t="shared" ca="1" si="60"/>
        <v/>
      </c>
      <c r="B1974">
        <f t="shared" ca="1" si="61"/>
        <v>0</v>
      </c>
    </row>
    <row r="1975" spans="1:2">
      <c r="A1975" t="str">
        <f t="shared" ca="1" si="60"/>
        <v/>
      </c>
      <c r="B1975">
        <f t="shared" ca="1" si="61"/>
        <v>0</v>
      </c>
    </row>
    <row r="1976" spans="1:2">
      <c r="A1976" t="str">
        <f t="shared" ca="1" si="60"/>
        <v/>
      </c>
      <c r="B1976">
        <f t="shared" ca="1" si="61"/>
        <v>0</v>
      </c>
    </row>
    <row r="1977" spans="1:2">
      <c r="A1977" t="str">
        <f t="shared" ca="1" si="60"/>
        <v/>
      </c>
      <c r="B1977">
        <f t="shared" ca="1" si="61"/>
        <v>0</v>
      </c>
    </row>
    <row r="1978" spans="1:2">
      <c r="A1978" t="str">
        <f t="shared" ca="1" si="60"/>
        <v/>
      </c>
      <c r="B1978">
        <f t="shared" ca="1" si="61"/>
        <v>0</v>
      </c>
    </row>
    <row r="1979" spans="1:2">
      <c r="A1979" t="str">
        <f t="shared" ca="1" si="60"/>
        <v/>
      </c>
      <c r="B1979">
        <f t="shared" ca="1" si="61"/>
        <v>0</v>
      </c>
    </row>
    <row r="1980" spans="1:2">
      <c r="A1980" t="str">
        <f t="shared" ca="1" si="60"/>
        <v/>
      </c>
      <c r="B1980">
        <f t="shared" ca="1" si="61"/>
        <v>0</v>
      </c>
    </row>
    <row r="1981" spans="1:2">
      <c r="A1981" t="str">
        <f t="shared" ca="1" si="60"/>
        <v/>
      </c>
      <c r="B1981">
        <f t="shared" ca="1" si="61"/>
        <v>0</v>
      </c>
    </row>
    <row r="1982" spans="1:2">
      <c r="A1982" t="str">
        <f t="shared" ca="1" si="60"/>
        <v/>
      </c>
      <c r="B1982">
        <f t="shared" ca="1" si="61"/>
        <v>0</v>
      </c>
    </row>
    <row r="1983" spans="1:2">
      <c r="A1983" t="str">
        <f t="shared" ca="1" si="60"/>
        <v/>
      </c>
      <c r="B1983">
        <f t="shared" ca="1" si="61"/>
        <v>0</v>
      </c>
    </row>
    <row r="1984" spans="1:2">
      <c r="A1984" t="str">
        <f t="shared" ca="1" si="60"/>
        <v/>
      </c>
      <c r="B1984">
        <f t="shared" ca="1" si="61"/>
        <v>0</v>
      </c>
    </row>
    <row r="1985" spans="1:2">
      <c r="A1985" t="str">
        <f t="shared" ca="1" si="60"/>
        <v/>
      </c>
      <c r="B1985">
        <f t="shared" ca="1" si="61"/>
        <v>0</v>
      </c>
    </row>
    <row r="1986" spans="1:2">
      <c r="A1986" t="str">
        <f t="shared" ref="A1986:A2049" ca="1" si="62">CONCATENATE(INDIRECT(ADDRESS(ROW(),3)))</f>
        <v/>
      </c>
      <c r="B1986">
        <f t="shared" ref="B1986:B2049" ca="1" si="63">IF(IF(INDIRECT(ADDRESS(ROW(),1))&lt;&gt;"",IF(ISNA(MATCH(LEFT(INDIRECT(ADDRESS(ROW(),1)),2),PCNG_MN,0))=TRUE,1,0),0)+IF(INDIRECT(ADDRESS(ROW(),1))&lt;&gt;"",IF(ISNA(MATCH(LEFT(INDIRECT(ADDRESS(ROW(),1)),3),PCNG_MN,0))=TRUE,1,0),0)+IF(INDIRECT(ADDRESS(ROW(),1))&lt;&gt;"",IF(ISNA(MATCH(LEFT(INDIRECT(ADDRESS(ROW(),1)),4),PCNG_MN,0))=TRUE,1,0),0)&gt;=3,1,0)</f>
        <v>0</v>
      </c>
    </row>
    <row r="1987" spans="1:2">
      <c r="A1987" t="str">
        <f t="shared" ca="1" si="62"/>
        <v/>
      </c>
      <c r="B1987">
        <f t="shared" ca="1" si="63"/>
        <v>0</v>
      </c>
    </row>
    <row r="1988" spans="1:2">
      <c r="A1988" t="str">
        <f t="shared" ca="1" si="62"/>
        <v/>
      </c>
      <c r="B1988">
        <f t="shared" ca="1" si="63"/>
        <v>0</v>
      </c>
    </row>
    <row r="1989" spans="1:2">
      <c r="A1989" t="str">
        <f t="shared" ca="1" si="62"/>
        <v/>
      </c>
      <c r="B1989">
        <f t="shared" ca="1" si="63"/>
        <v>0</v>
      </c>
    </row>
    <row r="1990" spans="1:2">
      <c r="A1990" t="str">
        <f t="shared" ca="1" si="62"/>
        <v/>
      </c>
      <c r="B1990">
        <f t="shared" ca="1" si="63"/>
        <v>0</v>
      </c>
    </row>
    <row r="1991" spans="1:2">
      <c r="A1991" t="str">
        <f t="shared" ca="1" si="62"/>
        <v/>
      </c>
      <c r="B1991">
        <f t="shared" ca="1" si="63"/>
        <v>0</v>
      </c>
    </row>
    <row r="1992" spans="1:2">
      <c r="A1992" t="str">
        <f t="shared" ca="1" si="62"/>
        <v/>
      </c>
      <c r="B1992">
        <f t="shared" ca="1" si="63"/>
        <v>0</v>
      </c>
    </row>
    <row r="1993" spans="1:2">
      <c r="A1993" t="str">
        <f t="shared" ca="1" si="62"/>
        <v/>
      </c>
      <c r="B1993">
        <f t="shared" ca="1" si="63"/>
        <v>0</v>
      </c>
    </row>
    <row r="1994" spans="1:2">
      <c r="A1994" t="str">
        <f t="shared" ca="1" si="62"/>
        <v/>
      </c>
      <c r="B1994">
        <f t="shared" ca="1" si="63"/>
        <v>0</v>
      </c>
    </row>
    <row r="1995" spans="1:2">
      <c r="A1995" t="str">
        <f t="shared" ca="1" si="62"/>
        <v/>
      </c>
      <c r="B1995">
        <f t="shared" ca="1" si="63"/>
        <v>0</v>
      </c>
    </row>
    <row r="1996" spans="1:2">
      <c r="A1996" t="str">
        <f t="shared" ca="1" si="62"/>
        <v/>
      </c>
      <c r="B1996">
        <f t="shared" ca="1" si="63"/>
        <v>0</v>
      </c>
    </row>
    <row r="1997" spans="1:2">
      <c r="A1997" t="str">
        <f t="shared" ca="1" si="62"/>
        <v/>
      </c>
      <c r="B1997">
        <f t="shared" ca="1" si="63"/>
        <v>0</v>
      </c>
    </row>
    <row r="1998" spans="1:2">
      <c r="A1998" t="str">
        <f t="shared" ca="1" si="62"/>
        <v/>
      </c>
      <c r="B1998">
        <f t="shared" ca="1" si="63"/>
        <v>0</v>
      </c>
    </row>
    <row r="1999" spans="1:2">
      <c r="A1999" t="str">
        <f t="shared" ca="1" si="62"/>
        <v/>
      </c>
      <c r="B1999">
        <f t="shared" ca="1" si="63"/>
        <v>0</v>
      </c>
    </row>
    <row r="2000" spans="1:2">
      <c r="A2000" t="str">
        <f t="shared" ca="1" si="62"/>
        <v/>
      </c>
      <c r="B2000">
        <f t="shared" ca="1" si="63"/>
        <v>0</v>
      </c>
    </row>
    <row r="2001" spans="1:2">
      <c r="A2001" t="str">
        <f t="shared" ca="1" si="62"/>
        <v/>
      </c>
      <c r="B2001">
        <f t="shared" ca="1" si="63"/>
        <v>0</v>
      </c>
    </row>
    <row r="2002" spans="1:2">
      <c r="A2002" t="str">
        <f t="shared" ca="1" si="62"/>
        <v/>
      </c>
      <c r="B2002">
        <f t="shared" ca="1" si="63"/>
        <v>0</v>
      </c>
    </row>
    <row r="2003" spans="1:2">
      <c r="A2003" t="str">
        <f t="shared" ca="1" si="62"/>
        <v/>
      </c>
      <c r="B2003">
        <f t="shared" ca="1" si="63"/>
        <v>0</v>
      </c>
    </row>
    <row r="2004" spans="1:2">
      <c r="A2004" t="str">
        <f t="shared" ca="1" si="62"/>
        <v/>
      </c>
      <c r="B2004">
        <f t="shared" ca="1" si="63"/>
        <v>0</v>
      </c>
    </row>
    <row r="2005" spans="1:2">
      <c r="A2005" t="str">
        <f t="shared" ca="1" si="62"/>
        <v/>
      </c>
      <c r="B2005">
        <f t="shared" ca="1" si="63"/>
        <v>0</v>
      </c>
    </row>
    <row r="2006" spans="1:2">
      <c r="A2006" t="str">
        <f t="shared" ca="1" si="62"/>
        <v/>
      </c>
      <c r="B2006">
        <f t="shared" ca="1" si="63"/>
        <v>0</v>
      </c>
    </row>
    <row r="2007" spans="1:2">
      <c r="A2007" t="str">
        <f t="shared" ca="1" si="62"/>
        <v/>
      </c>
      <c r="B2007">
        <f t="shared" ca="1" si="63"/>
        <v>0</v>
      </c>
    </row>
    <row r="2008" spans="1:2">
      <c r="A2008" t="str">
        <f t="shared" ca="1" si="62"/>
        <v/>
      </c>
      <c r="B2008">
        <f t="shared" ca="1" si="63"/>
        <v>0</v>
      </c>
    </row>
    <row r="2009" spans="1:2">
      <c r="A2009" t="str">
        <f t="shared" ca="1" si="62"/>
        <v/>
      </c>
      <c r="B2009">
        <f t="shared" ca="1" si="63"/>
        <v>0</v>
      </c>
    </row>
    <row r="2010" spans="1:2">
      <c r="A2010" t="str">
        <f t="shared" ca="1" si="62"/>
        <v/>
      </c>
      <c r="B2010">
        <f t="shared" ca="1" si="63"/>
        <v>0</v>
      </c>
    </row>
    <row r="2011" spans="1:2">
      <c r="A2011" t="str">
        <f t="shared" ca="1" si="62"/>
        <v/>
      </c>
      <c r="B2011">
        <f t="shared" ca="1" si="63"/>
        <v>0</v>
      </c>
    </row>
    <row r="2012" spans="1:2">
      <c r="A2012" t="str">
        <f t="shared" ca="1" si="62"/>
        <v/>
      </c>
      <c r="B2012">
        <f t="shared" ca="1" si="63"/>
        <v>0</v>
      </c>
    </row>
    <row r="2013" spans="1:2">
      <c r="A2013" t="str">
        <f t="shared" ca="1" si="62"/>
        <v/>
      </c>
      <c r="B2013">
        <f t="shared" ca="1" si="63"/>
        <v>0</v>
      </c>
    </row>
    <row r="2014" spans="1:2">
      <c r="A2014" t="str">
        <f t="shared" ca="1" si="62"/>
        <v/>
      </c>
      <c r="B2014">
        <f t="shared" ca="1" si="63"/>
        <v>0</v>
      </c>
    </row>
    <row r="2015" spans="1:2">
      <c r="A2015" t="str">
        <f t="shared" ca="1" si="62"/>
        <v/>
      </c>
      <c r="B2015">
        <f t="shared" ca="1" si="63"/>
        <v>0</v>
      </c>
    </row>
    <row r="2016" spans="1:2">
      <c r="A2016" t="str">
        <f t="shared" ca="1" si="62"/>
        <v/>
      </c>
      <c r="B2016">
        <f t="shared" ca="1" si="63"/>
        <v>0</v>
      </c>
    </row>
    <row r="2017" spans="1:2">
      <c r="A2017" t="str">
        <f t="shared" ca="1" si="62"/>
        <v/>
      </c>
      <c r="B2017">
        <f t="shared" ca="1" si="63"/>
        <v>0</v>
      </c>
    </row>
    <row r="2018" spans="1:2">
      <c r="A2018" t="str">
        <f t="shared" ca="1" si="62"/>
        <v/>
      </c>
      <c r="B2018">
        <f t="shared" ca="1" si="63"/>
        <v>0</v>
      </c>
    </row>
    <row r="2019" spans="1:2">
      <c r="A2019" t="str">
        <f t="shared" ca="1" si="62"/>
        <v/>
      </c>
      <c r="B2019">
        <f t="shared" ca="1" si="63"/>
        <v>0</v>
      </c>
    </row>
    <row r="2020" spans="1:2">
      <c r="A2020" t="str">
        <f t="shared" ca="1" si="62"/>
        <v/>
      </c>
      <c r="B2020">
        <f t="shared" ca="1" si="63"/>
        <v>0</v>
      </c>
    </row>
    <row r="2021" spans="1:2">
      <c r="A2021" t="str">
        <f t="shared" ca="1" si="62"/>
        <v/>
      </c>
      <c r="B2021">
        <f t="shared" ca="1" si="63"/>
        <v>0</v>
      </c>
    </row>
    <row r="2022" spans="1:2">
      <c r="A2022" t="str">
        <f t="shared" ca="1" si="62"/>
        <v/>
      </c>
      <c r="B2022">
        <f t="shared" ca="1" si="63"/>
        <v>0</v>
      </c>
    </row>
    <row r="2023" spans="1:2">
      <c r="A2023" t="str">
        <f t="shared" ca="1" si="62"/>
        <v/>
      </c>
      <c r="B2023">
        <f t="shared" ca="1" si="63"/>
        <v>0</v>
      </c>
    </row>
    <row r="2024" spans="1:2">
      <c r="A2024" t="str">
        <f t="shared" ca="1" si="62"/>
        <v/>
      </c>
      <c r="B2024">
        <f t="shared" ca="1" si="63"/>
        <v>0</v>
      </c>
    </row>
    <row r="2025" spans="1:2">
      <c r="A2025" t="str">
        <f t="shared" ca="1" si="62"/>
        <v/>
      </c>
      <c r="B2025">
        <f t="shared" ca="1" si="63"/>
        <v>0</v>
      </c>
    </row>
    <row r="2026" spans="1:2">
      <c r="A2026" t="str">
        <f t="shared" ca="1" si="62"/>
        <v/>
      </c>
      <c r="B2026">
        <f t="shared" ca="1" si="63"/>
        <v>0</v>
      </c>
    </row>
    <row r="2027" spans="1:2">
      <c r="A2027" t="str">
        <f t="shared" ca="1" si="62"/>
        <v/>
      </c>
      <c r="B2027">
        <f t="shared" ca="1" si="63"/>
        <v>0</v>
      </c>
    </row>
    <row r="2028" spans="1:2">
      <c r="A2028" t="str">
        <f t="shared" ca="1" si="62"/>
        <v/>
      </c>
      <c r="B2028">
        <f t="shared" ca="1" si="63"/>
        <v>0</v>
      </c>
    </row>
    <row r="2029" spans="1:2">
      <c r="A2029" t="str">
        <f t="shared" ca="1" si="62"/>
        <v/>
      </c>
      <c r="B2029">
        <f t="shared" ca="1" si="63"/>
        <v>0</v>
      </c>
    </row>
    <row r="2030" spans="1:2">
      <c r="A2030" t="str">
        <f t="shared" ca="1" si="62"/>
        <v/>
      </c>
      <c r="B2030">
        <f t="shared" ca="1" si="63"/>
        <v>0</v>
      </c>
    </row>
    <row r="2031" spans="1:2">
      <c r="A2031" t="str">
        <f t="shared" ca="1" si="62"/>
        <v/>
      </c>
      <c r="B2031">
        <f t="shared" ca="1" si="63"/>
        <v>0</v>
      </c>
    </row>
    <row r="2032" spans="1:2">
      <c r="A2032" t="str">
        <f t="shared" ca="1" si="62"/>
        <v/>
      </c>
      <c r="B2032">
        <f t="shared" ca="1" si="63"/>
        <v>0</v>
      </c>
    </row>
    <row r="2033" spans="1:2">
      <c r="A2033" t="str">
        <f t="shared" ca="1" si="62"/>
        <v/>
      </c>
      <c r="B2033">
        <f t="shared" ca="1" si="63"/>
        <v>0</v>
      </c>
    </row>
    <row r="2034" spans="1:2">
      <c r="A2034" t="str">
        <f t="shared" ca="1" si="62"/>
        <v/>
      </c>
      <c r="B2034">
        <f t="shared" ca="1" si="63"/>
        <v>0</v>
      </c>
    </row>
    <row r="2035" spans="1:2">
      <c r="A2035" t="str">
        <f t="shared" ca="1" si="62"/>
        <v/>
      </c>
      <c r="B2035">
        <f t="shared" ca="1" si="63"/>
        <v>0</v>
      </c>
    </row>
    <row r="2036" spans="1:2">
      <c r="A2036" t="str">
        <f t="shared" ca="1" si="62"/>
        <v/>
      </c>
      <c r="B2036">
        <f t="shared" ca="1" si="63"/>
        <v>0</v>
      </c>
    </row>
    <row r="2037" spans="1:2">
      <c r="A2037" t="str">
        <f t="shared" ca="1" si="62"/>
        <v/>
      </c>
      <c r="B2037">
        <f t="shared" ca="1" si="63"/>
        <v>0</v>
      </c>
    </row>
    <row r="2038" spans="1:2">
      <c r="A2038" t="str">
        <f t="shared" ca="1" si="62"/>
        <v/>
      </c>
      <c r="B2038">
        <f t="shared" ca="1" si="63"/>
        <v>0</v>
      </c>
    </row>
    <row r="2039" spans="1:2">
      <c r="A2039" t="str">
        <f t="shared" ca="1" si="62"/>
        <v/>
      </c>
      <c r="B2039">
        <f t="shared" ca="1" si="63"/>
        <v>0</v>
      </c>
    </row>
    <row r="2040" spans="1:2">
      <c r="A2040" t="str">
        <f t="shared" ca="1" si="62"/>
        <v/>
      </c>
      <c r="B2040">
        <f t="shared" ca="1" si="63"/>
        <v>0</v>
      </c>
    </row>
    <row r="2041" spans="1:2">
      <c r="A2041" t="str">
        <f t="shared" ca="1" si="62"/>
        <v/>
      </c>
      <c r="B2041">
        <f t="shared" ca="1" si="63"/>
        <v>0</v>
      </c>
    </row>
    <row r="2042" spans="1:2">
      <c r="A2042" t="str">
        <f t="shared" ca="1" si="62"/>
        <v/>
      </c>
      <c r="B2042">
        <f t="shared" ca="1" si="63"/>
        <v>0</v>
      </c>
    </row>
    <row r="2043" spans="1:2">
      <c r="A2043" t="str">
        <f t="shared" ca="1" si="62"/>
        <v/>
      </c>
      <c r="B2043">
        <f t="shared" ca="1" si="63"/>
        <v>0</v>
      </c>
    </row>
    <row r="2044" spans="1:2">
      <c r="A2044" t="str">
        <f t="shared" ca="1" si="62"/>
        <v/>
      </c>
      <c r="B2044">
        <f t="shared" ca="1" si="63"/>
        <v>0</v>
      </c>
    </row>
    <row r="2045" spans="1:2">
      <c r="A2045" t="str">
        <f t="shared" ca="1" si="62"/>
        <v/>
      </c>
      <c r="B2045">
        <f t="shared" ca="1" si="63"/>
        <v>0</v>
      </c>
    </row>
    <row r="2046" spans="1:2">
      <c r="A2046" t="str">
        <f t="shared" ca="1" si="62"/>
        <v/>
      </c>
      <c r="B2046">
        <f t="shared" ca="1" si="63"/>
        <v>0</v>
      </c>
    </row>
    <row r="2047" spans="1:2">
      <c r="A2047" t="str">
        <f t="shared" ca="1" si="62"/>
        <v/>
      </c>
      <c r="B2047">
        <f t="shared" ca="1" si="63"/>
        <v>0</v>
      </c>
    </row>
    <row r="2048" spans="1:2">
      <c r="A2048" t="str">
        <f t="shared" ca="1" si="62"/>
        <v/>
      </c>
      <c r="B2048">
        <f t="shared" ca="1" si="63"/>
        <v>0</v>
      </c>
    </row>
    <row r="2049" spans="1:2">
      <c r="A2049" t="str">
        <f t="shared" ca="1" si="62"/>
        <v/>
      </c>
      <c r="B2049">
        <f t="shared" ca="1" si="63"/>
        <v>0</v>
      </c>
    </row>
    <row r="2050" spans="1:2">
      <c r="A2050" t="str">
        <f t="shared" ref="A2050:A2113" ca="1" si="64">CONCATENATE(INDIRECT(ADDRESS(ROW(),3)))</f>
        <v/>
      </c>
      <c r="B2050">
        <f t="shared" ref="B2050:B2113" ca="1" si="65">IF(IF(INDIRECT(ADDRESS(ROW(),1))&lt;&gt;"",IF(ISNA(MATCH(LEFT(INDIRECT(ADDRESS(ROW(),1)),2),PCNG_MN,0))=TRUE,1,0),0)+IF(INDIRECT(ADDRESS(ROW(),1))&lt;&gt;"",IF(ISNA(MATCH(LEFT(INDIRECT(ADDRESS(ROW(),1)),3),PCNG_MN,0))=TRUE,1,0),0)+IF(INDIRECT(ADDRESS(ROW(),1))&lt;&gt;"",IF(ISNA(MATCH(LEFT(INDIRECT(ADDRESS(ROW(),1)),4),PCNG_MN,0))=TRUE,1,0),0)&gt;=3,1,0)</f>
        <v>0</v>
      </c>
    </row>
    <row r="2051" spans="1:2">
      <c r="A2051" t="str">
        <f t="shared" ca="1" si="64"/>
        <v/>
      </c>
      <c r="B2051">
        <f t="shared" ca="1" si="65"/>
        <v>0</v>
      </c>
    </row>
    <row r="2052" spans="1:2">
      <c r="A2052" t="str">
        <f t="shared" ca="1" si="64"/>
        <v/>
      </c>
      <c r="B2052">
        <f t="shared" ca="1" si="65"/>
        <v>0</v>
      </c>
    </row>
    <row r="2053" spans="1:2">
      <c r="A2053" t="str">
        <f t="shared" ca="1" si="64"/>
        <v/>
      </c>
      <c r="B2053">
        <f t="shared" ca="1" si="65"/>
        <v>0</v>
      </c>
    </row>
    <row r="2054" spans="1:2">
      <c r="A2054" t="str">
        <f t="shared" ca="1" si="64"/>
        <v/>
      </c>
      <c r="B2054">
        <f t="shared" ca="1" si="65"/>
        <v>0</v>
      </c>
    </row>
    <row r="2055" spans="1:2">
      <c r="A2055" t="str">
        <f t="shared" ca="1" si="64"/>
        <v/>
      </c>
      <c r="B2055">
        <f t="shared" ca="1" si="65"/>
        <v>0</v>
      </c>
    </row>
    <row r="2056" spans="1:2">
      <c r="A2056" t="str">
        <f t="shared" ca="1" si="64"/>
        <v/>
      </c>
      <c r="B2056">
        <f t="shared" ca="1" si="65"/>
        <v>0</v>
      </c>
    </row>
    <row r="2057" spans="1:2">
      <c r="A2057" t="str">
        <f t="shared" ca="1" si="64"/>
        <v/>
      </c>
      <c r="B2057">
        <f t="shared" ca="1" si="65"/>
        <v>0</v>
      </c>
    </row>
    <row r="2058" spans="1:2">
      <c r="A2058" t="str">
        <f t="shared" ca="1" si="64"/>
        <v/>
      </c>
      <c r="B2058">
        <f t="shared" ca="1" si="65"/>
        <v>0</v>
      </c>
    </row>
    <row r="2059" spans="1:2">
      <c r="A2059" t="str">
        <f t="shared" ca="1" si="64"/>
        <v/>
      </c>
      <c r="B2059">
        <f t="shared" ca="1" si="65"/>
        <v>0</v>
      </c>
    </row>
    <row r="2060" spans="1:2">
      <c r="A2060" t="str">
        <f t="shared" ca="1" si="64"/>
        <v/>
      </c>
      <c r="B2060">
        <f t="shared" ca="1" si="65"/>
        <v>0</v>
      </c>
    </row>
    <row r="2061" spans="1:2">
      <c r="A2061" t="str">
        <f t="shared" ca="1" si="64"/>
        <v/>
      </c>
      <c r="B2061">
        <f t="shared" ca="1" si="65"/>
        <v>0</v>
      </c>
    </row>
    <row r="2062" spans="1:2">
      <c r="A2062" t="str">
        <f t="shared" ca="1" si="64"/>
        <v/>
      </c>
      <c r="B2062">
        <f t="shared" ca="1" si="65"/>
        <v>0</v>
      </c>
    </row>
    <row r="2063" spans="1:2">
      <c r="A2063" t="str">
        <f t="shared" ca="1" si="64"/>
        <v/>
      </c>
      <c r="B2063">
        <f t="shared" ca="1" si="65"/>
        <v>0</v>
      </c>
    </row>
    <row r="2064" spans="1:2">
      <c r="A2064" t="str">
        <f t="shared" ca="1" si="64"/>
        <v/>
      </c>
      <c r="B2064">
        <f t="shared" ca="1" si="65"/>
        <v>0</v>
      </c>
    </row>
    <row r="2065" spans="1:2">
      <c r="A2065" t="str">
        <f t="shared" ca="1" si="64"/>
        <v/>
      </c>
      <c r="B2065">
        <f t="shared" ca="1" si="65"/>
        <v>0</v>
      </c>
    </row>
    <row r="2066" spans="1:2">
      <c r="A2066" t="str">
        <f t="shared" ca="1" si="64"/>
        <v/>
      </c>
      <c r="B2066">
        <f t="shared" ca="1" si="65"/>
        <v>0</v>
      </c>
    </row>
    <row r="2067" spans="1:2">
      <c r="A2067" t="str">
        <f t="shared" ca="1" si="64"/>
        <v/>
      </c>
      <c r="B2067">
        <f t="shared" ca="1" si="65"/>
        <v>0</v>
      </c>
    </row>
    <row r="2068" spans="1:2">
      <c r="A2068" t="str">
        <f t="shared" ca="1" si="64"/>
        <v/>
      </c>
      <c r="B2068">
        <f t="shared" ca="1" si="65"/>
        <v>0</v>
      </c>
    </row>
    <row r="2069" spans="1:2">
      <c r="A2069" t="str">
        <f t="shared" ca="1" si="64"/>
        <v/>
      </c>
      <c r="B2069">
        <f t="shared" ca="1" si="65"/>
        <v>0</v>
      </c>
    </row>
    <row r="2070" spans="1:2">
      <c r="A2070" t="str">
        <f t="shared" ca="1" si="64"/>
        <v/>
      </c>
      <c r="B2070">
        <f t="shared" ca="1" si="65"/>
        <v>0</v>
      </c>
    </row>
    <row r="2071" spans="1:2">
      <c r="A2071" t="str">
        <f t="shared" ca="1" si="64"/>
        <v/>
      </c>
      <c r="B2071">
        <f t="shared" ca="1" si="65"/>
        <v>0</v>
      </c>
    </row>
    <row r="2072" spans="1:2">
      <c r="A2072" t="str">
        <f t="shared" ca="1" si="64"/>
        <v/>
      </c>
      <c r="B2072">
        <f t="shared" ca="1" si="65"/>
        <v>0</v>
      </c>
    </row>
    <row r="2073" spans="1:2">
      <c r="A2073" t="str">
        <f t="shared" ca="1" si="64"/>
        <v/>
      </c>
      <c r="B2073">
        <f t="shared" ca="1" si="65"/>
        <v>0</v>
      </c>
    </row>
    <row r="2074" spans="1:2">
      <c r="A2074" t="str">
        <f t="shared" ca="1" si="64"/>
        <v/>
      </c>
      <c r="B2074">
        <f t="shared" ca="1" si="65"/>
        <v>0</v>
      </c>
    </row>
    <row r="2075" spans="1:2">
      <c r="A2075" t="str">
        <f t="shared" ca="1" si="64"/>
        <v/>
      </c>
      <c r="B2075">
        <f t="shared" ca="1" si="65"/>
        <v>0</v>
      </c>
    </row>
    <row r="2076" spans="1:2">
      <c r="A2076" t="str">
        <f t="shared" ca="1" si="64"/>
        <v/>
      </c>
      <c r="B2076">
        <f t="shared" ca="1" si="65"/>
        <v>0</v>
      </c>
    </row>
    <row r="2077" spans="1:2">
      <c r="A2077" t="str">
        <f t="shared" ca="1" si="64"/>
        <v/>
      </c>
      <c r="B2077">
        <f t="shared" ca="1" si="65"/>
        <v>0</v>
      </c>
    </row>
    <row r="2078" spans="1:2">
      <c r="A2078" t="str">
        <f t="shared" ca="1" si="64"/>
        <v/>
      </c>
      <c r="B2078">
        <f t="shared" ca="1" si="65"/>
        <v>0</v>
      </c>
    </row>
    <row r="2079" spans="1:2">
      <c r="A2079" t="str">
        <f t="shared" ca="1" si="64"/>
        <v/>
      </c>
      <c r="B2079">
        <f t="shared" ca="1" si="65"/>
        <v>0</v>
      </c>
    </row>
    <row r="2080" spans="1:2">
      <c r="A2080" t="str">
        <f t="shared" ca="1" si="64"/>
        <v/>
      </c>
      <c r="B2080">
        <f t="shared" ca="1" si="65"/>
        <v>0</v>
      </c>
    </row>
    <row r="2081" spans="1:2">
      <c r="A2081" t="str">
        <f t="shared" ca="1" si="64"/>
        <v/>
      </c>
      <c r="B2081">
        <f t="shared" ca="1" si="65"/>
        <v>0</v>
      </c>
    </row>
    <row r="2082" spans="1:2">
      <c r="A2082" t="str">
        <f t="shared" ca="1" si="64"/>
        <v/>
      </c>
      <c r="B2082">
        <f t="shared" ca="1" si="65"/>
        <v>0</v>
      </c>
    </row>
    <row r="2083" spans="1:2">
      <c r="A2083" t="str">
        <f t="shared" ca="1" si="64"/>
        <v/>
      </c>
      <c r="B2083">
        <f t="shared" ca="1" si="65"/>
        <v>0</v>
      </c>
    </row>
    <row r="2084" spans="1:2">
      <c r="A2084" t="str">
        <f t="shared" ca="1" si="64"/>
        <v/>
      </c>
      <c r="B2084">
        <f t="shared" ca="1" si="65"/>
        <v>0</v>
      </c>
    </row>
    <row r="2085" spans="1:2">
      <c r="A2085" t="str">
        <f t="shared" ca="1" si="64"/>
        <v/>
      </c>
      <c r="B2085">
        <f t="shared" ca="1" si="65"/>
        <v>0</v>
      </c>
    </row>
    <row r="2086" spans="1:2">
      <c r="A2086" t="str">
        <f t="shared" ca="1" si="64"/>
        <v/>
      </c>
      <c r="B2086">
        <f t="shared" ca="1" si="65"/>
        <v>0</v>
      </c>
    </row>
    <row r="2087" spans="1:2">
      <c r="A2087" t="str">
        <f t="shared" ca="1" si="64"/>
        <v/>
      </c>
      <c r="B2087">
        <f t="shared" ca="1" si="65"/>
        <v>0</v>
      </c>
    </row>
    <row r="2088" spans="1:2">
      <c r="A2088" t="str">
        <f t="shared" ca="1" si="64"/>
        <v/>
      </c>
      <c r="B2088">
        <f t="shared" ca="1" si="65"/>
        <v>0</v>
      </c>
    </row>
    <row r="2089" spans="1:2">
      <c r="A2089" t="str">
        <f t="shared" ca="1" si="64"/>
        <v/>
      </c>
      <c r="B2089">
        <f t="shared" ca="1" si="65"/>
        <v>0</v>
      </c>
    </row>
    <row r="2090" spans="1:2">
      <c r="A2090" t="str">
        <f t="shared" ca="1" si="64"/>
        <v/>
      </c>
      <c r="B2090">
        <f t="shared" ca="1" si="65"/>
        <v>0</v>
      </c>
    </row>
    <row r="2091" spans="1:2">
      <c r="A2091" t="str">
        <f t="shared" ca="1" si="64"/>
        <v/>
      </c>
      <c r="B2091">
        <f t="shared" ca="1" si="65"/>
        <v>0</v>
      </c>
    </row>
    <row r="2092" spans="1:2">
      <c r="A2092" t="str">
        <f t="shared" ca="1" si="64"/>
        <v/>
      </c>
      <c r="B2092">
        <f t="shared" ca="1" si="65"/>
        <v>0</v>
      </c>
    </row>
    <row r="2093" spans="1:2">
      <c r="A2093" t="str">
        <f t="shared" ca="1" si="64"/>
        <v/>
      </c>
      <c r="B2093">
        <f t="shared" ca="1" si="65"/>
        <v>0</v>
      </c>
    </row>
    <row r="2094" spans="1:2">
      <c r="A2094" t="str">
        <f t="shared" ca="1" si="64"/>
        <v/>
      </c>
      <c r="B2094">
        <f t="shared" ca="1" si="65"/>
        <v>0</v>
      </c>
    </row>
    <row r="2095" spans="1:2">
      <c r="A2095" t="str">
        <f t="shared" ca="1" si="64"/>
        <v/>
      </c>
      <c r="B2095">
        <f t="shared" ca="1" si="65"/>
        <v>0</v>
      </c>
    </row>
    <row r="2096" spans="1:2">
      <c r="A2096" t="str">
        <f t="shared" ca="1" si="64"/>
        <v/>
      </c>
      <c r="B2096">
        <f t="shared" ca="1" si="65"/>
        <v>0</v>
      </c>
    </row>
    <row r="2097" spans="1:2">
      <c r="A2097" t="str">
        <f t="shared" ca="1" si="64"/>
        <v/>
      </c>
      <c r="B2097">
        <f t="shared" ca="1" si="65"/>
        <v>0</v>
      </c>
    </row>
    <row r="2098" spans="1:2">
      <c r="A2098" t="str">
        <f t="shared" ca="1" si="64"/>
        <v/>
      </c>
      <c r="B2098">
        <f t="shared" ca="1" si="65"/>
        <v>0</v>
      </c>
    </row>
    <row r="2099" spans="1:2">
      <c r="A2099" t="str">
        <f t="shared" ca="1" si="64"/>
        <v/>
      </c>
      <c r="B2099">
        <f t="shared" ca="1" si="65"/>
        <v>0</v>
      </c>
    </row>
    <row r="2100" spans="1:2">
      <c r="A2100" t="str">
        <f t="shared" ca="1" si="64"/>
        <v/>
      </c>
      <c r="B2100">
        <f t="shared" ca="1" si="65"/>
        <v>0</v>
      </c>
    </row>
    <row r="2101" spans="1:2">
      <c r="A2101" t="str">
        <f t="shared" ca="1" si="64"/>
        <v/>
      </c>
      <c r="B2101">
        <f t="shared" ca="1" si="65"/>
        <v>0</v>
      </c>
    </row>
    <row r="2102" spans="1:2">
      <c r="A2102" t="str">
        <f t="shared" ca="1" si="64"/>
        <v/>
      </c>
      <c r="B2102">
        <f t="shared" ca="1" si="65"/>
        <v>0</v>
      </c>
    </row>
    <row r="2103" spans="1:2">
      <c r="A2103" t="str">
        <f t="shared" ca="1" si="64"/>
        <v/>
      </c>
      <c r="B2103">
        <f t="shared" ca="1" si="65"/>
        <v>0</v>
      </c>
    </row>
    <row r="2104" spans="1:2">
      <c r="A2104" t="str">
        <f t="shared" ca="1" si="64"/>
        <v/>
      </c>
      <c r="B2104">
        <f t="shared" ca="1" si="65"/>
        <v>0</v>
      </c>
    </row>
    <row r="2105" spans="1:2">
      <c r="A2105" t="str">
        <f t="shared" ca="1" si="64"/>
        <v/>
      </c>
      <c r="B2105">
        <f t="shared" ca="1" si="65"/>
        <v>0</v>
      </c>
    </row>
    <row r="2106" spans="1:2">
      <c r="A2106" t="str">
        <f t="shared" ca="1" si="64"/>
        <v/>
      </c>
      <c r="B2106">
        <f t="shared" ca="1" si="65"/>
        <v>0</v>
      </c>
    </row>
    <row r="2107" spans="1:2">
      <c r="A2107" t="str">
        <f t="shared" ca="1" si="64"/>
        <v/>
      </c>
      <c r="B2107">
        <f t="shared" ca="1" si="65"/>
        <v>0</v>
      </c>
    </row>
    <row r="2108" spans="1:2">
      <c r="A2108" t="str">
        <f t="shared" ca="1" si="64"/>
        <v/>
      </c>
      <c r="B2108">
        <f t="shared" ca="1" si="65"/>
        <v>0</v>
      </c>
    </row>
    <row r="2109" spans="1:2">
      <c r="A2109" t="str">
        <f t="shared" ca="1" si="64"/>
        <v/>
      </c>
      <c r="B2109">
        <f t="shared" ca="1" si="65"/>
        <v>0</v>
      </c>
    </row>
    <row r="2110" spans="1:2">
      <c r="A2110" t="str">
        <f t="shared" ca="1" si="64"/>
        <v/>
      </c>
      <c r="B2110">
        <f t="shared" ca="1" si="65"/>
        <v>0</v>
      </c>
    </row>
    <row r="2111" spans="1:2">
      <c r="A2111" t="str">
        <f t="shared" ca="1" si="64"/>
        <v/>
      </c>
      <c r="B2111">
        <f t="shared" ca="1" si="65"/>
        <v>0</v>
      </c>
    </row>
    <row r="2112" spans="1:2">
      <c r="A2112" t="str">
        <f t="shared" ca="1" si="64"/>
        <v/>
      </c>
      <c r="B2112">
        <f t="shared" ca="1" si="65"/>
        <v>0</v>
      </c>
    </row>
    <row r="2113" spans="1:2">
      <c r="A2113" t="str">
        <f t="shared" ca="1" si="64"/>
        <v/>
      </c>
      <c r="B2113">
        <f t="shared" ca="1" si="65"/>
        <v>0</v>
      </c>
    </row>
    <row r="2114" spans="1:2">
      <c r="A2114" t="str">
        <f t="shared" ref="A2114:A2177" ca="1" si="66">CONCATENATE(INDIRECT(ADDRESS(ROW(),3)))</f>
        <v/>
      </c>
      <c r="B2114">
        <f t="shared" ref="B2114:B2177" ca="1" si="67">IF(IF(INDIRECT(ADDRESS(ROW(),1))&lt;&gt;"",IF(ISNA(MATCH(LEFT(INDIRECT(ADDRESS(ROW(),1)),2),PCNG_MN,0))=TRUE,1,0),0)+IF(INDIRECT(ADDRESS(ROW(),1))&lt;&gt;"",IF(ISNA(MATCH(LEFT(INDIRECT(ADDRESS(ROW(),1)),3),PCNG_MN,0))=TRUE,1,0),0)+IF(INDIRECT(ADDRESS(ROW(),1))&lt;&gt;"",IF(ISNA(MATCH(LEFT(INDIRECT(ADDRESS(ROW(),1)),4),PCNG_MN,0))=TRUE,1,0),0)&gt;=3,1,0)</f>
        <v>0</v>
      </c>
    </row>
    <row r="2115" spans="1:2">
      <c r="A2115" t="str">
        <f t="shared" ca="1" si="66"/>
        <v/>
      </c>
      <c r="B2115">
        <f t="shared" ca="1" si="67"/>
        <v>0</v>
      </c>
    </row>
    <row r="2116" spans="1:2">
      <c r="A2116" t="str">
        <f t="shared" ca="1" si="66"/>
        <v/>
      </c>
      <c r="B2116">
        <f t="shared" ca="1" si="67"/>
        <v>0</v>
      </c>
    </row>
    <row r="2117" spans="1:2">
      <c r="A2117" t="str">
        <f t="shared" ca="1" si="66"/>
        <v/>
      </c>
      <c r="B2117">
        <f t="shared" ca="1" si="67"/>
        <v>0</v>
      </c>
    </row>
    <row r="2118" spans="1:2">
      <c r="A2118" t="str">
        <f t="shared" ca="1" si="66"/>
        <v/>
      </c>
      <c r="B2118">
        <f t="shared" ca="1" si="67"/>
        <v>0</v>
      </c>
    </row>
    <row r="2119" spans="1:2">
      <c r="A2119" t="str">
        <f t="shared" ca="1" si="66"/>
        <v/>
      </c>
      <c r="B2119">
        <f t="shared" ca="1" si="67"/>
        <v>0</v>
      </c>
    </row>
    <row r="2120" spans="1:2">
      <c r="A2120" t="str">
        <f t="shared" ca="1" si="66"/>
        <v/>
      </c>
      <c r="B2120">
        <f t="shared" ca="1" si="67"/>
        <v>0</v>
      </c>
    </row>
    <row r="2121" spans="1:2">
      <c r="A2121" t="str">
        <f t="shared" ca="1" si="66"/>
        <v/>
      </c>
      <c r="B2121">
        <f t="shared" ca="1" si="67"/>
        <v>0</v>
      </c>
    </row>
    <row r="2122" spans="1:2">
      <c r="A2122" t="str">
        <f t="shared" ca="1" si="66"/>
        <v/>
      </c>
      <c r="B2122">
        <f t="shared" ca="1" si="67"/>
        <v>0</v>
      </c>
    </row>
    <row r="2123" spans="1:2">
      <c r="A2123" t="str">
        <f t="shared" ca="1" si="66"/>
        <v/>
      </c>
      <c r="B2123">
        <f t="shared" ca="1" si="67"/>
        <v>0</v>
      </c>
    </row>
    <row r="2124" spans="1:2">
      <c r="A2124" t="str">
        <f t="shared" ca="1" si="66"/>
        <v/>
      </c>
      <c r="B2124">
        <f t="shared" ca="1" si="67"/>
        <v>0</v>
      </c>
    </row>
    <row r="2125" spans="1:2">
      <c r="A2125" t="str">
        <f t="shared" ca="1" si="66"/>
        <v/>
      </c>
      <c r="B2125">
        <f t="shared" ca="1" si="67"/>
        <v>0</v>
      </c>
    </row>
    <row r="2126" spans="1:2">
      <c r="A2126" t="str">
        <f t="shared" ca="1" si="66"/>
        <v/>
      </c>
      <c r="B2126">
        <f t="shared" ca="1" si="67"/>
        <v>0</v>
      </c>
    </row>
    <row r="2127" spans="1:2">
      <c r="A2127" t="str">
        <f t="shared" ca="1" si="66"/>
        <v/>
      </c>
      <c r="B2127">
        <f t="shared" ca="1" si="67"/>
        <v>0</v>
      </c>
    </row>
    <row r="2128" spans="1:2">
      <c r="A2128" t="str">
        <f t="shared" ca="1" si="66"/>
        <v/>
      </c>
      <c r="B2128">
        <f t="shared" ca="1" si="67"/>
        <v>0</v>
      </c>
    </row>
    <row r="2129" spans="1:2">
      <c r="A2129" t="str">
        <f t="shared" ca="1" si="66"/>
        <v/>
      </c>
      <c r="B2129">
        <f t="shared" ca="1" si="67"/>
        <v>0</v>
      </c>
    </row>
    <row r="2130" spans="1:2">
      <c r="A2130" t="str">
        <f t="shared" ca="1" si="66"/>
        <v/>
      </c>
      <c r="B2130">
        <f t="shared" ca="1" si="67"/>
        <v>0</v>
      </c>
    </row>
    <row r="2131" spans="1:2">
      <c r="A2131" t="str">
        <f t="shared" ca="1" si="66"/>
        <v/>
      </c>
      <c r="B2131">
        <f t="shared" ca="1" si="67"/>
        <v>0</v>
      </c>
    </row>
    <row r="2132" spans="1:2">
      <c r="A2132" t="str">
        <f t="shared" ca="1" si="66"/>
        <v/>
      </c>
      <c r="B2132">
        <f t="shared" ca="1" si="67"/>
        <v>0</v>
      </c>
    </row>
    <row r="2133" spans="1:2">
      <c r="A2133" t="str">
        <f t="shared" ca="1" si="66"/>
        <v/>
      </c>
      <c r="B2133">
        <f t="shared" ca="1" si="67"/>
        <v>0</v>
      </c>
    </row>
    <row r="2134" spans="1:2">
      <c r="A2134" t="str">
        <f t="shared" ca="1" si="66"/>
        <v/>
      </c>
      <c r="B2134">
        <f t="shared" ca="1" si="67"/>
        <v>0</v>
      </c>
    </row>
    <row r="2135" spans="1:2">
      <c r="A2135" t="str">
        <f t="shared" ca="1" si="66"/>
        <v/>
      </c>
      <c r="B2135">
        <f t="shared" ca="1" si="67"/>
        <v>0</v>
      </c>
    </row>
    <row r="2136" spans="1:2">
      <c r="A2136" t="str">
        <f t="shared" ca="1" si="66"/>
        <v/>
      </c>
      <c r="B2136">
        <f t="shared" ca="1" si="67"/>
        <v>0</v>
      </c>
    </row>
    <row r="2137" spans="1:2">
      <c r="A2137" t="str">
        <f t="shared" ca="1" si="66"/>
        <v/>
      </c>
      <c r="B2137">
        <f t="shared" ca="1" si="67"/>
        <v>0</v>
      </c>
    </row>
    <row r="2138" spans="1:2">
      <c r="A2138" t="str">
        <f t="shared" ca="1" si="66"/>
        <v/>
      </c>
      <c r="B2138">
        <f t="shared" ca="1" si="67"/>
        <v>0</v>
      </c>
    </row>
    <row r="2139" spans="1:2">
      <c r="A2139" t="str">
        <f t="shared" ca="1" si="66"/>
        <v/>
      </c>
      <c r="B2139">
        <f t="shared" ca="1" si="67"/>
        <v>0</v>
      </c>
    </row>
    <row r="2140" spans="1:2">
      <c r="A2140" t="str">
        <f t="shared" ca="1" si="66"/>
        <v/>
      </c>
      <c r="B2140">
        <f t="shared" ca="1" si="67"/>
        <v>0</v>
      </c>
    </row>
    <row r="2141" spans="1:2">
      <c r="A2141" t="str">
        <f t="shared" ca="1" si="66"/>
        <v/>
      </c>
      <c r="B2141">
        <f t="shared" ca="1" si="67"/>
        <v>0</v>
      </c>
    </row>
    <row r="2142" spans="1:2">
      <c r="A2142" t="str">
        <f t="shared" ca="1" si="66"/>
        <v/>
      </c>
      <c r="B2142">
        <f t="shared" ca="1" si="67"/>
        <v>0</v>
      </c>
    </row>
    <row r="2143" spans="1:2">
      <c r="A2143" t="str">
        <f t="shared" ca="1" si="66"/>
        <v/>
      </c>
      <c r="B2143">
        <f t="shared" ca="1" si="67"/>
        <v>0</v>
      </c>
    </row>
    <row r="2144" spans="1:2">
      <c r="A2144" t="str">
        <f t="shared" ca="1" si="66"/>
        <v/>
      </c>
      <c r="B2144">
        <f t="shared" ca="1" si="67"/>
        <v>0</v>
      </c>
    </row>
    <row r="2145" spans="1:2">
      <c r="A2145" t="str">
        <f t="shared" ca="1" si="66"/>
        <v/>
      </c>
      <c r="B2145">
        <f t="shared" ca="1" si="67"/>
        <v>0</v>
      </c>
    </row>
    <row r="2146" spans="1:2">
      <c r="A2146" t="str">
        <f t="shared" ca="1" si="66"/>
        <v/>
      </c>
      <c r="B2146">
        <f t="shared" ca="1" si="67"/>
        <v>0</v>
      </c>
    </row>
    <row r="2147" spans="1:2">
      <c r="A2147" t="str">
        <f t="shared" ca="1" si="66"/>
        <v/>
      </c>
      <c r="B2147">
        <f t="shared" ca="1" si="67"/>
        <v>0</v>
      </c>
    </row>
    <row r="2148" spans="1:2">
      <c r="A2148" t="str">
        <f t="shared" ca="1" si="66"/>
        <v/>
      </c>
      <c r="B2148">
        <f t="shared" ca="1" si="67"/>
        <v>0</v>
      </c>
    </row>
    <row r="2149" spans="1:2">
      <c r="A2149" t="str">
        <f t="shared" ca="1" si="66"/>
        <v/>
      </c>
      <c r="B2149">
        <f t="shared" ca="1" si="67"/>
        <v>0</v>
      </c>
    </row>
    <row r="2150" spans="1:2">
      <c r="A2150" t="str">
        <f t="shared" ca="1" si="66"/>
        <v/>
      </c>
      <c r="B2150">
        <f t="shared" ca="1" si="67"/>
        <v>0</v>
      </c>
    </row>
    <row r="2151" spans="1:2">
      <c r="A2151" t="str">
        <f t="shared" ca="1" si="66"/>
        <v/>
      </c>
      <c r="B2151">
        <f t="shared" ca="1" si="67"/>
        <v>0</v>
      </c>
    </row>
    <row r="2152" spans="1:2">
      <c r="A2152" t="str">
        <f t="shared" ca="1" si="66"/>
        <v/>
      </c>
      <c r="B2152">
        <f t="shared" ca="1" si="67"/>
        <v>0</v>
      </c>
    </row>
    <row r="2153" spans="1:2">
      <c r="A2153" t="str">
        <f t="shared" ca="1" si="66"/>
        <v/>
      </c>
      <c r="B2153">
        <f t="shared" ca="1" si="67"/>
        <v>0</v>
      </c>
    </row>
    <row r="2154" spans="1:2">
      <c r="A2154" t="str">
        <f t="shared" ca="1" si="66"/>
        <v/>
      </c>
      <c r="B2154">
        <f t="shared" ca="1" si="67"/>
        <v>0</v>
      </c>
    </row>
    <row r="2155" spans="1:2">
      <c r="A2155" t="str">
        <f t="shared" ca="1" si="66"/>
        <v/>
      </c>
      <c r="B2155">
        <f t="shared" ca="1" si="67"/>
        <v>0</v>
      </c>
    </row>
    <row r="2156" spans="1:2">
      <c r="A2156" t="str">
        <f t="shared" ca="1" si="66"/>
        <v/>
      </c>
      <c r="B2156">
        <f t="shared" ca="1" si="67"/>
        <v>0</v>
      </c>
    </row>
    <row r="2157" spans="1:2">
      <c r="A2157" t="str">
        <f t="shared" ca="1" si="66"/>
        <v/>
      </c>
      <c r="B2157">
        <f t="shared" ca="1" si="67"/>
        <v>0</v>
      </c>
    </row>
    <row r="2158" spans="1:2">
      <c r="A2158" t="str">
        <f t="shared" ca="1" si="66"/>
        <v/>
      </c>
      <c r="B2158">
        <f t="shared" ca="1" si="67"/>
        <v>0</v>
      </c>
    </row>
    <row r="2159" spans="1:2">
      <c r="A2159" t="str">
        <f t="shared" ca="1" si="66"/>
        <v/>
      </c>
      <c r="B2159">
        <f t="shared" ca="1" si="67"/>
        <v>0</v>
      </c>
    </row>
    <row r="2160" spans="1:2">
      <c r="A2160" t="str">
        <f t="shared" ca="1" si="66"/>
        <v/>
      </c>
      <c r="B2160">
        <f t="shared" ca="1" si="67"/>
        <v>0</v>
      </c>
    </row>
    <row r="2161" spans="1:2">
      <c r="A2161" t="str">
        <f t="shared" ca="1" si="66"/>
        <v/>
      </c>
      <c r="B2161">
        <f t="shared" ca="1" si="67"/>
        <v>0</v>
      </c>
    </row>
    <row r="2162" spans="1:2">
      <c r="A2162" t="str">
        <f t="shared" ca="1" si="66"/>
        <v/>
      </c>
      <c r="B2162">
        <f t="shared" ca="1" si="67"/>
        <v>0</v>
      </c>
    </row>
    <row r="2163" spans="1:2">
      <c r="A2163" t="str">
        <f t="shared" ca="1" si="66"/>
        <v/>
      </c>
      <c r="B2163">
        <f t="shared" ca="1" si="67"/>
        <v>0</v>
      </c>
    </row>
    <row r="2164" spans="1:2">
      <c r="A2164" t="str">
        <f t="shared" ca="1" si="66"/>
        <v/>
      </c>
      <c r="B2164">
        <f t="shared" ca="1" si="67"/>
        <v>0</v>
      </c>
    </row>
    <row r="2165" spans="1:2">
      <c r="A2165" t="str">
        <f t="shared" ca="1" si="66"/>
        <v/>
      </c>
      <c r="B2165">
        <f t="shared" ca="1" si="67"/>
        <v>0</v>
      </c>
    </row>
    <row r="2166" spans="1:2">
      <c r="A2166" t="str">
        <f t="shared" ca="1" si="66"/>
        <v/>
      </c>
      <c r="B2166">
        <f t="shared" ca="1" si="67"/>
        <v>0</v>
      </c>
    </row>
    <row r="2167" spans="1:2">
      <c r="A2167" t="str">
        <f t="shared" ca="1" si="66"/>
        <v/>
      </c>
      <c r="B2167">
        <f t="shared" ca="1" si="67"/>
        <v>0</v>
      </c>
    </row>
    <row r="2168" spans="1:2">
      <c r="A2168" t="str">
        <f t="shared" ca="1" si="66"/>
        <v/>
      </c>
      <c r="B2168">
        <f t="shared" ca="1" si="67"/>
        <v>0</v>
      </c>
    </row>
    <row r="2169" spans="1:2">
      <c r="A2169" t="str">
        <f t="shared" ca="1" si="66"/>
        <v/>
      </c>
      <c r="B2169">
        <f t="shared" ca="1" si="67"/>
        <v>0</v>
      </c>
    </row>
    <row r="2170" spans="1:2">
      <c r="A2170" t="str">
        <f t="shared" ca="1" si="66"/>
        <v/>
      </c>
      <c r="B2170">
        <f t="shared" ca="1" si="67"/>
        <v>0</v>
      </c>
    </row>
    <row r="2171" spans="1:2">
      <c r="A2171" t="str">
        <f t="shared" ca="1" si="66"/>
        <v/>
      </c>
      <c r="B2171">
        <f t="shared" ca="1" si="67"/>
        <v>0</v>
      </c>
    </row>
    <row r="2172" spans="1:2">
      <c r="A2172" t="str">
        <f t="shared" ca="1" si="66"/>
        <v/>
      </c>
      <c r="B2172">
        <f t="shared" ca="1" si="67"/>
        <v>0</v>
      </c>
    </row>
    <row r="2173" spans="1:2">
      <c r="A2173" t="str">
        <f t="shared" ca="1" si="66"/>
        <v/>
      </c>
      <c r="B2173">
        <f t="shared" ca="1" si="67"/>
        <v>0</v>
      </c>
    </row>
    <row r="2174" spans="1:2">
      <c r="A2174" t="str">
        <f t="shared" ca="1" si="66"/>
        <v/>
      </c>
      <c r="B2174">
        <f t="shared" ca="1" si="67"/>
        <v>0</v>
      </c>
    </row>
    <row r="2175" spans="1:2">
      <c r="A2175" t="str">
        <f t="shared" ca="1" si="66"/>
        <v/>
      </c>
      <c r="B2175">
        <f t="shared" ca="1" si="67"/>
        <v>0</v>
      </c>
    </row>
    <row r="2176" spans="1:2">
      <c r="A2176" t="str">
        <f t="shared" ca="1" si="66"/>
        <v/>
      </c>
      <c r="B2176">
        <f t="shared" ca="1" si="67"/>
        <v>0</v>
      </c>
    </row>
    <row r="2177" spans="1:2">
      <c r="A2177" t="str">
        <f t="shared" ca="1" si="66"/>
        <v/>
      </c>
      <c r="B2177">
        <f t="shared" ca="1" si="67"/>
        <v>0</v>
      </c>
    </row>
    <row r="2178" spans="1:2">
      <c r="A2178" t="str">
        <f t="shared" ref="A2178:A2241" ca="1" si="68">CONCATENATE(INDIRECT(ADDRESS(ROW(),3)))</f>
        <v/>
      </c>
      <c r="B2178">
        <f t="shared" ref="B2178:B2241" ca="1" si="69">IF(IF(INDIRECT(ADDRESS(ROW(),1))&lt;&gt;"",IF(ISNA(MATCH(LEFT(INDIRECT(ADDRESS(ROW(),1)),2),PCNG_MN,0))=TRUE,1,0),0)+IF(INDIRECT(ADDRESS(ROW(),1))&lt;&gt;"",IF(ISNA(MATCH(LEFT(INDIRECT(ADDRESS(ROW(),1)),3),PCNG_MN,0))=TRUE,1,0),0)+IF(INDIRECT(ADDRESS(ROW(),1))&lt;&gt;"",IF(ISNA(MATCH(LEFT(INDIRECT(ADDRESS(ROW(),1)),4),PCNG_MN,0))=TRUE,1,0),0)&gt;=3,1,0)</f>
        <v>0</v>
      </c>
    </row>
    <row r="2179" spans="1:2">
      <c r="A2179" t="str">
        <f t="shared" ca="1" si="68"/>
        <v/>
      </c>
      <c r="B2179">
        <f t="shared" ca="1" si="69"/>
        <v>0</v>
      </c>
    </row>
    <row r="2180" spans="1:2">
      <c r="A2180" t="str">
        <f t="shared" ca="1" si="68"/>
        <v/>
      </c>
      <c r="B2180">
        <f t="shared" ca="1" si="69"/>
        <v>0</v>
      </c>
    </row>
    <row r="2181" spans="1:2">
      <c r="A2181" t="str">
        <f t="shared" ca="1" si="68"/>
        <v/>
      </c>
      <c r="B2181">
        <f t="shared" ca="1" si="69"/>
        <v>0</v>
      </c>
    </row>
    <row r="2182" spans="1:2">
      <c r="A2182" t="str">
        <f t="shared" ca="1" si="68"/>
        <v/>
      </c>
      <c r="B2182">
        <f t="shared" ca="1" si="69"/>
        <v>0</v>
      </c>
    </row>
    <row r="2183" spans="1:2">
      <c r="A2183" t="str">
        <f t="shared" ca="1" si="68"/>
        <v/>
      </c>
      <c r="B2183">
        <f t="shared" ca="1" si="69"/>
        <v>0</v>
      </c>
    </row>
    <row r="2184" spans="1:2">
      <c r="A2184" t="str">
        <f t="shared" ca="1" si="68"/>
        <v/>
      </c>
      <c r="B2184">
        <f t="shared" ca="1" si="69"/>
        <v>0</v>
      </c>
    </row>
    <row r="2185" spans="1:2">
      <c r="A2185" t="str">
        <f t="shared" ca="1" si="68"/>
        <v/>
      </c>
      <c r="B2185">
        <f t="shared" ca="1" si="69"/>
        <v>0</v>
      </c>
    </row>
    <row r="2186" spans="1:2">
      <c r="A2186" t="str">
        <f t="shared" ca="1" si="68"/>
        <v/>
      </c>
      <c r="B2186">
        <f t="shared" ca="1" si="69"/>
        <v>0</v>
      </c>
    </row>
    <row r="2187" spans="1:2">
      <c r="A2187" t="str">
        <f t="shared" ca="1" si="68"/>
        <v/>
      </c>
      <c r="B2187">
        <f t="shared" ca="1" si="69"/>
        <v>0</v>
      </c>
    </row>
    <row r="2188" spans="1:2">
      <c r="A2188" t="str">
        <f t="shared" ca="1" si="68"/>
        <v/>
      </c>
      <c r="B2188">
        <f t="shared" ca="1" si="69"/>
        <v>0</v>
      </c>
    </row>
    <row r="2189" spans="1:2">
      <c r="A2189" t="str">
        <f t="shared" ca="1" si="68"/>
        <v/>
      </c>
      <c r="B2189">
        <f t="shared" ca="1" si="69"/>
        <v>0</v>
      </c>
    </row>
    <row r="2190" spans="1:2">
      <c r="A2190" t="str">
        <f t="shared" ca="1" si="68"/>
        <v/>
      </c>
      <c r="B2190">
        <f t="shared" ca="1" si="69"/>
        <v>0</v>
      </c>
    </row>
    <row r="2191" spans="1:2">
      <c r="A2191" t="str">
        <f t="shared" ca="1" si="68"/>
        <v/>
      </c>
      <c r="B2191">
        <f t="shared" ca="1" si="69"/>
        <v>0</v>
      </c>
    </row>
    <row r="2192" spans="1:2">
      <c r="A2192" t="str">
        <f t="shared" ca="1" si="68"/>
        <v/>
      </c>
      <c r="B2192">
        <f t="shared" ca="1" si="69"/>
        <v>0</v>
      </c>
    </row>
    <row r="2193" spans="1:2">
      <c r="A2193" t="str">
        <f t="shared" ca="1" si="68"/>
        <v/>
      </c>
      <c r="B2193">
        <f t="shared" ca="1" si="69"/>
        <v>0</v>
      </c>
    </row>
    <row r="2194" spans="1:2">
      <c r="A2194" t="str">
        <f t="shared" ca="1" si="68"/>
        <v/>
      </c>
      <c r="B2194">
        <f t="shared" ca="1" si="69"/>
        <v>0</v>
      </c>
    </row>
    <row r="2195" spans="1:2">
      <c r="A2195" t="str">
        <f t="shared" ca="1" si="68"/>
        <v/>
      </c>
      <c r="B2195">
        <f t="shared" ca="1" si="69"/>
        <v>0</v>
      </c>
    </row>
    <row r="2196" spans="1:2">
      <c r="A2196" t="str">
        <f t="shared" ca="1" si="68"/>
        <v/>
      </c>
      <c r="B2196">
        <f t="shared" ca="1" si="69"/>
        <v>0</v>
      </c>
    </row>
    <row r="2197" spans="1:2">
      <c r="A2197" t="str">
        <f t="shared" ca="1" si="68"/>
        <v/>
      </c>
      <c r="B2197">
        <f t="shared" ca="1" si="69"/>
        <v>0</v>
      </c>
    </row>
    <row r="2198" spans="1:2">
      <c r="A2198" t="str">
        <f t="shared" ca="1" si="68"/>
        <v/>
      </c>
      <c r="B2198">
        <f t="shared" ca="1" si="69"/>
        <v>0</v>
      </c>
    </row>
    <row r="2199" spans="1:2">
      <c r="A2199" t="str">
        <f t="shared" ca="1" si="68"/>
        <v/>
      </c>
      <c r="B2199">
        <f t="shared" ca="1" si="69"/>
        <v>0</v>
      </c>
    </row>
    <row r="2200" spans="1:2">
      <c r="A2200" t="str">
        <f t="shared" ca="1" si="68"/>
        <v/>
      </c>
      <c r="B2200">
        <f t="shared" ca="1" si="69"/>
        <v>0</v>
      </c>
    </row>
    <row r="2201" spans="1:2">
      <c r="A2201" t="str">
        <f t="shared" ca="1" si="68"/>
        <v/>
      </c>
      <c r="B2201">
        <f t="shared" ca="1" si="69"/>
        <v>0</v>
      </c>
    </row>
    <row r="2202" spans="1:2">
      <c r="A2202" t="str">
        <f t="shared" ca="1" si="68"/>
        <v/>
      </c>
      <c r="B2202">
        <f t="shared" ca="1" si="69"/>
        <v>0</v>
      </c>
    </row>
    <row r="2203" spans="1:2">
      <c r="A2203" t="str">
        <f t="shared" ca="1" si="68"/>
        <v/>
      </c>
      <c r="B2203">
        <f t="shared" ca="1" si="69"/>
        <v>0</v>
      </c>
    </row>
    <row r="2204" spans="1:2">
      <c r="A2204" t="str">
        <f t="shared" ca="1" si="68"/>
        <v/>
      </c>
      <c r="B2204">
        <f t="shared" ca="1" si="69"/>
        <v>0</v>
      </c>
    </row>
    <row r="2205" spans="1:2">
      <c r="A2205" t="str">
        <f t="shared" ca="1" si="68"/>
        <v/>
      </c>
      <c r="B2205">
        <f t="shared" ca="1" si="69"/>
        <v>0</v>
      </c>
    </row>
    <row r="2206" spans="1:2">
      <c r="A2206" t="str">
        <f t="shared" ca="1" si="68"/>
        <v/>
      </c>
      <c r="B2206">
        <f t="shared" ca="1" si="69"/>
        <v>0</v>
      </c>
    </row>
    <row r="2207" spans="1:2">
      <c r="A2207" t="str">
        <f t="shared" ca="1" si="68"/>
        <v/>
      </c>
      <c r="B2207">
        <f t="shared" ca="1" si="69"/>
        <v>0</v>
      </c>
    </row>
    <row r="2208" spans="1:2">
      <c r="A2208" t="str">
        <f t="shared" ca="1" si="68"/>
        <v/>
      </c>
      <c r="B2208">
        <f t="shared" ca="1" si="69"/>
        <v>0</v>
      </c>
    </row>
    <row r="2209" spans="1:2">
      <c r="A2209" t="str">
        <f t="shared" ca="1" si="68"/>
        <v/>
      </c>
      <c r="B2209">
        <f t="shared" ca="1" si="69"/>
        <v>0</v>
      </c>
    </row>
    <row r="2210" spans="1:2">
      <c r="A2210" t="str">
        <f t="shared" ca="1" si="68"/>
        <v/>
      </c>
      <c r="B2210">
        <f t="shared" ca="1" si="69"/>
        <v>0</v>
      </c>
    </row>
    <row r="2211" spans="1:2">
      <c r="A2211" t="str">
        <f t="shared" ca="1" si="68"/>
        <v/>
      </c>
      <c r="B2211">
        <f t="shared" ca="1" si="69"/>
        <v>0</v>
      </c>
    </row>
    <row r="2212" spans="1:2">
      <c r="A2212" t="str">
        <f t="shared" ca="1" si="68"/>
        <v/>
      </c>
      <c r="B2212">
        <f t="shared" ca="1" si="69"/>
        <v>0</v>
      </c>
    </row>
    <row r="2213" spans="1:2">
      <c r="A2213" t="str">
        <f t="shared" ca="1" si="68"/>
        <v/>
      </c>
      <c r="B2213">
        <f t="shared" ca="1" si="69"/>
        <v>0</v>
      </c>
    </row>
    <row r="2214" spans="1:2">
      <c r="A2214" t="str">
        <f t="shared" ca="1" si="68"/>
        <v/>
      </c>
      <c r="B2214">
        <f t="shared" ca="1" si="69"/>
        <v>0</v>
      </c>
    </row>
    <row r="2215" spans="1:2">
      <c r="A2215" t="str">
        <f t="shared" ca="1" si="68"/>
        <v/>
      </c>
      <c r="B2215">
        <f t="shared" ca="1" si="69"/>
        <v>0</v>
      </c>
    </row>
    <row r="2216" spans="1:2">
      <c r="A2216" t="str">
        <f t="shared" ca="1" si="68"/>
        <v/>
      </c>
      <c r="B2216">
        <f t="shared" ca="1" si="69"/>
        <v>0</v>
      </c>
    </row>
    <row r="2217" spans="1:2">
      <c r="A2217" t="str">
        <f t="shared" ca="1" si="68"/>
        <v/>
      </c>
      <c r="B2217">
        <f t="shared" ca="1" si="69"/>
        <v>0</v>
      </c>
    </row>
    <row r="2218" spans="1:2">
      <c r="A2218" t="str">
        <f t="shared" ca="1" si="68"/>
        <v/>
      </c>
      <c r="B2218">
        <f t="shared" ca="1" si="69"/>
        <v>0</v>
      </c>
    </row>
    <row r="2219" spans="1:2">
      <c r="A2219" t="str">
        <f t="shared" ca="1" si="68"/>
        <v/>
      </c>
      <c r="B2219">
        <f t="shared" ca="1" si="69"/>
        <v>0</v>
      </c>
    </row>
    <row r="2220" spans="1:2">
      <c r="A2220" t="str">
        <f t="shared" ca="1" si="68"/>
        <v/>
      </c>
      <c r="B2220">
        <f t="shared" ca="1" si="69"/>
        <v>0</v>
      </c>
    </row>
    <row r="2221" spans="1:2">
      <c r="A2221" t="str">
        <f t="shared" ca="1" si="68"/>
        <v/>
      </c>
      <c r="B2221">
        <f t="shared" ca="1" si="69"/>
        <v>0</v>
      </c>
    </row>
    <row r="2222" spans="1:2">
      <c r="A2222" t="str">
        <f t="shared" ca="1" si="68"/>
        <v/>
      </c>
      <c r="B2222">
        <f t="shared" ca="1" si="69"/>
        <v>0</v>
      </c>
    </row>
    <row r="2223" spans="1:2">
      <c r="A2223" t="str">
        <f t="shared" ca="1" si="68"/>
        <v/>
      </c>
      <c r="B2223">
        <f t="shared" ca="1" si="69"/>
        <v>0</v>
      </c>
    </row>
    <row r="2224" spans="1:2">
      <c r="A2224" t="str">
        <f t="shared" ca="1" si="68"/>
        <v/>
      </c>
      <c r="B2224">
        <f t="shared" ca="1" si="69"/>
        <v>0</v>
      </c>
    </row>
    <row r="2225" spans="1:2">
      <c r="A2225" t="str">
        <f t="shared" ca="1" si="68"/>
        <v/>
      </c>
      <c r="B2225">
        <f t="shared" ca="1" si="69"/>
        <v>0</v>
      </c>
    </row>
    <row r="2226" spans="1:2">
      <c r="A2226" t="str">
        <f t="shared" ca="1" si="68"/>
        <v/>
      </c>
      <c r="B2226">
        <f t="shared" ca="1" si="69"/>
        <v>0</v>
      </c>
    </row>
    <row r="2227" spans="1:2">
      <c r="A2227" t="str">
        <f t="shared" ca="1" si="68"/>
        <v/>
      </c>
      <c r="B2227">
        <f t="shared" ca="1" si="69"/>
        <v>0</v>
      </c>
    </row>
    <row r="2228" spans="1:2">
      <c r="A2228" t="str">
        <f t="shared" ca="1" si="68"/>
        <v/>
      </c>
      <c r="B2228">
        <f t="shared" ca="1" si="69"/>
        <v>0</v>
      </c>
    </row>
    <row r="2229" spans="1:2">
      <c r="A2229" t="str">
        <f t="shared" ca="1" si="68"/>
        <v/>
      </c>
      <c r="B2229">
        <f t="shared" ca="1" si="69"/>
        <v>0</v>
      </c>
    </row>
    <row r="2230" spans="1:2">
      <c r="A2230" t="str">
        <f t="shared" ca="1" si="68"/>
        <v/>
      </c>
      <c r="B2230">
        <f t="shared" ca="1" si="69"/>
        <v>0</v>
      </c>
    </row>
    <row r="2231" spans="1:2">
      <c r="A2231" t="str">
        <f t="shared" ca="1" si="68"/>
        <v/>
      </c>
      <c r="B2231">
        <f t="shared" ca="1" si="69"/>
        <v>0</v>
      </c>
    </row>
    <row r="2232" spans="1:2">
      <c r="A2232" t="str">
        <f t="shared" ca="1" si="68"/>
        <v/>
      </c>
      <c r="B2232">
        <f t="shared" ca="1" si="69"/>
        <v>0</v>
      </c>
    </row>
    <row r="2233" spans="1:2">
      <c r="A2233" t="str">
        <f t="shared" ca="1" si="68"/>
        <v/>
      </c>
      <c r="B2233">
        <f t="shared" ca="1" si="69"/>
        <v>0</v>
      </c>
    </row>
    <row r="2234" spans="1:2">
      <c r="A2234" t="str">
        <f t="shared" ca="1" si="68"/>
        <v/>
      </c>
      <c r="B2234">
        <f t="shared" ca="1" si="69"/>
        <v>0</v>
      </c>
    </row>
    <row r="2235" spans="1:2">
      <c r="A2235" t="str">
        <f t="shared" ca="1" si="68"/>
        <v/>
      </c>
      <c r="B2235">
        <f t="shared" ca="1" si="69"/>
        <v>0</v>
      </c>
    </row>
    <row r="2236" spans="1:2">
      <c r="A2236" t="str">
        <f t="shared" ca="1" si="68"/>
        <v/>
      </c>
      <c r="B2236">
        <f t="shared" ca="1" si="69"/>
        <v>0</v>
      </c>
    </row>
    <row r="2237" spans="1:2">
      <c r="A2237" t="str">
        <f t="shared" ca="1" si="68"/>
        <v/>
      </c>
      <c r="B2237">
        <f t="shared" ca="1" si="69"/>
        <v>0</v>
      </c>
    </row>
    <row r="2238" spans="1:2">
      <c r="A2238" t="str">
        <f t="shared" ca="1" si="68"/>
        <v/>
      </c>
      <c r="B2238">
        <f t="shared" ca="1" si="69"/>
        <v>0</v>
      </c>
    </row>
    <row r="2239" spans="1:2">
      <c r="A2239" t="str">
        <f t="shared" ca="1" si="68"/>
        <v/>
      </c>
      <c r="B2239">
        <f t="shared" ca="1" si="69"/>
        <v>0</v>
      </c>
    </row>
    <row r="2240" spans="1:2">
      <c r="A2240" t="str">
        <f t="shared" ca="1" si="68"/>
        <v/>
      </c>
      <c r="B2240">
        <f t="shared" ca="1" si="69"/>
        <v>0</v>
      </c>
    </row>
    <row r="2241" spans="1:2">
      <c r="A2241" t="str">
        <f t="shared" ca="1" si="68"/>
        <v/>
      </c>
      <c r="B2241">
        <f t="shared" ca="1" si="69"/>
        <v>0</v>
      </c>
    </row>
    <row r="2242" spans="1:2">
      <c r="A2242" t="str">
        <f t="shared" ref="A2242:A2305" ca="1" si="70">CONCATENATE(INDIRECT(ADDRESS(ROW(),3)))</f>
        <v/>
      </c>
      <c r="B2242">
        <f t="shared" ref="B2242:B2305" ca="1" si="71">IF(IF(INDIRECT(ADDRESS(ROW(),1))&lt;&gt;"",IF(ISNA(MATCH(LEFT(INDIRECT(ADDRESS(ROW(),1)),2),PCNG_MN,0))=TRUE,1,0),0)+IF(INDIRECT(ADDRESS(ROW(),1))&lt;&gt;"",IF(ISNA(MATCH(LEFT(INDIRECT(ADDRESS(ROW(),1)),3),PCNG_MN,0))=TRUE,1,0),0)+IF(INDIRECT(ADDRESS(ROW(),1))&lt;&gt;"",IF(ISNA(MATCH(LEFT(INDIRECT(ADDRESS(ROW(),1)),4),PCNG_MN,0))=TRUE,1,0),0)&gt;=3,1,0)</f>
        <v>0</v>
      </c>
    </row>
    <row r="2243" spans="1:2">
      <c r="A2243" t="str">
        <f t="shared" ca="1" si="70"/>
        <v/>
      </c>
      <c r="B2243">
        <f t="shared" ca="1" si="71"/>
        <v>0</v>
      </c>
    </row>
    <row r="2244" spans="1:2">
      <c r="A2244" t="str">
        <f t="shared" ca="1" si="70"/>
        <v/>
      </c>
      <c r="B2244">
        <f t="shared" ca="1" si="71"/>
        <v>0</v>
      </c>
    </row>
    <row r="2245" spans="1:2">
      <c r="A2245" t="str">
        <f t="shared" ca="1" si="70"/>
        <v/>
      </c>
      <c r="B2245">
        <f t="shared" ca="1" si="71"/>
        <v>0</v>
      </c>
    </row>
    <row r="2246" spans="1:2">
      <c r="A2246" t="str">
        <f t="shared" ca="1" si="70"/>
        <v/>
      </c>
      <c r="B2246">
        <f t="shared" ca="1" si="71"/>
        <v>0</v>
      </c>
    </row>
    <row r="2247" spans="1:2">
      <c r="A2247" t="str">
        <f t="shared" ca="1" si="70"/>
        <v/>
      </c>
      <c r="B2247">
        <f t="shared" ca="1" si="71"/>
        <v>0</v>
      </c>
    </row>
    <row r="2248" spans="1:2">
      <c r="A2248" t="str">
        <f t="shared" ca="1" si="70"/>
        <v/>
      </c>
      <c r="B2248">
        <f t="shared" ca="1" si="71"/>
        <v>0</v>
      </c>
    </row>
    <row r="2249" spans="1:2">
      <c r="A2249" t="str">
        <f t="shared" ca="1" si="70"/>
        <v/>
      </c>
      <c r="B2249">
        <f t="shared" ca="1" si="71"/>
        <v>0</v>
      </c>
    </row>
    <row r="2250" spans="1:2">
      <c r="A2250" t="str">
        <f t="shared" ca="1" si="70"/>
        <v/>
      </c>
      <c r="B2250">
        <f t="shared" ca="1" si="71"/>
        <v>0</v>
      </c>
    </row>
    <row r="2251" spans="1:2">
      <c r="A2251" t="str">
        <f t="shared" ca="1" si="70"/>
        <v/>
      </c>
      <c r="B2251">
        <f t="shared" ca="1" si="71"/>
        <v>0</v>
      </c>
    </row>
    <row r="2252" spans="1:2">
      <c r="A2252" t="str">
        <f t="shared" ca="1" si="70"/>
        <v/>
      </c>
      <c r="B2252">
        <f t="shared" ca="1" si="71"/>
        <v>0</v>
      </c>
    </row>
    <row r="2253" spans="1:2">
      <c r="A2253" t="str">
        <f t="shared" ca="1" si="70"/>
        <v/>
      </c>
      <c r="B2253">
        <f t="shared" ca="1" si="71"/>
        <v>0</v>
      </c>
    </row>
    <row r="2254" spans="1:2">
      <c r="A2254" t="str">
        <f t="shared" ca="1" si="70"/>
        <v/>
      </c>
      <c r="B2254">
        <f t="shared" ca="1" si="71"/>
        <v>0</v>
      </c>
    </row>
    <row r="2255" spans="1:2">
      <c r="A2255" t="str">
        <f t="shared" ca="1" si="70"/>
        <v/>
      </c>
      <c r="B2255">
        <f t="shared" ca="1" si="71"/>
        <v>0</v>
      </c>
    </row>
    <row r="2256" spans="1:2">
      <c r="A2256" t="str">
        <f t="shared" ca="1" si="70"/>
        <v/>
      </c>
      <c r="B2256">
        <f t="shared" ca="1" si="71"/>
        <v>0</v>
      </c>
    </row>
    <row r="2257" spans="1:2">
      <c r="A2257" t="str">
        <f t="shared" ca="1" si="70"/>
        <v/>
      </c>
      <c r="B2257">
        <f t="shared" ca="1" si="71"/>
        <v>0</v>
      </c>
    </row>
    <row r="2258" spans="1:2">
      <c r="A2258" t="str">
        <f t="shared" ca="1" si="70"/>
        <v/>
      </c>
      <c r="B2258">
        <f t="shared" ca="1" si="71"/>
        <v>0</v>
      </c>
    </row>
    <row r="2259" spans="1:2">
      <c r="A2259" t="str">
        <f t="shared" ca="1" si="70"/>
        <v/>
      </c>
      <c r="B2259">
        <f t="shared" ca="1" si="71"/>
        <v>0</v>
      </c>
    </row>
    <row r="2260" spans="1:2">
      <c r="A2260" t="str">
        <f t="shared" ca="1" si="70"/>
        <v/>
      </c>
      <c r="B2260">
        <f t="shared" ca="1" si="71"/>
        <v>0</v>
      </c>
    </row>
    <row r="2261" spans="1:2">
      <c r="A2261" t="str">
        <f t="shared" ca="1" si="70"/>
        <v/>
      </c>
      <c r="B2261">
        <f t="shared" ca="1" si="71"/>
        <v>0</v>
      </c>
    </row>
    <row r="2262" spans="1:2">
      <c r="A2262" t="str">
        <f t="shared" ca="1" si="70"/>
        <v/>
      </c>
      <c r="B2262">
        <f t="shared" ca="1" si="71"/>
        <v>0</v>
      </c>
    </row>
    <row r="2263" spans="1:2">
      <c r="A2263" t="str">
        <f t="shared" ca="1" si="70"/>
        <v/>
      </c>
      <c r="B2263">
        <f t="shared" ca="1" si="71"/>
        <v>0</v>
      </c>
    </row>
    <row r="2264" spans="1:2">
      <c r="A2264" t="str">
        <f t="shared" ca="1" si="70"/>
        <v/>
      </c>
      <c r="B2264">
        <f t="shared" ca="1" si="71"/>
        <v>0</v>
      </c>
    </row>
    <row r="2265" spans="1:2">
      <c r="A2265" t="str">
        <f t="shared" ca="1" si="70"/>
        <v/>
      </c>
      <c r="B2265">
        <f t="shared" ca="1" si="71"/>
        <v>0</v>
      </c>
    </row>
    <row r="2266" spans="1:2">
      <c r="A2266" t="str">
        <f t="shared" ca="1" si="70"/>
        <v/>
      </c>
      <c r="B2266">
        <f t="shared" ca="1" si="71"/>
        <v>0</v>
      </c>
    </row>
    <row r="2267" spans="1:2">
      <c r="A2267" t="str">
        <f t="shared" ca="1" si="70"/>
        <v/>
      </c>
      <c r="B2267">
        <f t="shared" ca="1" si="71"/>
        <v>0</v>
      </c>
    </row>
    <row r="2268" spans="1:2">
      <c r="A2268" t="str">
        <f t="shared" ca="1" si="70"/>
        <v/>
      </c>
      <c r="B2268">
        <f t="shared" ca="1" si="71"/>
        <v>0</v>
      </c>
    </row>
    <row r="2269" spans="1:2">
      <c r="A2269" t="str">
        <f t="shared" ca="1" si="70"/>
        <v/>
      </c>
      <c r="B2269">
        <f t="shared" ca="1" si="71"/>
        <v>0</v>
      </c>
    </row>
    <row r="2270" spans="1:2">
      <c r="A2270" t="str">
        <f t="shared" ca="1" si="70"/>
        <v/>
      </c>
      <c r="B2270">
        <f t="shared" ca="1" si="71"/>
        <v>0</v>
      </c>
    </row>
    <row r="2271" spans="1:2">
      <c r="A2271" t="str">
        <f t="shared" ca="1" si="70"/>
        <v/>
      </c>
      <c r="B2271">
        <f t="shared" ca="1" si="71"/>
        <v>0</v>
      </c>
    </row>
    <row r="2272" spans="1:2">
      <c r="A2272" t="str">
        <f t="shared" ca="1" si="70"/>
        <v/>
      </c>
      <c r="B2272">
        <f t="shared" ca="1" si="71"/>
        <v>0</v>
      </c>
    </row>
    <row r="2273" spans="1:2">
      <c r="A2273" t="str">
        <f t="shared" ca="1" si="70"/>
        <v/>
      </c>
      <c r="B2273">
        <f t="shared" ca="1" si="71"/>
        <v>0</v>
      </c>
    </row>
    <row r="2274" spans="1:2">
      <c r="A2274" t="str">
        <f t="shared" ca="1" si="70"/>
        <v/>
      </c>
      <c r="B2274">
        <f t="shared" ca="1" si="71"/>
        <v>0</v>
      </c>
    </row>
    <row r="2275" spans="1:2">
      <c r="A2275" t="str">
        <f t="shared" ca="1" si="70"/>
        <v/>
      </c>
      <c r="B2275">
        <f t="shared" ca="1" si="71"/>
        <v>0</v>
      </c>
    </row>
    <row r="2276" spans="1:2">
      <c r="A2276" t="str">
        <f t="shared" ca="1" si="70"/>
        <v/>
      </c>
      <c r="B2276">
        <f t="shared" ca="1" si="71"/>
        <v>0</v>
      </c>
    </row>
    <row r="2277" spans="1:2">
      <c r="A2277" t="str">
        <f t="shared" ca="1" si="70"/>
        <v/>
      </c>
      <c r="B2277">
        <f t="shared" ca="1" si="71"/>
        <v>0</v>
      </c>
    </row>
    <row r="2278" spans="1:2">
      <c r="A2278" t="str">
        <f t="shared" ca="1" si="70"/>
        <v/>
      </c>
      <c r="B2278">
        <f t="shared" ca="1" si="71"/>
        <v>0</v>
      </c>
    </row>
    <row r="2279" spans="1:2">
      <c r="A2279" t="str">
        <f t="shared" ca="1" si="70"/>
        <v/>
      </c>
      <c r="B2279">
        <f t="shared" ca="1" si="71"/>
        <v>0</v>
      </c>
    </row>
    <row r="2280" spans="1:2">
      <c r="A2280" t="str">
        <f t="shared" ca="1" si="70"/>
        <v/>
      </c>
      <c r="B2280">
        <f t="shared" ca="1" si="71"/>
        <v>0</v>
      </c>
    </row>
    <row r="2281" spans="1:2">
      <c r="A2281" t="str">
        <f t="shared" ca="1" si="70"/>
        <v/>
      </c>
      <c r="B2281">
        <f t="shared" ca="1" si="71"/>
        <v>0</v>
      </c>
    </row>
    <row r="2282" spans="1:2">
      <c r="A2282" t="str">
        <f t="shared" ca="1" si="70"/>
        <v/>
      </c>
      <c r="B2282">
        <f t="shared" ca="1" si="71"/>
        <v>0</v>
      </c>
    </row>
    <row r="2283" spans="1:2">
      <c r="A2283" t="str">
        <f t="shared" ca="1" si="70"/>
        <v/>
      </c>
      <c r="B2283">
        <f t="shared" ca="1" si="71"/>
        <v>0</v>
      </c>
    </row>
    <row r="2284" spans="1:2">
      <c r="A2284" t="str">
        <f t="shared" ca="1" si="70"/>
        <v/>
      </c>
      <c r="B2284">
        <f t="shared" ca="1" si="71"/>
        <v>0</v>
      </c>
    </row>
    <row r="2285" spans="1:2">
      <c r="A2285" t="str">
        <f t="shared" ca="1" si="70"/>
        <v/>
      </c>
      <c r="B2285">
        <f t="shared" ca="1" si="71"/>
        <v>0</v>
      </c>
    </row>
    <row r="2286" spans="1:2">
      <c r="A2286" t="str">
        <f t="shared" ca="1" si="70"/>
        <v/>
      </c>
      <c r="B2286">
        <f t="shared" ca="1" si="71"/>
        <v>0</v>
      </c>
    </row>
    <row r="2287" spans="1:2">
      <c r="A2287" t="str">
        <f t="shared" ca="1" si="70"/>
        <v/>
      </c>
      <c r="B2287">
        <f t="shared" ca="1" si="71"/>
        <v>0</v>
      </c>
    </row>
    <row r="2288" spans="1:2">
      <c r="A2288" t="str">
        <f t="shared" ca="1" si="70"/>
        <v/>
      </c>
      <c r="B2288">
        <f t="shared" ca="1" si="71"/>
        <v>0</v>
      </c>
    </row>
    <row r="2289" spans="1:2">
      <c r="A2289" t="str">
        <f t="shared" ca="1" si="70"/>
        <v/>
      </c>
      <c r="B2289">
        <f t="shared" ca="1" si="71"/>
        <v>0</v>
      </c>
    </row>
    <row r="2290" spans="1:2">
      <c r="A2290" t="str">
        <f t="shared" ca="1" si="70"/>
        <v/>
      </c>
      <c r="B2290">
        <f t="shared" ca="1" si="71"/>
        <v>0</v>
      </c>
    </row>
    <row r="2291" spans="1:2">
      <c r="A2291" t="str">
        <f t="shared" ca="1" si="70"/>
        <v/>
      </c>
      <c r="B2291">
        <f t="shared" ca="1" si="71"/>
        <v>0</v>
      </c>
    </row>
    <row r="2292" spans="1:2">
      <c r="A2292" t="str">
        <f t="shared" ca="1" si="70"/>
        <v/>
      </c>
      <c r="B2292">
        <f t="shared" ca="1" si="71"/>
        <v>0</v>
      </c>
    </row>
    <row r="2293" spans="1:2">
      <c r="A2293" t="str">
        <f t="shared" ca="1" si="70"/>
        <v/>
      </c>
      <c r="B2293">
        <f t="shared" ca="1" si="71"/>
        <v>0</v>
      </c>
    </row>
    <row r="2294" spans="1:2">
      <c r="A2294" t="str">
        <f t="shared" ca="1" si="70"/>
        <v/>
      </c>
      <c r="B2294">
        <f t="shared" ca="1" si="71"/>
        <v>0</v>
      </c>
    </row>
    <row r="2295" spans="1:2">
      <c r="A2295" t="str">
        <f t="shared" ca="1" si="70"/>
        <v/>
      </c>
      <c r="B2295">
        <f t="shared" ca="1" si="71"/>
        <v>0</v>
      </c>
    </row>
    <row r="2296" spans="1:2">
      <c r="A2296" t="str">
        <f t="shared" ca="1" si="70"/>
        <v/>
      </c>
      <c r="B2296">
        <f t="shared" ca="1" si="71"/>
        <v>0</v>
      </c>
    </row>
    <row r="2297" spans="1:2">
      <c r="A2297" t="str">
        <f t="shared" ca="1" si="70"/>
        <v/>
      </c>
      <c r="B2297">
        <f t="shared" ca="1" si="71"/>
        <v>0</v>
      </c>
    </row>
    <row r="2298" spans="1:2">
      <c r="A2298" t="str">
        <f t="shared" ca="1" si="70"/>
        <v/>
      </c>
      <c r="B2298">
        <f t="shared" ca="1" si="71"/>
        <v>0</v>
      </c>
    </row>
    <row r="2299" spans="1:2">
      <c r="A2299" t="str">
        <f t="shared" ca="1" si="70"/>
        <v/>
      </c>
      <c r="B2299">
        <f t="shared" ca="1" si="71"/>
        <v>0</v>
      </c>
    </row>
    <row r="2300" spans="1:2">
      <c r="A2300" t="str">
        <f t="shared" ca="1" si="70"/>
        <v/>
      </c>
      <c r="B2300">
        <f t="shared" ca="1" si="71"/>
        <v>0</v>
      </c>
    </row>
    <row r="2301" spans="1:2">
      <c r="A2301" t="str">
        <f t="shared" ca="1" si="70"/>
        <v/>
      </c>
      <c r="B2301">
        <f t="shared" ca="1" si="71"/>
        <v>0</v>
      </c>
    </row>
    <row r="2302" spans="1:2">
      <c r="A2302" t="str">
        <f t="shared" ca="1" si="70"/>
        <v/>
      </c>
      <c r="B2302">
        <f t="shared" ca="1" si="71"/>
        <v>0</v>
      </c>
    </row>
    <row r="2303" spans="1:2">
      <c r="A2303" t="str">
        <f t="shared" ca="1" si="70"/>
        <v/>
      </c>
      <c r="B2303">
        <f t="shared" ca="1" si="71"/>
        <v>0</v>
      </c>
    </row>
    <row r="2304" spans="1:2">
      <c r="A2304" t="str">
        <f t="shared" ca="1" si="70"/>
        <v/>
      </c>
      <c r="B2304">
        <f t="shared" ca="1" si="71"/>
        <v>0</v>
      </c>
    </row>
    <row r="2305" spans="1:2">
      <c r="A2305" t="str">
        <f t="shared" ca="1" si="70"/>
        <v/>
      </c>
      <c r="B2305">
        <f t="shared" ca="1" si="71"/>
        <v>0</v>
      </c>
    </row>
    <row r="2306" spans="1:2">
      <c r="A2306" t="str">
        <f t="shared" ref="A2306:A2369" ca="1" si="72">CONCATENATE(INDIRECT(ADDRESS(ROW(),3)))</f>
        <v/>
      </c>
      <c r="B2306">
        <f t="shared" ref="B2306:B2369" ca="1" si="73">IF(IF(INDIRECT(ADDRESS(ROW(),1))&lt;&gt;"",IF(ISNA(MATCH(LEFT(INDIRECT(ADDRESS(ROW(),1)),2),PCNG_MN,0))=TRUE,1,0),0)+IF(INDIRECT(ADDRESS(ROW(),1))&lt;&gt;"",IF(ISNA(MATCH(LEFT(INDIRECT(ADDRESS(ROW(),1)),3),PCNG_MN,0))=TRUE,1,0),0)+IF(INDIRECT(ADDRESS(ROW(),1))&lt;&gt;"",IF(ISNA(MATCH(LEFT(INDIRECT(ADDRESS(ROW(),1)),4),PCNG_MN,0))=TRUE,1,0),0)&gt;=3,1,0)</f>
        <v>0</v>
      </c>
    </row>
    <row r="2307" spans="1:2">
      <c r="A2307" t="str">
        <f t="shared" ca="1" si="72"/>
        <v/>
      </c>
      <c r="B2307">
        <f t="shared" ca="1" si="73"/>
        <v>0</v>
      </c>
    </row>
    <row r="2308" spans="1:2">
      <c r="A2308" t="str">
        <f t="shared" ca="1" si="72"/>
        <v/>
      </c>
      <c r="B2308">
        <f t="shared" ca="1" si="73"/>
        <v>0</v>
      </c>
    </row>
    <row r="2309" spans="1:2">
      <c r="A2309" t="str">
        <f t="shared" ca="1" si="72"/>
        <v/>
      </c>
      <c r="B2309">
        <f t="shared" ca="1" si="73"/>
        <v>0</v>
      </c>
    </row>
    <row r="2310" spans="1:2">
      <c r="A2310" t="str">
        <f t="shared" ca="1" si="72"/>
        <v/>
      </c>
      <c r="B2310">
        <f t="shared" ca="1" si="73"/>
        <v>0</v>
      </c>
    </row>
    <row r="2311" spans="1:2">
      <c r="A2311" t="str">
        <f t="shared" ca="1" si="72"/>
        <v/>
      </c>
      <c r="B2311">
        <f t="shared" ca="1" si="73"/>
        <v>0</v>
      </c>
    </row>
    <row r="2312" spans="1:2">
      <c r="A2312" t="str">
        <f t="shared" ca="1" si="72"/>
        <v/>
      </c>
      <c r="B2312">
        <f t="shared" ca="1" si="73"/>
        <v>0</v>
      </c>
    </row>
    <row r="2313" spans="1:2">
      <c r="A2313" t="str">
        <f t="shared" ca="1" si="72"/>
        <v/>
      </c>
      <c r="B2313">
        <f t="shared" ca="1" si="73"/>
        <v>0</v>
      </c>
    </row>
    <row r="2314" spans="1:2">
      <c r="A2314" t="str">
        <f t="shared" ca="1" si="72"/>
        <v/>
      </c>
      <c r="B2314">
        <f t="shared" ca="1" si="73"/>
        <v>0</v>
      </c>
    </row>
    <row r="2315" spans="1:2">
      <c r="A2315" t="str">
        <f t="shared" ca="1" si="72"/>
        <v/>
      </c>
      <c r="B2315">
        <f t="shared" ca="1" si="73"/>
        <v>0</v>
      </c>
    </row>
    <row r="2316" spans="1:2">
      <c r="A2316" t="str">
        <f t="shared" ca="1" si="72"/>
        <v/>
      </c>
      <c r="B2316">
        <f t="shared" ca="1" si="73"/>
        <v>0</v>
      </c>
    </row>
    <row r="2317" spans="1:2">
      <c r="A2317" t="str">
        <f t="shared" ca="1" si="72"/>
        <v/>
      </c>
      <c r="B2317">
        <f t="shared" ca="1" si="73"/>
        <v>0</v>
      </c>
    </row>
    <row r="2318" spans="1:2">
      <c r="A2318" t="str">
        <f t="shared" ca="1" si="72"/>
        <v/>
      </c>
      <c r="B2318">
        <f t="shared" ca="1" si="73"/>
        <v>0</v>
      </c>
    </row>
    <row r="2319" spans="1:2">
      <c r="A2319" t="str">
        <f t="shared" ca="1" si="72"/>
        <v/>
      </c>
      <c r="B2319">
        <f t="shared" ca="1" si="73"/>
        <v>0</v>
      </c>
    </row>
    <row r="2320" spans="1:2">
      <c r="A2320" t="str">
        <f t="shared" ca="1" si="72"/>
        <v/>
      </c>
      <c r="B2320">
        <f t="shared" ca="1" si="73"/>
        <v>0</v>
      </c>
    </row>
    <row r="2321" spans="1:2">
      <c r="A2321" t="str">
        <f t="shared" ca="1" si="72"/>
        <v/>
      </c>
      <c r="B2321">
        <f t="shared" ca="1" si="73"/>
        <v>0</v>
      </c>
    </row>
    <row r="2322" spans="1:2">
      <c r="A2322" t="str">
        <f t="shared" ca="1" si="72"/>
        <v/>
      </c>
      <c r="B2322">
        <f t="shared" ca="1" si="73"/>
        <v>0</v>
      </c>
    </row>
    <row r="2323" spans="1:2">
      <c r="A2323" t="str">
        <f t="shared" ca="1" si="72"/>
        <v/>
      </c>
      <c r="B2323">
        <f t="shared" ca="1" si="73"/>
        <v>0</v>
      </c>
    </row>
    <row r="2324" spans="1:2">
      <c r="A2324" t="str">
        <f t="shared" ca="1" si="72"/>
        <v/>
      </c>
      <c r="B2324">
        <f t="shared" ca="1" si="73"/>
        <v>0</v>
      </c>
    </row>
    <row r="2325" spans="1:2">
      <c r="A2325" t="str">
        <f t="shared" ca="1" si="72"/>
        <v/>
      </c>
      <c r="B2325">
        <f t="shared" ca="1" si="73"/>
        <v>0</v>
      </c>
    </row>
    <row r="2326" spans="1:2">
      <c r="A2326" t="str">
        <f t="shared" ca="1" si="72"/>
        <v/>
      </c>
      <c r="B2326">
        <f t="shared" ca="1" si="73"/>
        <v>0</v>
      </c>
    </row>
    <row r="2327" spans="1:2">
      <c r="A2327" t="str">
        <f t="shared" ca="1" si="72"/>
        <v/>
      </c>
      <c r="B2327">
        <f t="shared" ca="1" si="73"/>
        <v>0</v>
      </c>
    </row>
    <row r="2328" spans="1:2">
      <c r="A2328" t="str">
        <f t="shared" ca="1" si="72"/>
        <v/>
      </c>
      <c r="B2328">
        <f t="shared" ca="1" si="73"/>
        <v>0</v>
      </c>
    </row>
    <row r="2329" spans="1:2">
      <c r="A2329" t="str">
        <f t="shared" ca="1" si="72"/>
        <v/>
      </c>
      <c r="B2329">
        <f t="shared" ca="1" si="73"/>
        <v>0</v>
      </c>
    </row>
    <row r="2330" spans="1:2">
      <c r="A2330" t="str">
        <f t="shared" ca="1" si="72"/>
        <v/>
      </c>
      <c r="B2330">
        <f t="shared" ca="1" si="73"/>
        <v>0</v>
      </c>
    </row>
    <row r="2331" spans="1:2">
      <c r="A2331" t="str">
        <f t="shared" ca="1" si="72"/>
        <v/>
      </c>
      <c r="B2331">
        <f t="shared" ca="1" si="73"/>
        <v>0</v>
      </c>
    </row>
    <row r="2332" spans="1:2">
      <c r="A2332" t="str">
        <f t="shared" ca="1" si="72"/>
        <v/>
      </c>
      <c r="B2332">
        <f t="shared" ca="1" si="73"/>
        <v>0</v>
      </c>
    </row>
    <row r="2333" spans="1:2">
      <c r="A2333" t="str">
        <f t="shared" ca="1" si="72"/>
        <v/>
      </c>
      <c r="B2333">
        <f t="shared" ca="1" si="73"/>
        <v>0</v>
      </c>
    </row>
    <row r="2334" spans="1:2">
      <c r="A2334" t="str">
        <f t="shared" ca="1" si="72"/>
        <v/>
      </c>
      <c r="B2334">
        <f t="shared" ca="1" si="73"/>
        <v>0</v>
      </c>
    </row>
    <row r="2335" spans="1:2">
      <c r="A2335" t="str">
        <f t="shared" ca="1" si="72"/>
        <v/>
      </c>
      <c r="B2335">
        <f t="shared" ca="1" si="73"/>
        <v>0</v>
      </c>
    </row>
    <row r="2336" spans="1:2">
      <c r="A2336" t="str">
        <f t="shared" ca="1" si="72"/>
        <v/>
      </c>
      <c r="B2336">
        <f t="shared" ca="1" si="73"/>
        <v>0</v>
      </c>
    </row>
    <row r="2337" spans="1:2">
      <c r="A2337" t="str">
        <f t="shared" ca="1" si="72"/>
        <v/>
      </c>
      <c r="B2337">
        <f t="shared" ca="1" si="73"/>
        <v>0</v>
      </c>
    </row>
    <row r="2338" spans="1:2">
      <c r="A2338" t="str">
        <f t="shared" ca="1" si="72"/>
        <v/>
      </c>
      <c r="B2338">
        <f t="shared" ca="1" si="73"/>
        <v>0</v>
      </c>
    </row>
    <row r="2339" spans="1:2">
      <c r="A2339" t="str">
        <f t="shared" ca="1" si="72"/>
        <v/>
      </c>
      <c r="B2339">
        <f t="shared" ca="1" si="73"/>
        <v>0</v>
      </c>
    </row>
    <row r="2340" spans="1:2">
      <c r="A2340" t="str">
        <f t="shared" ca="1" si="72"/>
        <v/>
      </c>
      <c r="B2340">
        <f t="shared" ca="1" si="73"/>
        <v>0</v>
      </c>
    </row>
    <row r="2341" spans="1:2">
      <c r="A2341" t="str">
        <f t="shared" ca="1" si="72"/>
        <v/>
      </c>
      <c r="B2341">
        <f t="shared" ca="1" si="73"/>
        <v>0</v>
      </c>
    </row>
    <row r="2342" spans="1:2">
      <c r="A2342" t="str">
        <f t="shared" ca="1" si="72"/>
        <v/>
      </c>
      <c r="B2342">
        <f t="shared" ca="1" si="73"/>
        <v>0</v>
      </c>
    </row>
    <row r="2343" spans="1:2">
      <c r="A2343" t="str">
        <f t="shared" ca="1" si="72"/>
        <v/>
      </c>
      <c r="B2343">
        <f t="shared" ca="1" si="73"/>
        <v>0</v>
      </c>
    </row>
    <row r="2344" spans="1:2">
      <c r="A2344" t="str">
        <f t="shared" ca="1" si="72"/>
        <v/>
      </c>
      <c r="B2344">
        <f t="shared" ca="1" si="73"/>
        <v>0</v>
      </c>
    </row>
    <row r="2345" spans="1:2">
      <c r="A2345" t="str">
        <f t="shared" ca="1" si="72"/>
        <v/>
      </c>
      <c r="B2345">
        <f t="shared" ca="1" si="73"/>
        <v>0</v>
      </c>
    </row>
    <row r="2346" spans="1:2">
      <c r="A2346" t="str">
        <f t="shared" ca="1" si="72"/>
        <v/>
      </c>
      <c r="B2346">
        <f t="shared" ca="1" si="73"/>
        <v>0</v>
      </c>
    </row>
    <row r="2347" spans="1:2">
      <c r="A2347" t="str">
        <f t="shared" ca="1" si="72"/>
        <v/>
      </c>
      <c r="B2347">
        <f t="shared" ca="1" si="73"/>
        <v>0</v>
      </c>
    </row>
    <row r="2348" spans="1:2">
      <c r="A2348" t="str">
        <f t="shared" ca="1" si="72"/>
        <v/>
      </c>
      <c r="B2348">
        <f t="shared" ca="1" si="73"/>
        <v>0</v>
      </c>
    </row>
    <row r="2349" spans="1:2">
      <c r="A2349" t="str">
        <f t="shared" ca="1" si="72"/>
        <v/>
      </c>
      <c r="B2349">
        <f t="shared" ca="1" si="73"/>
        <v>0</v>
      </c>
    </row>
    <row r="2350" spans="1:2">
      <c r="A2350" t="str">
        <f t="shared" ca="1" si="72"/>
        <v/>
      </c>
      <c r="B2350">
        <f t="shared" ca="1" si="73"/>
        <v>0</v>
      </c>
    </row>
    <row r="2351" spans="1:2">
      <c r="A2351" t="str">
        <f t="shared" ca="1" si="72"/>
        <v/>
      </c>
      <c r="B2351">
        <f t="shared" ca="1" si="73"/>
        <v>0</v>
      </c>
    </row>
    <row r="2352" spans="1:2">
      <c r="A2352" t="str">
        <f t="shared" ca="1" si="72"/>
        <v/>
      </c>
      <c r="B2352">
        <f t="shared" ca="1" si="73"/>
        <v>0</v>
      </c>
    </row>
    <row r="2353" spans="1:2">
      <c r="A2353" t="str">
        <f t="shared" ca="1" si="72"/>
        <v/>
      </c>
      <c r="B2353">
        <f t="shared" ca="1" si="73"/>
        <v>0</v>
      </c>
    </row>
    <row r="2354" spans="1:2">
      <c r="A2354" t="str">
        <f t="shared" ca="1" si="72"/>
        <v/>
      </c>
      <c r="B2354">
        <f t="shared" ca="1" si="73"/>
        <v>0</v>
      </c>
    </row>
    <row r="2355" spans="1:2">
      <c r="A2355" t="str">
        <f t="shared" ca="1" si="72"/>
        <v/>
      </c>
      <c r="B2355">
        <f t="shared" ca="1" si="73"/>
        <v>0</v>
      </c>
    </row>
    <row r="2356" spans="1:2">
      <c r="A2356" t="str">
        <f t="shared" ca="1" si="72"/>
        <v/>
      </c>
      <c r="B2356">
        <f t="shared" ca="1" si="73"/>
        <v>0</v>
      </c>
    </row>
    <row r="2357" spans="1:2">
      <c r="A2357" t="str">
        <f t="shared" ca="1" si="72"/>
        <v/>
      </c>
      <c r="B2357">
        <f t="shared" ca="1" si="73"/>
        <v>0</v>
      </c>
    </row>
    <row r="2358" spans="1:2">
      <c r="A2358" t="str">
        <f t="shared" ca="1" si="72"/>
        <v/>
      </c>
      <c r="B2358">
        <f t="shared" ca="1" si="73"/>
        <v>0</v>
      </c>
    </row>
    <row r="2359" spans="1:2">
      <c r="A2359" t="str">
        <f t="shared" ca="1" si="72"/>
        <v/>
      </c>
      <c r="B2359">
        <f t="shared" ca="1" si="73"/>
        <v>0</v>
      </c>
    </row>
    <row r="2360" spans="1:2">
      <c r="A2360" t="str">
        <f t="shared" ca="1" si="72"/>
        <v/>
      </c>
      <c r="B2360">
        <f t="shared" ca="1" si="73"/>
        <v>0</v>
      </c>
    </row>
    <row r="2361" spans="1:2">
      <c r="A2361" t="str">
        <f t="shared" ca="1" si="72"/>
        <v/>
      </c>
      <c r="B2361">
        <f t="shared" ca="1" si="73"/>
        <v>0</v>
      </c>
    </row>
    <row r="2362" spans="1:2">
      <c r="A2362" t="str">
        <f t="shared" ca="1" si="72"/>
        <v/>
      </c>
      <c r="B2362">
        <f t="shared" ca="1" si="73"/>
        <v>0</v>
      </c>
    </row>
    <row r="2363" spans="1:2">
      <c r="A2363" t="str">
        <f t="shared" ca="1" si="72"/>
        <v/>
      </c>
      <c r="B2363">
        <f t="shared" ca="1" si="73"/>
        <v>0</v>
      </c>
    </row>
    <row r="2364" spans="1:2">
      <c r="A2364" t="str">
        <f t="shared" ca="1" si="72"/>
        <v/>
      </c>
      <c r="B2364">
        <f t="shared" ca="1" si="73"/>
        <v>0</v>
      </c>
    </row>
    <row r="2365" spans="1:2">
      <c r="A2365" t="str">
        <f t="shared" ca="1" si="72"/>
        <v/>
      </c>
      <c r="B2365">
        <f t="shared" ca="1" si="73"/>
        <v>0</v>
      </c>
    </row>
    <row r="2366" spans="1:2">
      <c r="A2366" t="str">
        <f t="shared" ca="1" si="72"/>
        <v/>
      </c>
      <c r="B2366">
        <f t="shared" ca="1" si="73"/>
        <v>0</v>
      </c>
    </row>
    <row r="2367" spans="1:2">
      <c r="A2367" t="str">
        <f t="shared" ca="1" si="72"/>
        <v/>
      </c>
      <c r="B2367">
        <f t="shared" ca="1" si="73"/>
        <v>0</v>
      </c>
    </row>
    <row r="2368" spans="1:2">
      <c r="A2368" t="str">
        <f t="shared" ca="1" si="72"/>
        <v/>
      </c>
      <c r="B2368">
        <f t="shared" ca="1" si="73"/>
        <v>0</v>
      </c>
    </row>
    <row r="2369" spans="1:2">
      <c r="A2369" t="str">
        <f t="shared" ca="1" si="72"/>
        <v/>
      </c>
      <c r="B2369">
        <f t="shared" ca="1" si="73"/>
        <v>0</v>
      </c>
    </row>
    <row r="2370" spans="1:2">
      <c r="A2370" t="str">
        <f t="shared" ref="A2370:A2433" ca="1" si="74">CONCATENATE(INDIRECT(ADDRESS(ROW(),3)))</f>
        <v/>
      </c>
      <c r="B2370">
        <f t="shared" ref="B2370:B2433" ca="1" si="75">IF(IF(INDIRECT(ADDRESS(ROW(),1))&lt;&gt;"",IF(ISNA(MATCH(LEFT(INDIRECT(ADDRESS(ROW(),1)),2),PCNG_MN,0))=TRUE,1,0),0)+IF(INDIRECT(ADDRESS(ROW(),1))&lt;&gt;"",IF(ISNA(MATCH(LEFT(INDIRECT(ADDRESS(ROW(),1)),3),PCNG_MN,0))=TRUE,1,0),0)+IF(INDIRECT(ADDRESS(ROW(),1))&lt;&gt;"",IF(ISNA(MATCH(LEFT(INDIRECT(ADDRESS(ROW(),1)),4),PCNG_MN,0))=TRUE,1,0),0)&gt;=3,1,0)</f>
        <v>0</v>
      </c>
    </row>
    <row r="2371" spans="1:2">
      <c r="A2371" t="str">
        <f t="shared" ca="1" si="74"/>
        <v/>
      </c>
      <c r="B2371">
        <f t="shared" ca="1" si="75"/>
        <v>0</v>
      </c>
    </row>
    <row r="2372" spans="1:2">
      <c r="A2372" t="str">
        <f t="shared" ca="1" si="74"/>
        <v/>
      </c>
      <c r="B2372">
        <f t="shared" ca="1" si="75"/>
        <v>0</v>
      </c>
    </row>
    <row r="2373" spans="1:2">
      <c r="A2373" t="str">
        <f t="shared" ca="1" si="74"/>
        <v/>
      </c>
      <c r="B2373">
        <f t="shared" ca="1" si="75"/>
        <v>0</v>
      </c>
    </row>
    <row r="2374" spans="1:2">
      <c r="A2374" t="str">
        <f t="shared" ca="1" si="74"/>
        <v/>
      </c>
      <c r="B2374">
        <f t="shared" ca="1" si="75"/>
        <v>0</v>
      </c>
    </row>
    <row r="2375" spans="1:2">
      <c r="A2375" t="str">
        <f t="shared" ca="1" si="74"/>
        <v/>
      </c>
      <c r="B2375">
        <f t="shared" ca="1" si="75"/>
        <v>0</v>
      </c>
    </row>
    <row r="2376" spans="1:2">
      <c r="A2376" t="str">
        <f t="shared" ca="1" si="74"/>
        <v/>
      </c>
      <c r="B2376">
        <f t="shared" ca="1" si="75"/>
        <v>0</v>
      </c>
    </row>
    <row r="2377" spans="1:2">
      <c r="A2377" t="str">
        <f t="shared" ca="1" si="74"/>
        <v/>
      </c>
      <c r="B2377">
        <f t="shared" ca="1" si="75"/>
        <v>0</v>
      </c>
    </row>
    <row r="2378" spans="1:2">
      <c r="A2378" t="str">
        <f t="shared" ca="1" si="74"/>
        <v/>
      </c>
      <c r="B2378">
        <f t="shared" ca="1" si="75"/>
        <v>0</v>
      </c>
    </row>
    <row r="2379" spans="1:2">
      <c r="A2379" t="str">
        <f t="shared" ca="1" si="74"/>
        <v/>
      </c>
      <c r="B2379">
        <f t="shared" ca="1" si="75"/>
        <v>0</v>
      </c>
    </row>
    <row r="2380" spans="1:2">
      <c r="A2380" t="str">
        <f t="shared" ca="1" si="74"/>
        <v/>
      </c>
      <c r="B2380">
        <f t="shared" ca="1" si="75"/>
        <v>0</v>
      </c>
    </row>
    <row r="2381" spans="1:2">
      <c r="A2381" t="str">
        <f t="shared" ca="1" si="74"/>
        <v/>
      </c>
      <c r="B2381">
        <f t="shared" ca="1" si="75"/>
        <v>0</v>
      </c>
    </row>
    <row r="2382" spans="1:2">
      <c r="A2382" t="str">
        <f t="shared" ca="1" si="74"/>
        <v/>
      </c>
      <c r="B2382">
        <f t="shared" ca="1" si="75"/>
        <v>0</v>
      </c>
    </row>
    <row r="2383" spans="1:2">
      <c r="A2383" t="str">
        <f t="shared" ca="1" si="74"/>
        <v/>
      </c>
      <c r="B2383">
        <f t="shared" ca="1" si="75"/>
        <v>0</v>
      </c>
    </row>
    <row r="2384" spans="1:2">
      <c r="A2384" t="str">
        <f t="shared" ca="1" si="74"/>
        <v/>
      </c>
      <c r="B2384">
        <f t="shared" ca="1" si="75"/>
        <v>0</v>
      </c>
    </row>
    <row r="2385" spans="1:2">
      <c r="A2385" t="str">
        <f t="shared" ca="1" si="74"/>
        <v/>
      </c>
      <c r="B2385">
        <f t="shared" ca="1" si="75"/>
        <v>0</v>
      </c>
    </row>
    <row r="2386" spans="1:2">
      <c r="A2386" t="str">
        <f t="shared" ca="1" si="74"/>
        <v/>
      </c>
      <c r="B2386">
        <f t="shared" ca="1" si="75"/>
        <v>0</v>
      </c>
    </row>
    <row r="2387" spans="1:2">
      <c r="A2387" t="str">
        <f t="shared" ca="1" si="74"/>
        <v/>
      </c>
      <c r="B2387">
        <f t="shared" ca="1" si="75"/>
        <v>0</v>
      </c>
    </row>
    <row r="2388" spans="1:2">
      <c r="A2388" t="str">
        <f t="shared" ca="1" si="74"/>
        <v/>
      </c>
      <c r="B2388">
        <f t="shared" ca="1" si="75"/>
        <v>0</v>
      </c>
    </row>
    <row r="2389" spans="1:2">
      <c r="A2389" t="str">
        <f t="shared" ca="1" si="74"/>
        <v/>
      </c>
      <c r="B2389">
        <f t="shared" ca="1" si="75"/>
        <v>0</v>
      </c>
    </row>
    <row r="2390" spans="1:2">
      <c r="A2390" t="str">
        <f t="shared" ca="1" si="74"/>
        <v/>
      </c>
      <c r="B2390">
        <f t="shared" ca="1" si="75"/>
        <v>0</v>
      </c>
    </row>
    <row r="2391" spans="1:2">
      <c r="A2391" t="str">
        <f t="shared" ca="1" si="74"/>
        <v/>
      </c>
      <c r="B2391">
        <f t="shared" ca="1" si="75"/>
        <v>0</v>
      </c>
    </row>
    <row r="2392" spans="1:2">
      <c r="A2392" t="str">
        <f t="shared" ca="1" si="74"/>
        <v/>
      </c>
      <c r="B2392">
        <f t="shared" ca="1" si="75"/>
        <v>0</v>
      </c>
    </row>
    <row r="2393" spans="1:2">
      <c r="A2393" t="str">
        <f t="shared" ca="1" si="74"/>
        <v/>
      </c>
      <c r="B2393">
        <f t="shared" ca="1" si="75"/>
        <v>0</v>
      </c>
    </row>
    <row r="2394" spans="1:2">
      <c r="A2394" t="str">
        <f t="shared" ca="1" si="74"/>
        <v/>
      </c>
      <c r="B2394">
        <f t="shared" ca="1" si="75"/>
        <v>0</v>
      </c>
    </row>
    <row r="2395" spans="1:2">
      <c r="A2395" t="str">
        <f t="shared" ca="1" si="74"/>
        <v/>
      </c>
      <c r="B2395">
        <f t="shared" ca="1" si="75"/>
        <v>0</v>
      </c>
    </row>
    <row r="2396" spans="1:2">
      <c r="A2396" t="str">
        <f t="shared" ca="1" si="74"/>
        <v/>
      </c>
      <c r="B2396">
        <f t="shared" ca="1" si="75"/>
        <v>0</v>
      </c>
    </row>
    <row r="2397" spans="1:2">
      <c r="A2397" t="str">
        <f t="shared" ca="1" si="74"/>
        <v/>
      </c>
      <c r="B2397">
        <f t="shared" ca="1" si="75"/>
        <v>0</v>
      </c>
    </row>
    <row r="2398" spans="1:2">
      <c r="A2398" t="str">
        <f t="shared" ca="1" si="74"/>
        <v/>
      </c>
      <c r="B2398">
        <f t="shared" ca="1" si="75"/>
        <v>0</v>
      </c>
    </row>
    <row r="2399" spans="1:2">
      <c r="A2399" t="str">
        <f t="shared" ca="1" si="74"/>
        <v/>
      </c>
      <c r="B2399">
        <f t="shared" ca="1" si="75"/>
        <v>0</v>
      </c>
    </row>
    <row r="2400" spans="1:2">
      <c r="A2400" t="str">
        <f t="shared" ca="1" si="74"/>
        <v/>
      </c>
      <c r="B2400">
        <f t="shared" ca="1" si="75"/>
        <v>0</v>
      </c>
    </row>
    <row r="2401" spans="1:2">
      <c r="A2401" t="str">
        <f t="shared" ca="1" si="74"/>
        <v/>
      </c>
      <c r="B2401">
        <f t="shared" ca="1" si="75"/>
        <v>0</v>
      </c>
    </row>
    <row r="2402" spans="1:2">
      <c r="A2402" t="str">
        <f t="shared" ca="1" si="74"/>
        <v/>
      </c>
      <c r="B2402">
        <f t="shared" ca="1" si="75"/>
        <v>0</v>
      </c>
    </row>
    <row r="2403" spans="1:2">
      <c r="A2403" t="str">
        <f t="shared" ca="1" si="74"/>
        <v/>
      </c>
      <c r="B2403">
        <f t="shared" ca="1" si="75"/>
        <v>0</v>
      </c>
    </row>
    <row r="2404" spans="1:2">
      <c r="A2404" t="str">
        <f t="shared" ca="1" si="74"/>
        <v/>
      </c>
      <c r="B2404">
        <f t="shared" ca="1" si="75"/>
        <v>0</v>
      </c>
    </row>
    <row r="2405" spans="1:2">
      <c r="A2405" t="str">
        <f t="shared" ca="1" si="74"/>
        <v/>
      </c>
      <c r="B2405">
        <f t="shared" ca="1" si="75"/>
        <v>0</v>
      </c>
    </row>
    <row r="2406" spans="1:2">
      <c r="A2406" t="str">
        <f t="shared" ca="1" si="74"/>
        <v/>
      </c>
      <c r="B2406">
        <f t="shared" ca="1" si="75"/>
        <v>0</v>
      </c>
    </row>
    <row r="2407" spans="1:2">
      <c r="A2407" t="str">
        <f t="shared" ca="1" si="74"/>
        <v/>
      </c>
      <c r="B2407">
        <f t="shared" ca="1" si="75"/>
        <v>0</v>
      </c>
    </row>
    <row r="2408" spans="1:2">
      <c r="A2408" t="str">
        <f t="shared" ca="1" si="74"/>
        <v/>
      </c>
      <c r="B2408">
        <f t="shared" ca="1" si="75"/>
        <v>0</v>
      </c>
    </row>
    <row r="2409" spans="1:2">
      <c r="A2409" t="str">
        <f t="shared" ca="1" si="74"/>
        <v/>
      </c>
      <c r="B2409">
        <f t="shared" ca="1" si="75"/>
        <v>0</v>
      </c>
    </row>
    <row r="2410" spans="1:2">
      <c r="A2410" t="str">
        <f t="shared" ca="1" si="74"/>
        <v/>
      </c>
      <c r="B2410">
        <f t="shared" ca="1" si="75"/>
        <v>0</v>
      </c>
    </row>
    <row r="2411" spans="1:2">
      <c r="A2411" t="str">
        <f t="shared" ca="1" si="74"/>
        <v/>
      </c>
      <c r="B2411">
        <f t="shared" ca="1" si="75"/>
        <v>0</v>
      </c>
    </row>
    <row r="2412" spans="1:2">
      <c r="A2412" t="str">
        <f t="shared" ca="1" si="74"/>
        <v/>
      </c>
      <c r="B2412">
        <f t="shared" ca="1" si="75"/>
        <v>0</v>
      </c>
    </row>
    <row r="2413" spans="1:2">
      <c r="A2413" t="str">
        <f t="shared" ca="1" si="74"/>
        <v/>
      </c>
      <c r="B2413">
        <f t="shared" ca="1" si="75"/>
        <v>0</v>
      </c>
    </row>
    <row r="2414" spans="1:2">
      <c r="A2414" t="str">
        <f t="shared" ca="1" si="74"/>
        <v/>
      </c>
      <c r="B2414">
        <f t="shared" ca="1" si="75"/>
        <v>0</v>
      </c>
    </row>
    <row r="2415" spans="1:2">
      <c r="A2415" t="str">
        <f t="shared" ca="1" si="74"/>
        <v/>
      </c>
      <c r="B2415">
        <f t="shared" ca="1" si="75"/>
        <v>0</v>
      </c>
    </row>
    <row r="2416" spans="1:2">
      <c r="A2416" t="str">
        <f t="shared" ca="1" si="74"/>
        <v/>
      </c>
      <c r="B2416">
        <f t="shared" ca="1" si="75"/>
        <v>0</v>
      </c>
    </row>
    <row r="2417" spans="1:2">
      <c r="A2417" t="str">
        <f t="shared" ca="1" si="74"/>
        <v/>
      </c>
      <c r="B2417">
        <f t="shared" ca="1" si="75"/>
        <v>0</v>
      </c>
    </row>
    <row r="2418" spans="1:2">
      <c r="A2418" t="str">
        <f t="shared" ca="1" si="74"/>
        <v/>
      </c>
      <c r="B2418">
        <f t="shared" ca="1" si="75"/>
        <v>0</v>
      </c>
    </row>
    <row r="2419" spans="1:2">
      <c r="A2419" t="str">
        <f t="shared" ca="1" si="74"/>
        <v/>
      </c>
      <c r="B2419">
        <f t="shared" ca="1" si="75"/>
        <v>0</v>
      </c>
    </row>
    <row r="2420" spans="1:2">
      <c r="A2420" t="str">
        <f t="shared" ca="1" si="74"/>
        <v/>
      </c>
      <c r="B2420">
        <f t="shared" ca="1" si="75"/>
        <v>0</v>
      </c>
    </row>
    <row r="2421" spans="1:2">
      <c r="A2421" t="str">
        <f t="shared" ca="1" si="74"/>
        <v/>
      </c>
      <c r="B2421">
        <f t="shared" ca="1" si="75"/>
        <v>0</v>
      </c>
    </row>
    <row r="2422" spans="1:2">
      <c r="A2422" t="str">
        <f t="shared" ca="1" si="74"/>
        <v/>
      </c>
      <c r="B2422">
        <f t="shared" ca="1" si="75"/>
        <v>0</v>
      </c>
    </row>
    <row r="2423" spans="1:2">
      <c r="A2423" t="str">
        <f t="shared" ca="1" si="74"/>
        <v/>
      </c>
      <c r="B2423">
        <f t="shared" ca="1" si="75"/>
        <v>0</v>
      </c>
    </row>
    <row r="2424" spans="1:2">
      <c r="A2424" t="str">
        <f t="shared" ca="1" si="74"/>
        <v/>
      </c>
      <c r="B2424">
        <f t="shared" ca="1" si="75"/>
        <v>0</v>
      </c>
    </row>
    <row r="2425" spans="1:2">
      <c r="A2425" t="str">
        <f t="shared" ca="1" si="74"/>
        <v/>
      </c>
      <c r="B2425">
        <f t="shared" ca="1" si="75"/>
        <v>0</v>
      </c>
    </row>
    <row r="2426" spans="1:2">
      <c r="A2426" t="str">
        <f t="shared" ca="1" si="74"/>
        <v/>
      </c>
      <c r="B2426">
        <f t="shared" ca="1" si="75"/>
        <v>0</v>
      </c>
    </row>
    <row r="2427" spans="1:2">
      <c r="A2427" t="str">
        <f t="shared" ca="1" si="74"/>
        <v/>
      </c>
      <c r="B2427">
        <f t="shared" ca="1" si="75"/>
        <v>0</v>
      </c>
    </row>
    <row r="2428" spans="1:2">
      <c r="A2428" t="str">
        <f t="shared" ca="1" si="74"/>
        <v/>
      </c>
      <c r="B2428">
        <f t="shared" ca="1" si="75"/>
        <v>0</v>
      </c>
    </row>
    <row r="2429" spans="1:2">
      <c r="A2429" t="str">
        <f t="shared" ca="1" si="74"/>
        <v/>
      </c>
      <c r="B2429">
        <f t="shared" ca="1" si="75"/>
        <v>0</v>
      </c>
    </row>
    <row r="2430" spans="1:2">
      <c r="A2430" t="str">
        <f t="shared" ca="1" si="74"/>
        <v/>
      </c>
      <c r="B2430">
        <f t="shared" ca="1" si="75"/>
        <v>0</v>
      </c>
    </row>
    <row r="2431" spans="1:2">
      <c r="A2431" t="str">
        <f t="shared" ca="1" si="74"/>
        <v/>
      </c>
      <c r="B2431">
        <f t="shared" ca="1" si="75"/>
        <v>0</v>
      </c>
    </row>
    <row r="2432" spans="1:2">
      <c r="A2432" t="str">
        <f t="shared" ca="1" si="74"/>
        <v/>
      </c>
      <c r="B2432">
        <f t="shared" ca="1" si="75"/>
        <v>0</v>
      </c>
    </row>
    <row r="2433" spans="1:2">
      <c r="A2433" t="str">
        <f t="shared" ca="1" si="74"/>
        <v/>
      </c>
      <c r="B2433">
        <f t="shared" ca="1" si="75"/>
        <v>0</v>
      </c>
    </row>
    <row r="2434" spans="1:2">
      <c r="A2434" t="str">
        <f t="shared" ref="A2434:A2497" ca="1" si="76">CONCATENATE(INDIRECT(ADDRESS(ROW(),3)))</f>
        <v/>
      </c>
      <c r="B2434">
        <f t="shared" ref="B2434:B2497" ca="1" si="77">IF(IF(INDIRECT(ADDRESS(ROW(),1))&lt;&gt;"",IF(ISNA(MATCH(LEFT(INDIRECT(ADDRESS(ROW(),1)),2),PCNG_MN,0))=TRUE,1,0),0)+IF(INDIRECT(ADDRESS(ROW(),1))&lt;&gt;"",IF(ISNA(MATCH(LEFT(INDIRECT(ADDRESS(ROW(),1)),3),PCNG_MN,0))=TRUE,1,0),0)+IF(INDIRECT(ADDRESS(ROW(),1))&lt;&gt;"",IF(ISNA(MATCH(LEFT(INDIRECT(ADDRESS(ROW(),1)),4),PCNG_MN,0))=TRUE,1,0),0)&gt;=3,1,0)</f>
        <v>0</v>
      </c>
    </row>
    <row r="2435" spans="1:2">
      <c r="A2435" t="str">
        <f t="shared" ca="1" si="76"/>
        <v/>
      </c>
      <c r="B2435">
        <f t="shared" ca="1" si="77"/>
        <v>0</v>
      </c>
    </row>
    <row r="2436" spans="1:2">
      <c r="A2436" t="str">
        <f t="shared" ca="1" si="76"/>
        <v/>
      </c>
      <c r="B2436">
        <f t="shared" ca="1" si="77"/>
        <v>0</v>
      </c>
    </row>
    <row r="2437" spans="1:2">
      <c r="A2437" t="str">
        <f t="shared" ca="1" si="76"/>
        <v/>
      </c>
      <c r="B2437">
        <f t="shared" ca="1" si="77"/>
        <v>0</v>
      </c>
    </row>
    <row r="2438" spans="1:2">
      <c r="A2438" t="str">
        <f t="shared" ca="1" si="76"/>
        <v/>
      </c>
      <c r="B2438">
        <f t="shared" ca="1" si="77"/>
        <v>0</v>
      </c>
    </row>
    <row r="2439" spans="1:2">
      <c r="A2439" t="str">
        <f t="shared" ca="1" si="76"/>
        <v/>
      </c>
      <c r="B2439">
        <f t="shared" ca="1" si="77"/>
        <v>0</v>
      </c>
    </row>
    <row r="2440" spans="1:2">
      <c r="A2440" t="str">
        <f t="shared" ca="1" si="76"/>
        <v/>
      </c>
      <c r="B2440">
        <f t="shared" ca="1" si="77"/>
        <v>0</v>
      </c>
    </row>
    <row r="2441" spans="1:2">
      <c r="A2441" t="str">
        <f t="shared" ca="1" si="76"/>
        <v/>
      </c>
      <c r="B2441">
        <f t="shared" ca="1" si="77"/>
        <v>0</v>
      </c>
    </row>
    <row r="2442" spans="1:2">
      <c r="A2442" t="str">
        <f t="shared" ca="1" si="76"/>
        <v/>
      </c>
      <c r="B2442">
        <f t="shared" ca="1" si="77"/>
        <v>0</v>
      </c>
    </row>
    <row r="2443" spans="1:2">
      <c r="A2443" t="str">
        <f t="shared" ca="1" si="76"/>
        <v/>
      </c>
      <c r="B2443">
        <f t="shared" ca="1" si="77"/>
        <v>0</v>
      </c>
    </row>
    <row r="2444" spans="1:2">
      <c r="A2444" t="str">
        <f t="shared" ca="1" si="76"/>
        <v/>
      </c>
      <c r="B2444">
        <f t="shared" ca="1" si="77"/>
        <v>0</v>
      </c>
    </row>
    <row r="2445" spans="1:2">
      <c r="A2445" t="str">
        <f t="shared" ca="1" si="76"/>
        <v/>
      </c>
      <c r="B2445">
        <f t="shared" ca="1" si="77"/>
        <v>0</v>
      </c>
    </row>
    <row r="2446" spans="1:2">
      <c r="A2446" t="str">
        <f t="shared" ca="1" si="76"/>
        <v/>
      </c>
      <c r="B2446">
        <f t="shared" ca="1" si="77"/>
        <v>0</v>
      </c>
    </row>
    <row r="2447" spans="1:2">
      <c r="A2447" t="str">
        <f t="shared" ca="1" si="76"/>
        <v/>
      </c>
      <c r="B2447">
        <f t="shared" ca="1" si="77"/>
        <v>0</v>
      </c>
    </row>
    <row r="2448" spans="1:2">
      <c r="A2448" t="str">
        <f t="shared" ca="1" si="76"/>
        <v/>
      </c>
      <c r="B2448">
        <f t="shared" ca="1" si="77"/>
        <v>0</v>
      </c>
    </row>
    <row r="2449" spans="1:2">
      <c r="A2449" t="str">
        <f t="shared" ca="1" si="76"/>
        <v/>
      </c>
      <c r="B2449">
        <f t="shared" ca="1" si="77"/>
        <v>0</v>
      </c>
    </row>
    <row r="2450" spans="1:2">
      <c r="A2450" t="str">
        <f t="shared" ca="1" si="76"/>
        <v/>
      </c>
      <c r="B2450">
        <f t="shared" ca="1" si="77"/>
        <v>0</v>
      </c>
    </row>
    <row r="2451" spans="1:2">
      <c r="A2451" t="str">
        <f t="shared" ca="1" si="76"/>
        <v/>
      </c>
      <c r="B2451">
        <f t="shared" ca="1" si="77"/>
        <v>0</v>
      </c>
    </row>
    <row r="2452" spans="1:2">
      <c r="A2452" t="str">
        <f t="shared" ca="1" si="76"/>
        <v/>
      </c>
      <c r="B2452">
        <f t="shared" ca="1" si="77"/>
        <v>0</v>
      </c>
    </row>
    <row r="2453" spans="1:2">
      <c r="A2453" t="str">
        <f t="shared" ca="1" si="76"/>
        <v/>
      </c>
      <c r="B2453">
        <f t="shared" ca="1" si="77"/>
        <v>0</v>
      </c>
    </row>
    <row r="2454" spans="1:2">
      <c r="A2454" t="str">
        <f t="shared" ca="1" si="76"/>
        <v/>
      </c>
      <c r="B2454">
        <f t="shared" ca="1" si="77"/>
        <v>0</v>
      </c>
    </row>
    <row r="2455" spans="1:2">
      <c r="A2455" t="str">
        <f t="shared" ca="1" si="76"/>
        <v/>
      </c>
      <c r="B2455">
        <f t="shared" ca="1" si="77"/>
        <v>0</v>
      </c>
    </row>
    <row r="2456" spans="1:2">
      <c r="A2456" t="str">
        <f t="shared" ca="1" si="76"/>
        <v/>
      </c>
      <c r="B2456">
        <f t="shared" ca="1" si="77"/>
        <v>0</v>
      </c>
    </row>
    <row r="2457" spans="1:2">
      <c r="A2457" t="str">
        <f t="shared" ca="1" si="76"/>
        <v/>
      </c>
      <c r="B2457">
        <f t="shared" ca="1" si="77"/>
        <v>0</v>
      </c>
    </row>
    <row r="2458" spans="1:2">
      <c r="A2458" t="str">
        <f t="shared" ca="1" si="76"/>
        <v/>
      </c>
      <c r="B2458">
        <f t="shared" ca="1" si="77"/>
        <v>0</v>
      </c>
    </row>
    <row r="2459" spans="1:2">
      <c r="A2459" t="str">
        <f t="shared" ca="1" si="76"/>
        <v/>
      </c>
      <c r="B2459">
        <f t="shared" ca="1" si="77"/>
        <v>0</v>
      </c>
    </row>
    <row r="2460" spans="1:2">
      <c r="A2460" t="str">
        <f t="shared" ca="1" si="76"/>
        <v/>
      </c>
      <c r="B2460">
        <f t="shared" ca="1" si="77"/>
        <v>0</v>
      </c>
    </row>
    <row r="2461" spans="1:2">
      <c r="A2461" t="str">
        <f t="shared" ca="1" si="76"/>
        <v/>
      </c>
      <c r="B2461">
        <f t="shared" ca="1" si="77"/>
        <v>0</v>
      </c>
    </row>
    <row r="2462" spans="1:2">
      <c r="A2462" t="str">
        <f t="shared" ca="1" si="76"/>
        <v/>
      </c>
      <c r="B2462">
        <f t="shared" ca="1" si="77"/>
        <v>0</v>
      </c>
    </row>
    <row r="2463" spans="1:2">
      <c r="A2463" t="str">
        <f t="shared" ca="1" si="76"/>
        <v/>
      </c>
      <c r="B2463">
        <f t="shared" ca="1" si="77"/>
        <v>0</v>
      </c>
    </row>
    <row r="2464" spans="1:2">
      <c r="A2464" t="str">
        <f t="shared" ca="1" si="76"/>
        <v/>
      </c>
      <c r="B2464">
        <f t="shared" ca="1" si="77"/>
        <v>0</v>
      </c>
    </row>
    <row r="2465" spans="1:2">
      <c r="A2465" t="str">
        <f t="shared" ca="1" si="76"/>
        <v/>
      </c>
      <c r="B2465">
        <f t="shared" ca="1" si="77"/>
        <v>0</v>
      </c>
    </row>
    <row r="2466" spans="1:2">
      <c r="A2466" t="str">
        <f t="shared" ca="1" si="76"/>
        <v/>
      </c>
      <c r="B2466">
        <f t="shared" ca="1" si="77"/>
        <v>0</v>
      </c>
    </row>
    <row r="2467" spans="1:2">
      <c r="A2467" t="str">
        <f t="shared" ca="1" si="76"/>
        <v/>
      </c>
      <c r="B2467">
        <f t="shared" ca="1" si="77"/>
        <v>0</v>
      </c>
    </row>
    <row r="2468" spans="1:2">
      <c r="A2468" t="str">
        <f t="shared" ca="1" si="76"/>
        <v/>
      </c>
      <c r="B2468">
        <f t="shared" ca="1" si="77"/>
        <v>0</v>
      </c>
    </row>
    <row r="2469" spans="1:2">
      <c r="A2469" t="str">
        <f t="shared" ca="1" si="76"/>
        <v/>
      </c>
      <c r="B2469">
        <f t="shared" ca="1" si="77"/>
        <v>0</v>
      </c>
    </row>
    <row r="2470" spans="1:2">
      <c r="A2470" t="str">
        <f t="shared" ca="1" si="76"/>
        <v/>
      </c>
      <c r="B2470">
        <f t="shared" ca="1" si="77"/>
        <v>0</v>
      </c>
    </row>
    <row r="2471" spans="1:2">
      <c r="A2471" t="str">
        <f t="shared" ca="1" si="76"/>
        <v/>
      </c>
      <c r="B2471">
        <f t="shared" ca="1" si="77"/>
        <v>0</v>
      </c>
    </row>
    <row r="2472" spans="1:2">
      <c r="A2472" t="str">
        <f t="shared" ca="1" si="76"/>
        <v/>
      </c>
      <c r="B2472">
        <f t="shared" ca="1" si="77"/>
        <v>0</v>
      </c>
    </row>
    <row r="2473" spans="1:2">
      <c r="A2473" t="str">
        <f t="shared" ca="1" si="76"/>
        <v/>
      </c>
      <c r="B2473">
        <f t="shared" ca="1" si="77"/>
        <v>0</v>
      </c>
    </row>
    <row r="2474" spans="1:2">
      <c r="A2474" t="str">
        <f t="shared" ca="1" si="76"/>
        <v/>
      </c>
      <c r="B2474">
        <f t="shared" ca="1" si="77"/>
        <v>0</v>
      </c>
    </row>
    <row r="2475" spans="1:2">
      <c r="A2475" t="str">
        <f t="shared" ca="1" si="76"/>
        <v/>
      </c>
      <c r="B2475">
        <f t="shared" ca="1" si="77"/>
        <v>0</v>
      </c>
    </row>
    <row r="2476" spans="1:2">
      <c r="A2476" t="str">
        <f t="shared" ca="1" si="76"/>
        <v/>
      </c>
      <c r="B2476">
        <f t="shared" ca="1" si="77"/>
        <v>0</v>
      </c>
    </row>
    <row r="2477" spans="1:2">
      <c r="A2477" t="str">
        <f t="shared" ca="1" si="76"/>
        <v/>
      </c>
      <c r="B2477">
        <f t="shared" ca="1" si="77"/>
        <v>0</v>
      </c>
    </row>
    <row r="2478" spans="1:2">
      <c r="A2478" t="str">
        <f t="shared" ca="1" si="76"/>
        <v/>
      </c>
      <c r="B2478">
        <f t="shared" ca="1" si="77"/>
        <v>0</v>
      </c>
    </row>
    <row r="2479" spans="1:2">
      <c r="A2479" t="str">
        <f t="shared" ca="1" si="76"/>
        <v/>
      </c>
      <c r="B2479">
        <f t="shared" ca="1" si="77"/>
        <v>0</v>
      </c>
    </row>
    <row r="2480" spans="1:2">
      <c r="A2480" t="str">
        <f t="shared" ca="1" si="76"/>
        <v/>
      </c>
      <c r="B2480">
        <f t="shared" ca="1" si="77"/>
        <v>0</v>
      </c>
    </row>
    <row r="2481" spans="1:2">
      <c r="A2481" t="str">
        <f t="shared" ca="1" si="76"/>
        <v/>
      </c>
      <c r="B2481">
        <f t="shared" ca="1" si="77"/>
        <v>0</v>
      </c>
    </row>
    <row r="2482" spans="1:2">
      <c r="A2482" t="str">
        <f t="shared" ca="1" si="76"/>
        <v/>
      </c>
      <c r="B2482">
        <f t="shared" ca="1" si="77"/>
        <v>0</v>
      </c>
    </row>
    <row r="2483" spans="1:2">
      <c r="A2483" t="str">
        <f t="shared" ca="1" si="76"/>
        <v/>
      </c>
      <c r="B2483">
        <f t="shared" ca="1" si="77"/>
        <v>0</v>
      </c>
    </row>
    <row r="2484" spans="1:2">
      <c r="A2484" t="str">
        <f t="shared" ca="1" si="76"/>
        <v/>
      </c>
      <c r="B2484">
        <f t="shared" ca="1" si="77"/>
        <v>0</v>
      </c>
    </row>
    <row r="2485" spans="1:2">
      <c r="A2485" t="str">
        <f t="shared" ca="1" si="76"/>
        <v/>
      </c>
      <c r="B2485">
        <f t="shared" ca="1" si="77"/>
        <v>0</v>
      </c>
    </row>
    <row r="2486" spans="1:2">
      <c r="A2486" t="str">
        <f t="shared" ca="1" si="76"/>
        <v/>
      </c>
      <c r="B2486">
        <f t="shared" ca="1" si="77"/>
        <v>0</v>
      </c>
    </row>
    <row r="2487" spans="1:2">
      <c r="A2487" t="str">
        <f t="shared" ca="1" si="76"/>
        <v/>
      </c>
      <c r="B2487">
        <f t="shared" ca="1" si="77"/>
        <v>0</v>
      </c>
    </row>
    <row r="2488" spans="1:2">
      <c r="A2488" t="str">
        <f t="shared" ca="1" si="76"/>
        <v/>
      </c>
      <c r="B2488">
        <f t="shared" ca="1" si="77"/>
        <v>0</v>
      </c>
    </row>
    <row r="2489" spans="1:2">
      <c r="A2489" t="str">
        <f t="shared" ca="1" si="76"/>
        <v/>
      </c>
      <c r="B2489">
        <f t="shared" ca="1" si="77"/>
        <v>0</v>
      </c>
    </row>
    <row r="2490" spans="1:2">
      <c r="A2490" t="str">
        <f t="shared" ca="1" si="76"/>
        <v/>
      </c>
      <c r="B2490">
        <f t="shared" ca="1" si="77"/>
        <v>0</v>
      </c>
    </row>
    <row r="2491" spans="1:2">
      <c r="A2491" t="str">
        <f t="shared" ca="1" si="76"/>
        <v/>
      </c>
      <c r="B2491">
        <f t="shared" ca="1" si="77"/>
        <v>0</v>
      </c>
    </row>
    <row r="2492" spans="1:2">
      <c r="A2492" t="str">
        <f t="shared" ca="1" si="76"/>
        <v/>
      </c>
      <c r="B2492">
        <f t="shared" ca="1" si="77"/>
        <v>0</v>
      </c>
    </row>
    <row r="2493" spans="1:2">
      <c r="A2493" t="str">
        <f t="shared" ca="1" si="76"/>
        <v/>
      </c>
      <c r="B2493">
        <f t="shared" ca="1" si="77"/>
        <v>0</v>
      </c>
    </row>
    <row r="2494" spans="1:2">
      <c r="A2494" t="str">
        <f t="shared" ca="1" si="76"/>
        <v/>
      </c>
      <c r="B2494">
        <f t="shared" ca="1" si="77"/>
        <v>0</v>
      </c>
    </row>
    <row r="2495" spans="1:2">
      <c r="A2495" t="str">
        <f t="shared" ca="1" si="76"/>
        <v/>
      </c>
      <c r="B2495">
        <f t="shared" ca="1" si="77"/>
        <v>0</v>
      </c>
    </row>
    <row r="2496" spans="1:2">
      <c r="A2496" t="str">
        <f t="shared" ca="1" si="76"/>
        <v/>
      </c>
      <c r="B2496">
        <f t="shared" ca="1" si="77"/>
        <v>0</v>
      </c>
    </row>
    <row r="2497" spans="1:2">
      <c r="A2497" t="str">
        <f t="shared" ca="1" si="76"/>
        <v/>
      </c>
      <c r="B2497">
        <f t="shared" ca="1" si="77"/>
        <v>0</v>
      </c>
    </row>
    <row r="2498" spans="1:2">
      <c r="A2498" t="str">
        <f t="shared" ref="A2498:A2561" ca="1" si="78">CONCATENATE(INDIRECT(ADDRESS(ROW(),3)))</f>
        <v/>
      </c>
      <c r="B2498">
        <f t="shared" ref="B2498:B2561" ca="1" si="79">IF(IF(INDIRECT(ADDRESS(ROW(),1))&lt;&gt;"",IF(ISNA(MATCH(LEFT(INDIRECT(ADDRESS(ROW(),1)),2),PCNG_MN,0))=TRUE,1,0),0)+IF(INDIRECT(ADDRESS(ROW(),1))&lt;&gt;"",IF(ISNA(MATCH(LEFT(INDIRECT(ADDRESS(ROW(),1)),3),PCNG_MN,0))=TRUE,1,0),0)+IF(INDIRECT(ADDRESS(ROW(),1))&lt;&gt;"",IF(ISNA(MATCH(LEFT(INDIRECT(ADDRESS(ROW(),1)),4),PCNG_MN,0))=TRUE,1,0),0)&gt;=3,1,0)</f>
        <v>0</v>
      </c>
    </row>
    <row r="2499" spans="1:2">
      <c r="A2499" t="str">
        <f t="shared" ca="1" si="78"/>
        <v/>
      </c>
      <c r="B2499">
        <f t="shared" ca="1" si="79"/>
        <v>0</v>
      </c>
    </row>
    <row r="2500" spans="1:2">
      <c r="A2500" t="str">
        <f t="shared" ca="1" si="78"/>
        <v/>
      </c>
      <c r="B2500">
        <f t="shared" ca="1" si="79"/>
        <v>0</v>
      </c>
    </row>
    <row r="2501" spans="1:2">
      <c r="A2501" t="str">
        <f t="shared" ca="1" si="78"/>
        <v/>
      </c>
      <c r="B2501">
        <f t="shared" ca="1" si="79"/>
        <v>0</v>
      </c>
    </row>
    <row r="2502" spans="1:2">
      <c r="A2502" t="str">
        <f t="shared" ca="1" si="78"/>
        <v/>
      </c>
      <c r="B2502">
        <f t="shared" ca="1" si="79"/>
        <v>0</v>
      </c>
    </row>
    <row r="2503" spans="1:2">
      <c r="A2503" t="str">
        <f t="shared" ca="1" si="78"/>
        <v/>
      </c>
      <c r="B2503">
        <f t="shared" ca="1" si="79"/>
        <v>0</v>
      </c>
    </row>
    <row r="2504" spans="1:2">
      <c r="A2504" t="str">
        <f t="shared" ca="1" si="78"/>
        <v/>
      </c>
      <c r="B2504">
        <f t="shared" ca="1" si="79"/>
        <v>0</v>
      </c>
    </row>
    <row r="2505" spans="1:2">
      <c r="A2505" t="str">
        <f t="shared" ca="1" si="78"/>
        <v/>
      </c>
      <c r="B2505">
        <f t="shared" ca="1" si="79"/>
        <v>0</v>
      </c>
    </row>
    <row r="2506" spans="1:2">
      <c r="A2506" t="str">
        <f t="shared" ca="1" si="78"/>
        <v/>
      </c>
      <c r="B2506">
        <f t="shared" ca="1" si="79"/>
        <v>0</v>
      </c>
    </row>
    <row r="2507" spans="1:2">
      <c r="A2507" t="str">
        <f t="shared" ca="1" si="78"/>
        <v/>
      </c>
      <c r="B2507">
        <f t="shared" ca="1" si="79"/>
        <v>0</v>
      </c>
    </row>
    <row r="2508" spans="1:2">
      <c r="A2508" t="str">
        <f t="shared" ca="1" si="78"/>
        <v/>
      </c>
      <c r="B2508">
        <f t="shared" ca="1" si="79"/>
        <v>0</v>
      </c>
    </row>
    <row r="2509" spans="1:2">
      <c r="A2509" t="str">
        <f t="shared" ca="1" si="78"/>
        <v/>
      </c>
      <c r="B2509">
        <f t="shared" ca="1" si="79"/>
        <v>0</v>
      </c>
    </row>
    <row r="2510" spans="1:2">
      <c r="A2510" t="str">
        <f t="shared" ca="1" si="78"/>
        <v/>
      </c>
      <c r="B2510">
        <f t="shared" ca="1" si="79"/>
        <v>0</v>
      </c>
    </row>
    <row r="2511" spans="1:2">
      <c r="A2511" t="str">
        <f t="shared" ca="1" si="78"/>
        <v/>
      </c>
      <c r="B2511">
        <f t="shared" ca="1" si="79"/>
        <v>0</v>
      </c>
    </row>
    <row r="2512" spans="1:2">
      <c r="A2512" t="str">
        <f t="shared" ca="1" si="78"/>
        <v/>
      </c>
      <c r="B2512">
        <f t="shared" ca="1" si="79"/>
        <v>0</v>
      </c>
    </row>
    <row r="2513" spans="1:2">
      <c r="A2513" t="str">
        <f t="shared" ca="1" si="78"/>
        <v/>
      </c>
      <c r="B2513">
        <f t="shared" ca="1" si="79"/>
        <v>0</v>
      </c>
    </row>
    <row r="2514" spans="1:2">
      <c r="A2514" t="str">
        <f t="shared" ca="1" si="78"/>
        <v/>
      </c>
      <c r="B2514">
        <f t="shared" ca="1" si="79"/>
        <v>0</v>
      </c>
    </row>
    <row r="2515" spans="1:2">
      <c r="A2515" t="str">
        <f t="shared" ca="1" si="78"/>
        <v/>
      </c>
      <c r="B2515">
        <f t="shared" ca="1" si="79"/>
        <v>0</v>
      </c>
    </row>
    <row r="2516" spans="1:2">
      <c r="A2516" t="str">
        <f t="shared" ca="1" si="78"/>
        <v/>
      </c>
      <c r="B2516">
        <f t="shared" ca="1" si="79"/>
        <v>0</v>
      </c>
    </row>
    <row r="2517" spans="1:2">
      <c r="A2517" t="str">
        <f t="shared" ca="1" si="78"/>
        <v/>
      </c>
      <c r="B2517">
        <f t="shared" ca="1" si="79"/>
        <v>0</v>
      </c>
    </row>
    <row r="2518" spans="1:2">
      <c r="A2518" t="str">
        <f t="shared" ca="1" si="78"/>
        <v/>
      </c>
      <c r="B2518">
        <f t="shared" ca="1" si="79"/>
        <v>0</v>
      </c>
    </row>
    <row r="2519" spans="1:2">
      <c r="A2519" t="str">
        <f t="shared" ca="1" si="78"/>
        <v/>
      </c>
      <c r="B2519">
        <f t="shared" ca="1" si="79"/>
        <v>0</v>
      </c>
    </row>
    <row r="2520" spans="1:2">
      <c r="A2520" t="str">
        <f t="shared" ca="1" si="78"/>
        <v/>
      </c>
      <c r="B2520">
        <f t="shared" ca="1" si="79"/>
        <v>0</v>
      </c>
    </row>
    <row r="2521" spans="1:2">
      <c r="A2521" t="str">
        <f t="shared" ca="1" si="78"/>
        <v/>
      </c>
      <c r="B2521">
        <f t="shared" ca="1" si="79"/>
        <v>0</v>
      </c>
    </row>
    <row r="2522" spans="1:2">
      <c r="A2522" t="str">
        <f t="shared" ca="1" si="78"/>
        <v/>
      </c>
      <c r="B2522">
        <f t="shared" ca="1" si="79"/>
        <v>0</v>
      </c>
    </row>
    <row r="2523" spans="1:2">
      <c r="A2523" t="str">
        <f t="shared" ca="1" si="78"/>
        <v/>
      </c>
      <c r="B2523">
        <f t="shared" ca="1" si="79"/>
        <v>0</v>
      </c>
    </row>
    <row r="2524" spans="1:2">
      <c r="A2524" t="str">
        <f t="shared" ca="1" si="78"/>
        <v/>
      </c>
      <c r="B2524">
        <f t="shared" ca="1" si="79"/>
        <v>0</v>
      </c>
    </row>
    <row r="2525" spans="1:2">
      <c r="A2525" t="str">
        <f t="shared" ca="1" si="78"/>
        <v/>
      </c>
      <c r="B2525">
        <f t="shared" ca="1" si="79"/>
        <v>0</v>
      </c>
    </row>
    <row r="2526" spans="1:2">
      <c r="A2526" t="str">
        <f t="shared" ca="1" si="78"/>
        <v/>
      </c>
      <c r="B2526">
        <f t="shared" ca="1" si="79"/>
        <v>0</v>
      </c>
    </row>
    <row r="2527" spans="1:2">
      <c r="A2527" t="str">
        <f t="shared" ca="1" si="78"/>
        <v/>
      </c>
      <c r="B2527">
        <f t="shared" ca="1" si="79"/>
        <v>0</v>
      </c>
    </row>
    <row r="2528" spans="1:2">
      <c r="A2528" t="str">
        <f t="shared" ca="1" si="78"/>
        <v/>
      </c>
      <c r="B2528">
        <f t="shared" ca="1" si="79"/>
        <v>0</v>
      </c>
    </row>
    <row r="2529" spans="1:2">
      <c r="A2529" t="str">
        <f t="shared" ca="1" si="78"/>
        <v/>
      </c>
      <c r="B2529">
        <f t="shared" ca="1" si="79"/>
        <v>0</v>
      </c>
    </row>
    <row r="2530" spans="1:2">
      <c r="A2530" t="str">
        <f t="shared" ca="1" si="78"/>
        <v/>
      </c>
      <c r="B2530">
        <f t="shared" ca="1" si="79"/>
        <v>0</v>
      </c>
    </row>
    <row r="2531" spans="1:2">
      <c r="A2531" t="str">
        <f t="shared" ca="1" si="78"/>
        <v/>
      </c>
      <c r="B2531">
        <f t="shared" ca="1" si="79"/>
        <v>0</v>
      </c>
    </row>
    <row r="2532" spans="1:2">
      <c r="A2532" t="str">
        <f t="shared" ca="1" si="78"/>
        <v/>
      </c>
      <c r="B2532">
        <f t="shared" ca="1" si="79"/>
        <v>0</v>
      </c>
    </row>
    <row r="2533" spans="1:2">
      <c r="A2533" t="str">
        <f t="shared" ca="1" si="78"/>
        <v/>
      </c>
      <c r="B2533">
        <f t="shared" ca="1" si="79"/>
        <v>0</v>
      </c>
    </row>
    <row r="2534" spans="1:2">
      <c r="A2534" t="str">
        <f t="shared" ca="1" si="78"/>
        <v/>
      </c>
      <c r="B2534">
        <f t="shared" ca="1" si="79"/>
        <v>0</v>
      </c>
    </row>
    <row r="2535" spans="1:2">
      <c r="A2535" t="str">
        <f t="shared" ca="1" si="78"/>
        <v/>
      </c>
      <c r="B2535">
        <f t="shared" ca="1" si="79"/>
        <v>0</v>
      </c>
    </row>
    <row r="2536" spans="1:2">
      <c r="A2536" t="str">
        <f t="shared" ca="1" si="78"/>
        <v/>
      </c>
      <c r="B2536">
        <f t="shared" ca="1" si="79"/>
        <v>0</v>
      </c>
    </row>
    <row r="2537" spans="1:2">
      <c r="A2537" t="str">
        <f t="shared" ca="1" si="78"/>
        <v/>
      </c>
      <c r="B2537">
        <f t="shared" ca="1" si="79"/>
        <v>0</v>
      </c>
    </row>
    <row r="2538" spans="1:2">
      <c r="A2538" t="str">
        <f t="shared" ca="1" si="78"/>
        <v/>
      </c>
      <c r="B2538">
        <f t="shared" ca="1" si="79"/>
        <v>0</v>
      </c>
    </row>
    <row r="2539" spans="1:2">
      <c r="A2539" t="str">
        <f t="shared" ca="1" si="78"/>
        <v/>
      </c>
      <c r="B2539">
        <f t="shared" ca="1" si="79"/>
        <v>0</v>
      </c>
    </row>
    <row r="2540" spans="1:2">
      <c r="A2540" t="str">
        <f t="shared" ca="1" si="78"/>
        <v/>
      </c>
      <c r="B2540">
        <f t="shared" ca="1" si="79"/>
        <v>0</v>
      </c>
    </row>
    <row r="2541" spans="1:2">
      <c r="A2541" t="str">
        <f t="shared" ca="1" si="78"/>
        <v/>
      </c>
      <c r="B2541">
        <f t="shared" ca="1" si="79"/>
        <v>0</v>
      </c>
    </row>
    <row r="2542" spans="1:2">
      <c r="A2542" t="str">
        <f t="shared" ca="1" si="78"/>
        <v/>
      </c>
      <c r="B2542">
        <f t="shared" ca="1" si="79"/>
        <v>0</v>
      </c>
    </row>
    <row r="2543" spans="1:2">
      <c r="A2543" t="str">
        <f t="shared" ca="1" si="78"/>
        <v/>
      </c>
      <c r="B2543">
        <f t="shared" ca="1" si="79"/>
        <v>0</v>
      </c>
    </row>
    <row r="2544" spans="1:2">
      <c r="A2544" t="str">
        <f t="shared" ca="1" si="78"/>
        <v/>
      </c>
      <c r="B2544">
        <f t="shared" ca="1" si="79"/>
        <v>0</v>
      </c>
    </row>
    <row r="2545" spans="1:2">
      <c r="A2545" t="str">
        <f t="shared" ca="1" si="78"/>
        <v/>
      </c>
      <c r="B2545">
        <f t="shared" ca="1" si="79"/>
        <v>0</v>
      </c>
    </row>
    <row r="2546" spans="1:2">
      <c r="A2546" t="str">
        <f t="shared" ca="1" si="78"/>
        <v/>
      </c>
      <c r="B2546">
        <f t="shared" ca="1" si="79"/>
        <v>0</v>
      </c>
    </row>
    <row r="2547" spans="1:2">
      <c r="A2547" t="str">
        <f t="shared" ca="1" si="78"/>
        <v/>
      </c>
      <c r="B2547">
        <f t="shared" ca="1" si="79"/>
        <v>0</v>
      </c>
    </row>
    <row r="2548" spans="1:2">
      <c r="A2548" t="str">
        <f t="shared" ca="1" si="78"/>
        <v/>
      </c>
      <c r="B2548">
        <f t="shared" ca="1" si="79"/>
        <v>0</v>
      </c>
    </row>
    <row r="2549" spans="1:2">
      <c r="A2549" t="str">
        <f t="shared" ca="1" si="78"/>
        <v/>
      </c>
      <c r="B2549">
        <f t="shared" ca="1" si="79"/>
        <v>0</v>
      </c>
    </row>
    <row r="2550" spans="1:2">
      <c r="A2550" t="str">
        <f t="shared" ca="1" si="78"/>
        <v/>
      </c>
      <c r="B2550">
        <f t="shared" ca="1" si="79"/>
        <v>0</v>
      </c>
    </row>
    <row r="2551" spans="1:2">
      <c r="A2551" t="str">
        <f t="shared" ca="1" si="78"/>
        <v/>
      </c>
      <c r="B2551">
        <f t="shared" ca="1" si="79"/>
        <v>0</v>
      </c>
    </row>
    <row r="2552" spans="1:2">
      <c r="A2552" t="str">
        <f t="shared" ca="1" si="78"/>
        <v/>
      </c>
      <c r="B2552">
        <f t="shared" ca="1" si="79"/>
        <v>0</v>
      </c>
    </row>
    <row r="2553" spans="1:2">
      <c r="A2553" t="str">
        <f t="shared" ca="1" si="78"/>
        <v/>
      </c>
      <c r="B2553">
        <f t="shared" ca="1" si="79"/>
        <v>0</v>
      </c>
    </row>
    <row r="2554" spans="1:2">
      <c r="A2554" t="str">
        <f t="shared" ca="1" si="78"/>
        <v/>
      </c>
      <c r="B2554">
        <f t="shared" ca="1" si="79"/>
        <v>0</v>
      </c>
    </row>
    <row r="2555" spans="1:2">
      <c r="A2555" t="str">
        <f t="shared" ca="1" si="78"/>
        <v/>
      </c>
      <c r="B2555">
        <f t="shared" ca="1" si="79"/>
        <v>0</v>
      </c>
    </row>
    <row r="2556" spans="1:2">
      <c r="A2556" t="str">
        <f t="shared" ca="1" si="78"/>
        <v/>
      </c>
      <c r="B2556">
        <f t="shared" ca="1" si="79"/>
        <v>0</v>
      </c>
    </row>
    <row r="2557" spans="1:2">
      <c r="A2557" t="str">
        <f t="shared" ca="1" si="78"/>
        <v/>
      </c>
      <c r="B2557">
        <f t="shared" ca="1" si="79"/>
        <v>0</v>
      </c>
    </row>
    <row r="2558" spans="1:2">
      <c r="A2558" t="str">
        <f t="shared" ca="1" si="78"/>
        <v/>
      </c>
      <c r="B2558">
        <f t="shared" ca="1" si="79"/>
        <v>0</v>
      </c>
    </row>
    <row r="2559" spans="1:2">
      <c r="A2559" t="str">
        <f t="shared" ca="1" si="78"/>
        <v/>
      </c>
      <c r="B2559">
        <f t="shared" ca="1" si="79"/>
        <v>0</v>
      </c>
    </row>
    <row r="2560" spans="1:2">
      <c r="A2560" t="str">
        <f t="shared" ca="1" si="78"/>
        <v/>
      </c>
      <c r="B2560">
        <f t="shared" ca="1" si="79"/>
        <v>0</v>
      </c>
    </row>
    <row r="2561" spans="1:2">
      <c r="A2561" t="str">
        <f t="shared" ca="1" si="78"/>
        <v/>
      </c>
      <c r="B2561">
        <f t="shared" ca="1" si="79"/>
        <v>0</v>
      </c>
    </row>
    <row r="2562" spans="1:2">
      <c r="A2562" t="str">
        <f t="shared" ref="A2562:A2625" ca="1" si="80">CONCATENATE(INDIRECT(ADDRESS(ROW(),3)))</f>
        <v/>
      </c>
      <c r="B2562">
        <f t="shared" ref="B2562:B2625" ca="1" si="81">IF(IF(INDIRECT(ADDRESS(ROW(),1))&lt;&gt;"",IF(ISNA(MATCH(LEFT(INDIRECT(ADDRESS(ROW(),1)),2),PCNG_MN,0))=TRUE,1,0),0)+IF(INDIRECT(ADDRESS(ROW(),1))&lt;&gt;"",IF(ISNA(MATCH(LEFT(INDIRECT(ADDRESS(ROW(),1)),3),PCNG_MN,0))=TRUE,1,0),0)+IF(INDIRECT(ADDRESS(ROW(),1))&lt;&gt;"",IF(ISNA(MATCH(LEFT(INDIRECT(ADDRESS(ROW(),1)),4),PCNG_MN,0))=TRUE,1,0),0)&gt;=3,1,0)</f>
        <v>0</v>
      </c>
    </row>
    <row r="2563" spans="1:2">
      <c r="A2563" t="str">
        <f t="shared" ca="1" si="80"/>
        <v/>
      </c>
      <c r="B2563">
        <f t="shared" ca="1" si="81"/>
        <v>0</v>
      </c>
    </row>
    <row r="2564" spans="1:2">
      <c r="A2564" t="str">
        <f t="shared" ca="1" si="80"/>
        <v/>
      </c>
      <c r="B2564">
        <f t="shared" ca="1" si="81"/>
        <v>0</v>
      </c>
    </row>
    <row r="2565" spans="1:2">
      <c r="A2565" t="str">
        <f t="shared" ca="1" si="80"/>
        <v/>
      </c>
      <c r="B2565">
        <f t="shared" ca="1" si="81"/>
        <v>0</v>
      </c>
    </row>
    <row r="2566" spans="1:2">
      <c r="A2566" t="str">
        <f t="shared" ca="1" si="80"/>
        <v/>
      </c>
      <c r="B2566">
        <f t="shared" ca="1" si="81"/>
        <v>0</v>
      </c>
    </row>
    <row r="2567" spans="1:2">
      <c r="A2567" t="str">
        <f t="shared" ca="1" si="80"/>
        <v/>
      </c>
      <c r="B2567">
        <f t="shared" ca="1" si="81"/>
        <v>0</v>
      </c>
    </row>
    <row r="2568" spans="1:2">
      <c r="A2568" t="str">
        <f t="shared" ca="1" si="80"/>
        <v/>
      </c>
      <c r="B2568">
        <f t="shared" ca="1" si="81"/>
        <v>0</v>
      </c>
    </row>
    <row r="2569" spans="1:2">
      <c r="A2569" t="str">
        <f t="shared" ca="1" si="80"/>
        <v/>
      </c>
      <c r="B2569">
        <f t="shared" ca="1" si="81"/>
        <v>0</v>
      </c>
    </row>
    <row r="2570" spans="1:2">
      <c r="A2570" t="str">
        <f t="shared" ca="1" si="80"/>
        <v/>
      </c>
      <c r="B2570">
        <f t="shared" ca="1" si="81"/>
        <v>0</v>
      </c>
    </row>
    <row r="2571" spans="1:2">
      <c r="A2571" t="str">
        <f t="shared" ca="1" si="80"/>
        <v/>
      </c>
      <c r="B2571">
        <f t="shared" ca="1" si="81"/>
        <v>0</v>
      </c>
    </row>
    <row r="2572" spans="1:2">
      <c r="A2572" t="str">
        <f t="shared" ca="1" si="80"/>
        <v/>
      </c>
      <c r="B2572">
        <f t="shared" ca="1" si="81"/>
        <v>0</v>
      </c>
    </row>
    <row r="2573" spans="1:2">
      <c r="A2573" t="str">
        <f t="shared" ca="1" si="80"/>
        <v/>
      </c>
      <c r="B2573">
        <f t="shared" ca="1" si="81"/>
        <v>0</v>
      </c>
    </row>
    <row r="2574" spans="1:2">
      <c r="A2574" t="str">
        <f t="shared" ca="1" si="80"/>
        <v/>
      </c>
      <c r="B2574">
        <f t="shared" ca="1" si="81"/>
        <v>0</v>
      </c>
    </row>
    <row r="2575" spans="1:2">
      <c r="A2575" t="str">
        <f t="shared" ca="1" si="80"/>
        <v/>
      </c>
      <c r="B2575">
        <f t="shared" ca="1" si="81"/>
        <v>0</v>
      </c>
    </row>
    <row r="2576" spans="1:2">
      <c r="A2576" t="str">
        <f t="shared" ca="1" si="80"/>
        <v/>
      </c>
      <c r="B2576">
        <f t="shared" ca="1" si="81"/>
        <v>0</v>
      </c>
    </row>
    <row r="2577" spans="1:2">
      <c r="A2577" t="str">
        <f t="shared" ca="1" si="80"/>
        <v/>
      </c>
      <c r="B2577">
        <f t="shared" ca="1" si="81"/>
        <v>0</v>
      </c>
    </row>
    <row r="2578" spans="1:2">
      <c r="A2578" t="str">
        <f t="shared" ca="1" si="80"/>
        <v/>
      </c>
      <c r="B2578">
        <f t="shared" ca="1" si="81"/>
        <v>0</v>
      </c>
    </row>
    <row r="2579" spans="1:2">
      <c r="A2579" t="str">
        <f t="shared" ca="1" si="80"/>
        <v/>
      </c>
      <c r="B2579">
        <f t="shared" ca="1" si="81"/>
        <v>0</v>
      </c>
    </row>
    <row r="2580" spans="1:2">
      <c r="A2580" t="str">
        <f t="shared" ca="1" si="80"/>
        <v/>
      </c>
      <c r="B2580">
        <f t="shared" ca="1" si="81"/>
        <v>0</v>
      </c>
    </row>
    <row r="2581" spans="1:2">
      <c r="A2581" t="str">
        <f t="shared" ca="1" si="80"/>
        <v/>
      </c>
      <c r="B2581">
        <f t="shared" ca="1" si="81"/>
        <v>0</v>
      </c>
    </row>
    <row r="2582" spans="1:2">
      <c r="A2582" t="str">
        <f t="shared" ca="1" si="80"/>
        <v/>
      </c>
      <c r="B2582">
        <f t="shared" ca="1" si="81"/>
        <v>0</v>
      </c>
    </row>
    <row r="2583" spans="1:2">
      <c r="A2583" t="str">
        <f t="shared" ca="1" si="80"/>
        <v/>
      </c>
      <c r="B2583">
        <f t="shared" ca="1" si="81"/>
        <v>0</v>
      </c>
    </row>
    <row r="2584" spans="1:2">
      <c r="A2584" t="str">
        <f t="shared" ca="1" si="80"/>
        <v/>
      </c>
      <c r="B2584">
        <f t="shared" ca="1" si="81"/>
        <v>0</v>
      </c>
    </row>
    <row r="2585" spans="1:2">
      <c r="A2585" t="str">
        <f t="shared" ca="1" si="80"/>
        <v/>
      </c>
      <c r="B2585">
        <f t="shared" ca="1" si="81"/>
        <v>0</v>
      </c>
    </row>
    <row r="2586" spans="1:2">
      <c r="A2586" t="str">
        <f t="shared" ca="1" si="80"/>
        <v/>
      </c>
      <c r="B2586">
        <f t="shared" ca="1" si="81"/>
        <v>0</v>
      </c>
    </row>
    <row r="2587" spans="1:2">
      <c r="A2587" t="str">
        <f t="shared" ca="1" si="80"/>
        <v/>
      </c>
      <c r="B2587">
        <f t="shared" ca="1" si="81"/>
        <v>0</v>
      </c>
    </row>
    <row r="2588" spans="1:2">
      <c r="A2588" t="str">
        <f t="shared" ca="1" si="80"/>
        <v/>
      </c>
      <c r="B2588">
        <f t="shared" ca="1" si="81"/>
        <v>0</v>
      </c>
    </row>
    <row r="2589" spans="1:2">
      <c r="A2589" t="str">
        <f t="shared" ca="1" si="80"/>
        <v/>
      </c>
      <c r="B2589">
        <f t="shared" ca="1" si="81"/>
        <v>0</v>
      </c>
    </row>
    <row r="2590" spans="1:2">
      <c r="A2590" t="str">
        <f t="shared" ca="1" si="80"/>
        <v/>
      </c>
      <c r="B2590">
        <f t="shared" ca="1" si="81"/>
        <v>0</v>
      </c>
    </row>
    <row r="2591" spans="1:2">
      <c r="A2591" t="str">
        <f t="shared" ca="1" si="80"/>
        <v/>
      </c>
      <c r="B2591">
        <f t="shared" ca="1" si="81"/>
        <v>0</v>
      </c>
    </row>
    <row r="2592" spans="1:2">
      <c r="A2592" t="str">
        <f t="shared" ca="1" si="80"/>
        <v/>
      </c>
      <c r="B2592">
        <f t="shared" ca="1" si="81"/>
        <v>0</v>
      </c>
    </row>
    <row r="2593" spans="1:2">
      <c r="A2593" t="str">
        <f t="shared" ca="1" si="80"/>
        <v/>
      </c>
      <c r="B2593">
        <f t="shared" ca="1" si="81"/>
        <v>0</v>
      </c>
    </row>
    <row r="2594" spans="1:2">
      <c r="A2594" t="str">
        <f t="shared" ca="1" si="80"/>
        <v/>
      </c>
      <c r="B2594">
        <f t="shared" ca="1" si="81"/>
        <v>0</v>
      </c>
    </row>
    <row r="2595" spans="1:2">
      <c r="A2595" t="str">
        <f t="shared" ca="1" si="80"/>
        <v/>
      </c>
      <c r="B2595">
        <f t="shared" ca="1" si="81"/>
        <v>0</v>
      </c>
    </row>
    <row r="2596" spans="1:2">
      <c r="A2596" t="str">
        <f t="shared" ca="1" si="80"/>
        <v/>
      </c>
      <c r="B2596">
        <f t="shared" ca="1" si="81"/>
        <v>0</v>
      </c>
    </row>
    <row r="2597" spans="1:2">
      <c r="A2597" t="str">
        <f t="shared" ca="1" si="80"/>
        <v/>
      </c>
      <c r="B2597">
        <f t="shared" ca="1" si="81"/>
        <v>0</v>
      </c>
    </row>
    <row r="2598" spans="1:2">
      <c r="A2598" t="str">
        <f t="shared" ca="1" si="80"/>
        <v/>
      </c>
      <c r="B2598">
        <f t="shared" ca="1" si="81"/>
        <v>0</v>
      </c>
    </row>
    <row r="2599" spans="1:2">
      <c r="A2599" t="str">
        <f t="shared" ca="1" si="80"/>
        <v/>
      </c>
      <c r="B2599">
        <f t="shared" ca="1" si="81"/>
        <v>0</v>
      </c>
    </row>
    <row r="2600" spans="1:2">
      <c r="A2600" t="str">
        <f t="shared" ca="1" si="80"/>
        <v/>
      </c>
      <c r="B2600">
        <f t="shared" ca="1" si="81"/>
        <v>0</v>
      </c>
    </row>
    <row r="2601" spans="1:2">
      <c r="A2601" t="str">
        <f t="shared" ca="1" si="80"/>
        <v/>
      </c>
      <c r="B2601">
        <f t="shared" ca="1" si="81"/>
        <v>0</v>
      </c>
    </row>
    <row r="2602" spans="1:2">
      <c r="A2602" t="str">
        <f t="shared" ca="1" si="80"/>
        <v/>
      </c>
      <c r="B2602">
        <f t="shared" ca="1" si="81"/>
        <v>0</v>
      </c>
    </row>
    <row r="2603" spans="1:2">
      <c r="A2603" t="str">
        <f t="shared" ca="1" si="80"/>
        <v/>
      </c>
      <c r="B2603">
        <f t="shared" ca="1" si="81"/>
        <v>0</v>
      </c>
    </row>
    <row r="2604" spans="1:2">
      <c r="A2604" t="str">
        <f t="shared" ca="1" si="80"/>
        <v/>
      </c>
      <c r="B2604">
        <f t="shared" ca="1" si="81"/>
        <v>0</v>
      </c>
    </row>
    <row r="2605" spans="1:2">
      <c r="A2605" t="str">
        <f t="shared" ca="1" si="80"/>
        <v/>
      </c>
      <c r="B2605">
        <f t="shared" ca="1" si="81"/>
        <v>0</v>
      </c>
    </row>
    <row r="2606" spans="1:2">
      <c r="A2606" t="str">
        <f t="shared" ca="1" si="80"/>
        <v/>
      </c>
      <c r="B2606">
        <f t="shared" ca="1" si="81"/>
        <v>0</v>
      </c>
    </row>
    <row r="2607" spans="1:2">
      <c r="A2607" t="str">
        <f t="shared" ca="1" si="80"/>
        <v/>
      </c>
      <c r="B2607">
        <f t="shared" ca="1" si="81"/>
        <v>0</v>
      </c>
    </row>
    <row r="2608" spans="1:2">
      <c r="A2608" t="str">
        <f t="shared" ca="1" si="80"/>
        <v/>
      </c>
      <c r="B2608">
        <f t="shared" ca="1" si="81"/>
        <v>0</v>
      </c>
    </row>
    <row r="2609" spans="1:2">
      <c r="A2609" t="str">
        <f t="shared" ca="1" si="80"/>
        <v/>
      </c>
      <c r="B2609">
        <f t="shared" ca="1" si="81"/>
        <v>0</v>
      </c>
    </row>
    <row r="2610" spans="1:2">
      <c r="A2610" t="str">
        <f t="shared" ca="1" si="80"/>
        <v/>
      </c>
      <c r="B2610">
        <f t="shared" ca="1" si="81"/>
        <v>0</v>
      </c>
    </row>
    <row r="2611" spans="1:2">
      <c r="A2611" t="str">
        <f t="shared" ca="1" si="80"/>
        <v/>
      </c>
      <c r="B2611">
        <f t="shared" ca="1" si="81"/>
        <v>0</v>
      </c>
    </row>
    <row r="2612" spans="1:2">
      <c r="A2612" t="str">
        <f t="shared" ca="1" si="80"/>
        <v/>
      </c>
      <c r="B2612">
        <f t="shared" ca="1" si="81"/>
        <v>0</v>
      </c>
    </row>
    <row r="2613" spans="1:2">
      <c r="A2613" t="str">
        <f t="shared" ca="1" si="80"/>
        <v/>
      </c>
      <c r="B2613">
        <f t="shared" ca="1" si="81"/>
        <v>0</v>
      </c>
    </row>
    <row r="2614" spans="1:2">
      <c r="A2614" t="str">
        <f t="shared" ca="1" si="80"/>
        <v/>
      </c>
      <c r="B2614">
        <f t="shared" ca="1" si="81"/>
        <v>0</v>
      </c>
    </row>
    <row r="2615" spans="1:2">
      <c r="A2615" t="str">
        <f t="shared" ca="1" si="80"/>
        <v/>
      </c>
      <c r="B2615">
        <f t="shared" ca="1" si="81"/>
        <v>0</v>
      </c>
    </row>
    <row r="2616" spans="1:2">
      <c r="A2616" t="str">
        <f t="shared" ca="1" si="80"/>
        <v/>
      </c>
      <c r="B2616">
        <f t="shared" ca="1" si="81"/>
        <v>0</v>
      </c>
    </row>
    <row r="2617" spans="1:2">
      <c r="A2617" t="str">
        <f t="shared" ca="1" si="80"/>
        <v/>
      </c>
      <c r="B2617">
        <f t="shared" ca="1" si="81"/>
        <v>0</v>
      </c>
    </row>
    <row r="2618" spans="1:2">
      <c r="A2618" t="str">
        <f t="shared" ca="1" si="80"/>
        <v/>
      </c>
      <c r="B2618">
        <f t="shared" ca="1" si="81"/>
        <v>0</v>
      </c>
    </row>
    <row r="2619" spans="1:2">
      <c r="A2619" t="str">
        <f t="shared" ca="1" si="80"/>
        <v/>
      </c>
      <c r="B2619">
        <f t="shared" ca="1" si="81"/>
        <v>0</v>
      </c>
    </row>
    <row r="2620" spans="1:2">
      <c r="A2620" t="str">
        <f t="shared" ca="1" si="80"/>
        <v/>
      </c>
      <c r="B2620">
        <f t="shared" ca="1" si="81"/>
        <v>0</v>
      </c>
    </row>
    <row r="2621" spans="1:2">
      <c r="A2621" t="str">
        <f t="shared" ca="1" si="80"/>
        <v/>
      </c>
      <c r="B2621">
        <f t="shared" ca="1" si="81"/>
        <v>0</v>
      </c>
    </row>
    <row r="2622" spans="1:2">
      <c r="A2622" t="str">
        <f t="shared" ca="1" si="80"/>
        <v/>
      </c>
      <c r="B2622">
        <f t="shared" ca="1" si="81"/>
        <v>0</v>
      </c>
    </row>
    <row r="2623" spans="1:2">
      <c r="A2623" t="str">
        <f t="shared" ca="1" si="80"/>
        <v/>
      </c>
      <c r="B2623">
        <f t="shared" ca="1" si="81"/>
        <v>0</v>
      </c>
    </row>
    <row r="2624" spans="1:2">
      <c r="A2624" t="str">
        <f t="shared" ca="1" si="80"/>
        <v/>
      </c>
      <c r="B2624">
        <f t="shared" ca="1" si="81"/>
        <v>0</v>
      </c>
    </row>
    <row r="2625" spans="1:2">
      <c r="A2625" t="str">
        <f t="shared" ca="1" si="80"/>
        <v/>
      </c>
      <c r="B2625">
        <f t="shared" ca="1" si="81"/>
        <v>0</v>
      </c>
    </row>
    <row r="2626" spans="1:2">
      <c r="A2626" t="str">
        <f t="shared" ref="A2626:A2689" ca="1" si="82">CONCATENATE(INDIRECT(ADDRESS(ROW(),3)))</f>
        <v/>
      </c>
      <c r="B2626">
        <f t="shared" ref="B2626:B2689" ca="1" si="83">IF(IF(INDIRECT(ADDRESS(ROW(),1))&lt;&gt;"",IF(ISNA(MATCH(LEFT(INDIRECT(ADDRESS(ROW(),1)),2),PCNG_MN,0))=TRUE,1,0),0)+IF(INDIRECT(ADDRESS(ROW(),1))&lt;&gt;"",IF(ISNA(MATCH(LEFT(INDIRECT(ADDRESS(ROW(),1)),3),PCNG_MN,0))=TRUE,1,0),0)+IF(INDIRECT(ADDRESS(ROW(),1))&lt;&gt;"",IF(ISNA(MATCH(LEFT(INDIRECT(ADDRESS(ROW(),1)),4),PCNG_MN,0))=TRUE,1,0),0)&gt;=3,1,0)</f>
        <v>0</v>
      </c>
    </row>
    <row r="2627" spans="1:2">
      <c r="A2627" t="str">
        <f t="shared" ca="1" si="82"/>
        <v/>
      </c>
      <c r="B2627">
        <f t="shared" ca="1" si="83"/>
        <v>0</v>
      </c>
    </row>
    <row r="2628" spans="1:2">
      <c r="A2628" t="str">
        <f t="shared" ca="1" si="82"/>
        <v/>
      </c>
      <c r="B2628">
        <f t="shared" ca="1" si="83"/>
        <v>0</v>
      </c>
    </row>
    <row r="2629" spans="1:2">
      <c r="A2629" t="str">
        <f t="shared" ca="1" si="82"/>
        <v/>
      </c>
      <c r="B2629">
        <f t="shared" ca="1" si="83"/>
        <v>0</v>
      </c>
    </row>
    <row r="2630" spans="1:2">
      <c r="A2630" t="str">
        <f t="shared" ca="1" si="82"/>
        <v/>
      </c>
      <c r="B2630">
        <f t="shared" ca="1" si="83"/>
        <v>0</v>
      </c>
    </row>
    <row r="2631" spans="1:2">
      <c r="A2631" t="str">
        <f t="shared" ca="1" si="82"/>
        <v/>
      </c>
      <c r="B2631">
        <f t="shared" ca="1" si="83"/>
        <v>0</v>
      </c>
    </row>
    <row r="2632" spans="1:2">
      <c r="A2632" t="str">
        <f t="shared" ca="1" si="82"/>
        <v/>
      </c>
      <c r="B2632">
        <f t="shared" ca="1" si="83"/>
        <v>0</v>
      </c>
    </row>
    <row r="2633" spans="1:2">
      <c r="A2633" t="str">
        <f t="shared" ca="1" si="82"/>
        <v/>
      </c>
      <c r="B2633">
        <f t="shared" ca="1" si="83"/>
        <v>0</v>
      </c>
    </row>
    <row r="2634" spans="1:2">
      <c r="A2634" t="str">
        <f t="shared" ca="1" si="82"/>
        <v/>
      </c>
      <c r="B2634">
        <f t="shared" ca="1" si="83"/>
        <v>0</v>
      </c>
    </row>
    <row r="2635" spans="1:2">
      <c r="A2635" t="str">
        <f t="shared" ca="1" si="82"/>
        <v/>
      </c>
      <c r="B2635">
        <f t="shared" ca="1" si="83"/>
        <v>0</v>
      </c>
    </row>
    <row r="2636" spans="1:2">
      <c r="A2636" t="str">
        <f t="shared" ca="1" si="82"/>
        <v/>
      </c>
      <c r="B2636">
        <f t="shared" ca="1" si="83"/>
        <v>0</v>
      </c>
    </row>
    <row r="2637" spans="1:2">
      <c r="A2637" t="str">
        <f t="shared" ca="1" si="82"/>
        <v/>
      </c>
      <c r="B2637">
        <f t="shared" ca="1" si="83"/>
        <v>0</v>
      </c>
    </row>
    <row r="2638" spans="1:2">
      <c r="A2638" t="str">
        <f t="shared" ca="1" si="82"/>
        <v/>
      </c>
      <c r="B2638">
        <f t="shared" ca="1" si="83"/>
        <v>0</v>
      </c>
    </row>
    <row r="2639" spans="1:2">
      <c r="A2639" t="str">
        <f t="shared" ca="1" si="82"/>
        <v/>
      </c>
      <c r="B2639">
        <f t="shared" ca="1" si="83"/>
        <v>0</v>
      </c>
    </row>
    <row r="2640" spans="1:2">
      <c r="A2640" t="str">
        <f t="shared" ca="1" si="82"/>
        <v/>
      </c>
      <c r="B2640">
        <f t="shared" ca="1" si="83"/>
        <v>0</v>
      </c>
    </row>
    <row r="2641" spans="1:2">
      <c r="A2641" t="str">
        <f t="shared" ca="1" si="82"/>
        <v/>
      </c>
      <c r="B2641">
        <f t="shared" ca="1" si="83"/>
        <v>0</v>
      </c>
    </row>
    <row r="2642" spans="1:2">
      <c r="A2642" t="str">
        <f t="shared" ca="1" si="82"/>
        <v/>
      </c>
      <c r="B2642">
        <f t="shared" ca="1" si="83"/>
        <v>0</v>
      </c>
    </row>
    <row r="2643" spans="1:2">
      <c r="A2643" t="str">
        <f t="shared" ca="1" si="82"/>
        <v/>
      </c>
      <c r="B2643">
        <f t="shared" ca="1" si="83"/>
        <v>0</v>
      </c>
    </row>
    <row r="2644" spans="1:2">
      <c r="A2644" t="str">
        <f t="shared" ca="1" si="82"/>
        <v/>
      </c>
      <c r="B2644">
        <f t="shared" ca="1" si="83"/>
        <v>0</v>
      </c>
    </row>
    <row r="2645" spans="1:2">
      <c r="A2645" t="str">
        <f t="shared" ca="1" si="82"/>
        <v/>
      </c>
      <c r="B2645">
        <f t="shared" ca="1" si="83"/>
        <v>0</v>
      </c>
    </row>
    <row r="2646" spans="1:2">
      <c r="A2646" t="str">
        <f t="shared" ca="1" si="82"/>
        <v/>
      </c>
      <c r="B2646">
        <f t="shared" ca="1" si="83"/>
        <v>0</v>
      </c>
    </row>
    <row r="2647" spans="1:2">
      <c r="A2647" t="str">
        <f t="shared" ca="1" si="82"/>
        <v/>
      </c>
      <c r="B2647">
        <f t="shared" ca="1" si="83"/>
        <v>0</v>
      </c>
    </row>
    <row r="2648" spans="1:2">
      <c r="A2648" t="str">
        <f t="shared" ca="1" si="82"/>
        <v/>
      </c>
      <c r="B2648">
        <f t="shared" ca="1" si="83"/>
        <v>0</v>
      </c>
    </row>
    <row r="2649" spans="1:2">
      <c r="A2649" t="str">
        <f t="shared" ca="1" si="82"/>
        <v/>
      </c>
      <c r="B2649">
        <f t="shared" ca="1" si="83"/>
        <v>0</v>
      </c>
    </row>
    <row r="2650" spans="1:2">
      <c r="A2650" t="str">
        <f t="shared" ca="1" si="82"/>
        <v/>
      </c>
      <c r="B2650">
        <f t="shared" ca="1" si="83"/>
        <v>0</v>
      </c>
    </row>
    <row r="2651" spans="1:2">
      <c r="A2651" t="str">
        <f t="shared" ca="1" si="82"/>
        <v/>
      </c>
      <c r="B2651">
        <f t="shared" ca="1" si="83"/>
        <v>0</v>
      </c>
    </row>
    <row r="2652" spans="1:2">
      <c r="A2652" t="str">
        <f t="shared" ca="1" si="82"/>
        <v/>
      </c>
      <c r="B2652">
        <f t="shared" ca="1" si="83"/>
        <v>0</v>
      </c>
    </row>
    <row r="2653" spans="1:2">
      <c r="A2653" t="str">
        <f t="shared" ca="1" si="82"/>
        <v/>
      </c>
      <c r="B2653">
        <f t="shared" ca="1" si="83"/>
        <v>0</v>
      </c>
    </row>
    <row r="2654" spans="1:2">
      <c r="A2654" t="str">
        <f t="shared" ca="1" si="82"/>
        <v/>
      </c>
      <c r="B2654">
        <f t="shared" ca="1" si="83"/>
        <v>0</v>
      </c>
    </row>
    <row r="2655" spans="1:2">
      <c r="A2655" t="str">
        <f t="shared" ca="1" si="82"/>
        <v/>
      </c>
      <c r="B2655">
        <f t="shared" ca="1" si="83"/>
        <v>0</v>
      </c>
    </row>
    <row r="2656" spans="1:2">
      <c r="A2656" t="str">
        <f t="shared" ca="1" si="82"/>
        <v/>
      </c>
      <c r="B2656">
        <f t="shared" ca="1" si="83"/>
        <v>0</v>
      </c>
    </row>
    <row r="2657" spans="1:2">
      <c r="A2657" t="str">
        <f t="shared" ca="1" si="82"/>
        <v/>
      </c>
      <c r="B2657">
        <f t="shared" ca="1" si="83"/>
        <v>0</v>
      </c>
    </row>
    <row r="2658" spans="1:2">
      <c r="A2658" t="str">
        <f t="shared" ca="1" si="82"/>
        <v/>
      </c>
      <c r="B2658">
        <f t="shared" ca="1" si="83"/>
        <v>0</v>
      </c>
    </row>
    <row r="2659" spans="1:2">
      <c r="A2659" t="str">
        <f t="shared" ca="1" si="82"/>
        <v/>
      </c>
      <c r="B2659">
        <f t="shared" ca="1" si="83"/>
        <v>0</v>
      </c>
    </row>
    <row r="2660" spans="1:2">
      <c r="A2660" t="str">
        <f t="shared" ca="1" si="82"/>
        <v/>
      </c>
      <c r="B2660">
        <f t="shared" ca="1" si="83"/>
        <v>0</v>
      </c>
    </row>
    <row r="2661" spans="1:2">
      <c r="A2661" t="str">
        <f t="shared" ca="1" si="82"/>
        <v/>
      </c>
      <c r="B2661">
        <f t="shared" ca="1" si="83"/>
        <v>0</v>
      </c>
    </row>
    <row r="2662" spans="1:2">
      <c r="A2662" t="str">
        <f t="shared" ca="1" si="82"/>
        <v/>
      </c>
      <c r="B2662">
        <f t="shared" ca="1" si="83"/>
        <v>0</v>
      </c>
    </row>
    <row r="2663" spans="1:2">
      <c r="A2663" t="str">
        <f t="shared" ca="1" si="82"/>
        <v/>
      </c>
      <c r="B2663">
        <f t="shared" ca="1" si="83"/>
        <v>0</v>
      </c>
    </row>
    <row r="2664" spans="1:2">
      <c r="A2664" t="str">
        <f t="shared" ca="1" si="82"/>
        <v/>
      </c>
      <c r="B2664">
        <f t="shared" ca="1" si="83"/>
        <v>0</v>
      </c>
    </row>
    <row r="2665" spans="1:2">
      <c r="A2665" t="str">
        <f t="shared" ca="1" si="82"/>
        <v/>
      </c>
      <c r="B2665">
        <f t="shared" ca="1" si="83"/>
        <v>0</v>
      </c>
    </row>
    <row r="2666" spans="1:2">
      <c r="A2666" t="str">
        <f t="shared" ca="1" si="82"/>
        <v/>
      </c>
      <c r="B2666">
        <f t="shared" ca="1" si="83"/>
        <v>0</v>
      </c>
    </row>
    <row r="2667" spans="1:2">
      <c r="A2667" t="str">
        <f t="shared" ca="1" si="82"/>
        <v/>
      </c>
      <c r="B2667">
        <f t="shared" ca="1" si="83"/>
        <v>0</v>
      </c>
    </row>
    <row r="2668" spans="1:2">
      <c r="A2668" t="str">
        <f t="shared" ca="1" si="82"/>
        <v/>
      </c>
      <c r="B2668">
        <f t="shared" ca="1" si="83"/>
        <v>0</v>
      </c>
    </row>
    <row r="2669" spans="1:2">
      <c r="A2669" t="str">
        <f t="shared" ca="1" si="82"/>
        <v/>
      </c>
      <c r="B2669">
        <f t="shared" ca="1" si="83"/>
        <v>0</v>
      </c>
    </row>
    <row r="2670" spans="1:2">
      <c r="A2670" t="str">
        <f t="shared" ca="1" si="82"/>
        <v/>
      </c>
      <c r="B2670">
        <f t="shared" ca="1" si="83"/>
        <v>0</v>
      </c>
    </row>
    <row r="2671" spans="1:2">
      <c r="A2671" t="str">
        <f t="shared" ca="1" si="82"/>
        <v/>
      </c>
      <c r="B2671">
        <f t="shared" ca="1" si="83"/>
        <v>0</v>
      </c>
    </row>
    <row r="2672" spans="1:2">
      <c r="A2672" t="str">
        <f t="shared" ca="1" si="82"/>
        <v/>
      </c>
      <c r="B2672">
        <f t="shared" ca="1" si="83"/>
        <v>0</v>
      </c>
    </row>
    <row r="2673" spans="1:2">
      <c r="A2673" t="str">
        <f t="shared" ca="1" si="82"/>
        <v/>
      </c>
      <c r="B2673">
        <f t="shared" ca="1" si="83"/>
        <v>0</v>
      </c>
    </row>
    <row r="2674" spans="1:2">
      <c r="A2674" t="str">
        <f t="shared" ca="1" si="82"/>
        <v/>
      </c>
      <c r="B2674">
        <f t="shared" ca="1" si="83"/>
        <v>0</v>
      </c>
    </row>
    <row r="2675" spans="1:2">
      <c r="A2675" t="str">
        <f t="shared" ca="1" si="82"/>
        <v/>
      </c>
      <c r="B2675">
        <f t="shared" ca="1" si="83"/>
        <v>0</v>
      </c>
    </row>
    <row r="2676" spans="1:2">
      <c r="A2676" t="str">
        <f t="shared" ca="1" si="82"/>
        <v/>
      </c>
      <c r="B2676">
        <f t="shared" ca="1" si="83"/>
        <v>0</v>
      </c>
    </row>
    <row r="2677" spans="1:2">
      <c r="A2677" t="str">
        <f t="shared" ca="1" si="82"/>
        <v/>
      </c>
      <c r="B2677">
        <f t="shared" ca="1" si="83"/>
        <v>0</v>
      </c>
    </row>
    <row r="2678" spans="1:2">
      <c r="A2678" t="str">
        <f t="shared" ca="1" si="82"/>
        <v/>
      </c>
      <c r="B2678">
        <f t="shared" ca="1" si="83"/>
        <v>0</v>
      </c>
    </row>
    <row r="2679" spans="1:2">
      <c r="A2679" t="str">
        <f t="shared" ca="1" si="82"/>
        <v/>
      </c>
      <c r="B2679">
        <f t="shared" ca="1" si="83"/>
        <v>0</v>
      </c>
    </row>
    <row r="2680" spans="1:2">
      <c r="A2680" t="str">
        <f t="shared" ca="1" si="82"/>
        <v/>
      </c>
      <c r="B2680">
        <f t="shared" ca="1" si="83"/>
        <v>0</v>
      </c>
    </row>
    <row r="2681" spans="1:2">
      <c r="A2681" t="str">
        <f t="shared" ca="1" si="82"/>
        <v/>
      </c>
      <c r="B2681">
        <f t="shared" ca="1" si="83"/>
        <v>0</v>
      </c>
    </row>
    <row r="2682" spans="1:2">
      <c r="A2682" t="str">
        <f t="shared" ca="1" si="82"/>
        <v/>
      </c>
      <c r="B2682">
        <f t="shared" ca="1" si="83"/>
        <v>0</v>
      </c>
    </row>
    <row r="2683" spans="1:2">
      <c r="A2683" t="str">
        <f t="shared" ca="1" si="82"/>
        <v/>
      </c>
      <c r="B2683">
        <f t="shared" ca="1" si="83"/>
        <v>0</v>
      </c>
    </row>
    <row r="2684" spans="1:2">
      <c r="A2684" t="str">
        <f t="shared" ca="1" si="82"/>
        <v/>
      </c>
      <c r="B2684">
        <f t="shared" ca="1" si="83"/>
        <v>0</v>
      </c>
    </row>
    <row r="2685" spans="1:2">
      <c r="A2685" t="str">
        <f t="shared" ca="1" si="82"/>
        <v/>
      </c>
      <c r="B2685">
        <f t="shared" ca="1" si="83"/>
        <v>0</v>
      </c>
    </row>
    <row r="2686" spans="1:2">
      <c r="A2686" t="str">
        <f t="shared" ca="1" si="82"/>
        <v/>
      </c>
      <c r="B2686">
        <f t="shared" ca="1" si="83"/>
        <v>0</v>
      </c>
    </row>
    <row r="2687" spans="1:2">
      <c r="A2687" t="str">
        <f t="shared" ca="1" si="82"/>
        <v/>
      </c>
      <c r="B2687">
        <f t="shared" ca="1" si="83"/>
        <v>0</v>
      </c>
    </row>
    <row r="2688" spans="1:2">
      <c r="A2688" t="str">
        <f t="shared" ca="1" si="82"/>
        <v/>
      </c>
      <c r="B2688">
        <f t="shared" ca="1" si="83"/>
        <v>0</v>
      </c>
    </row>
    <row r="2689" spans="1:2">
      <c r="A2689" t="str">
        <f t="shared" ca="1" si="82"/>
        <v/>
      </c>
      <c r="B2689">
        <f t="shared" ca="1" si="83"/>
        <v>0</v>
      </c>
    </row>
    <row r="2690" spans="1:2">
      <c r="A2690" t="str">
        <f t="shared" ref="A2690:A2753" ca="1" si="84">CONCATENATE(INDIRECT(ADDRESS(ROW(),3)))</f>
        <v/>
      </c>
      <c r="B2690">
        <f t="shared" ref="B2690:B2753" ca="1" si="85">IF(IF(INDIRECT(ADDRESS(ROW(),1))&lt;&gt;"",IF(ISNA(MATCH(LEFT(INDIRECT(ADDRESS(ROW(),1)),2),PCNG_MN,0))=TRUE,1,0),0)+IF(INDIRECT(ADDRESS(ROW(),1))&lt;&gt;"",IF(ISNA(MATCH(LEFT(INDIRECT(ADDRESS(ROW(),1)),3),PCNG_MN,0))=TRUE,1,0),0)+IF(INDIRECT(ADDRESS(ROW(),1))&lt;&gt;"",IF(ISNA(MATCH(LEFT(INDIRECT(ADDRESS(ROW(),1)),4),PCNG_MN,0))=TRUE,1,0),0)&gt;=3,1,0)</f>
        <v>0</v>
      </c>
    </row>
    <row r="2691" spans="1:2">
      <c r="A2691" t="str">
        <f t="shared" ca="1" si="84"/>
        <v/>
      </c>
      <c r="B2691">
        <f t="shared" ca="1" si="85"/>
        <v>0</v>
      </c>
    </row>
    <row r="2692" spans="1:2">
      <c r="A2692" t="str">
        <f t="shared" ca="1" si="84"/>
        <v/>
      </c>
      <c r="B2692">
        <f t="shared" ca="1" si="85"/>
        <v>0</v>
      </c>
    </row>
    <row r="2693" spans="1:2">
      <c r="A2693" t="str">
        <f t="shared" ca="1" si="84"/>
        <v/>
      </c>
      <c r="B2693">
        <f t="shared" ca="1" si="85"/>
        <v>0</v>
      </c>
    </row>
    <row r="2694" spans="1:2">
      <c r="A2694" t="str">
        <f t="shared" ca="1" si="84"/>
        <v/>
      </c>
      <c r="B2694">
        <f t="shared" ca="1" si="85"/>
        <v>0</v>
      </c>
    </row>
    <row r="2695" spans="1:2">
      <c r="A2695" t="str">
        <f t="shared" ca="1" si="84"/>
        <v/>
      </c>
      <c r="B2695">
        <f t="shared" ca="1" si="85"/>
        <v>0</v>
      </c>
    </row>
    <row r="2696" spans="1:2">
      <c r="A2696" t="str">
        <f t="shared" ca="1" si="84"/>
        <v/>
      </c>
      <c r="B2696">
        <f t="shared" ca="1" si="85"/>
        <v>0</v>
      </c>
    </row>
    <row r="2697" spans="1:2">
      <c r="A2697" t="str">
        <f t="shared" ca="1" si="84"/>
        <v/>
      </c>
      <c r="B2697">
        <f t="shared" ca="1" si="85"/>
        <v>0</v>
      </c>
    </row>
    <row r="2698" spans="1:2">
      <c r="A2698" t="str">
        <f t="shared" ca="1" si="84"/>
        <v/>
      </c>
      <c r="B2698">
        <f t="shared" ca="1" si="85"/>
        <v>0</v>
      </c>
    </row>
    <row r="2699" spans="1:2">
      <c r="A2699" t="str">
        <f t="shared" ca="1" si="84"/>
        <v/>
      </c>
      <c r="B2699">
        <f t="shared" ca="1" si="85"/>
        <v>0</v>
      </c>
    </row>
    <row r="2700" spans="1:2">
      <c r="A2700" t="str">
        <f t="shared" ca="1" si="84"/>
        <v/>
      </c>
      <c r="B2700">
        <f t="shared" ca="1" si="85"/>
        <v>0</v>
      </c>
    </row>
    <row r="2701" spans="1:2">
      <c r="A2701" t="str">
        <f t="shared" ca="1" si="84"/>
        <v/>
      </c>
      <c r="B2701">
        <f t="shared" ca="1" si="85"/>
        <v>0</v>
      </c>
    </row>
    <row r="2702" spans="1:2">
      <c r="A2702" t="str">
        <f t="shared" ca="1" si="84"/>
        <v/>
      </c>
      <c r="B2702">
        <f t="shared" ca="1" si="85"/>
        <v>0</v>
      </c>
    </row>
    <row r="2703" spans="1:2">
      <c r="A2703" t="str">
        <f t="shared" ca="1" si="84"/>
        <v/>
      </c>
      <c r="B2703">
        <f t="shared" ca="1" si="85"/>
        <v>0</v>
      </c>
    </row>
    <row r="2704" spans="1:2">
      <c r="A2704" t="str">
        <f t="shared" ca="1" si="84"/>
        <v/>
      </c>
      <c r="B2704">
        <f t="shared" ca="1" si="85"/>
        <v>0</v>
      </c>
    </row>
    <row r="2705" spans="1:2">
      <c r="A2705" t="str">
        <f t="shared" ca="1" si="84"/>
        <v/>
      </c>
      <c r="B2705">
        <f t="shared" ca="1" si="85"/>
        <v>0</v>
      </c>
    </row>
    <row r="2706" spans="1:2">
      <c r="A2706" t="str">
        <f t="shared" ca="1" si="84"/>
        <v/>
      </c>
      <c r="B2706">
        <f t="shared" ca="1" si="85"/>
        <v>0</v>
      </c>
    </row>
    <row r="2707" spans="1:2">
      <c r="A2707" t="str">
        <f t="shared" ca="1" si="84"/>
        <v/>
      </c>
      <c r="B2707">
        <f t="shared" ca="1" si="85"/>
        <v>0</v>
      </c>
    </row>
    <row r="2708" spans="1:2">
      <c r="A2708" t="str">
        <f t="shared" ca="1" si="84"/>
        <v/>
      </c>
      <c r="B2708">
        <f t="shared" ca="1" si="85"/>
        <v>0</v>
      </c>
    </row>
    <row r="2709" spans="1:2">
      <c r="A2709" t="str">
        <f t="shared" ca="1" si="84"/>
        <v/>
      </c>
      <c r="B2709">
        <f t="shared" ca="1" si="85"/>
        <v>0</v>
      </c>
    </row>
    <row r="2710" spans="1:2">
      <c r="A2710" t="str">
        <f t="shared" ca="1" si="84"/>
        <v/>
      </c>
      <c r="B2710">
        <f t="shared" ca="1" si="85"/>
        <v>0</v>
      </c>
    </row>
    <row r="2711" spans="1:2">
      <c r="A2711" t="str">
        <f t="shared" ca="1" si="84"/>
        <v/>
      </c>
      <c r="B2711">
        <f t="shared" ca="1" si="85"/>
        <v>0</v>
      </c>
    </row>
    <row r="2712" spans="1:2">
      <c r="A2712" t="str">
        <f t="shared" ca="1" si="84"/>
        <v/>
      </c>
      <c r="B2712">
        <f t="shared" ca="1" si="85"/>
        <v>0</v>
      </c>
    </row>
    <row r="2713" spans="1:2">
      <c r="A2713" t="str">
        <f t="shared" ca="1" si="84"/>
        <v/>
      </c>
      <c r="B2713">
        <f t="shared" ca="1" si="85"/>
        <v>0</v>
      </c>
    </row>
    <row r="2714" spans="1:2">
      <c r="A2714" t="str">
        <f t="shared" ca="1" si="84"/>
        <v/>
      </c>
      <c r="B2714">
        <f t="shared" ca="1" si="85"/>
        <v>0</v>
      </c>
    </row>
    <row r="2715" spans="1:2">
      <c r="A2715" t="str">
        <f t="shared" ca="1" si="84"/>
        <v/>
      </c>
      <c r="B2715">
        <f t="shared" ca="1" si="85"/>
        <v>0</v>
      </c>
    </row>
    <row r="2716" spans="1:2">
      <c r="A2716" t="str">
        <f t="shared" ca="1" si="84"/>
        <v/>
      </c>
      <c r="B2716">
        <f t="shared" ca="1" si="85"/>
        <v>0</v>
      </c>
    </row>
    <row r="2717" spans="1:2">
      <c r="A2717" t="str">
        <f t="shared" ca="1" si="84"/>
        <v/>
      </c>
      <c r="B2717">
        <f t="shared" ca="1" si="85"/>
        <v>0</v>
      </c>
    </row>
    <row r="2718" spans="1:2">
      <c r="A2718" t="str">
        <f t="shared" ca="1" si="84"/>
        <v/>
      </c>
      <c r="B2718">
        <f t="shared" ca="1" si="85"/>
        <v>0</v>
      </c>
    </row>
    <row r="2719" spans="1:2">
      <c r="A2719" t="str">
        <f t="shared" ca="1" si="84"/>
        <v/>
      </c>
      <c r="B2719">
        <f t="shared" ca="1" si="85"/>
        <v>0</v>
      </c>
    </row>
    <row r="2720" spans="1:2">
      <c r="A2720" t="str">
        <f t="shared" ca="1" si="84"/>
        <v/>
      </c>
      <c r="B2720">
        <f t="shared" ca="1" si="85"/>
        <v>0</v>
      </c>
    </row>
    <row r="2721" spans="1:2">
      <c r="A2721" t="str">
        <f t="shared" ca="1" si="84"/>
        <v/>
      </c>
      <c r="B2721">
        <f t="shared" ca="1" si="85"/>
        <v>0</v>
      </c>
    </row>
    <row r="2722" spans="1:2">
      <c r="A2722" t="str">
        <f t="shared" ca="1" si="84"/>
        <v/>
      </c>
      <c r="B2722">
        <f t="shared" ca="1" si="85"/>
        <v>0</v>
      </c>
    </row>
    <row r="2723" spans="1:2">
      <c r="A2723" t="str">
        <f t="shared" ca="1" si="84"/>
        <v/>
      </c>
      <c r="B2723">
        <f t="shared" ca="1" si="85"/>
        <v>0</v>
      </c>
    </row>
    <row r="2724" spans="1:2">
      <c r="A2724" t="str">
        <f t="shared" ca="1" si="84"/>
        <v/>
      </c>
      <c r="B2724">
        <f t="shared" ca="1" si="85"/>
        <v>0</v>
      </c>
    </row>
    <row r="2725" spans="1:2">
      <c r="A2725" t="str">
        <f t="shared" ca="1" si="84"/>
        <v/>
      </c>
      <c r="B2725">
        <f t="shared" ca="1" si="85"/>
        <v>0</v>
      </c>
    </row>
    <row r="2726" spans="1:2">
      <c r="A2726" t="str">
        <f t="shared" ca="1" si="84"/>
        <v/>
      </c>
      <c r="B2726">
        <f t="shared" ca="1" si="85"/>
        <v>0</v>
      </c>
    </row>
    <row r="2727" spans="1:2">
      <c r="A2727" t="str">
        <f t="shared" ca="1" si="84"/>
        <v/>
      </c>
      <c r="B2727">
        <f t="shared" ca="1" si="85"/>
        <v>0</v>
      </c>
    </row>
    <row r="2728" spans="1:2">
      <c r="A2728" t="str">
        <f t="shared" ca="1" si="84"/>
        <v/>
      </c>
      <c r="B2728">
        <f t="shared" ca="1" si="85"/>
        <v>0</v>
      </c>
    </row>
    <row r="2729" spans="1:2">
      <c r="A2729" t="str">
        <f t="shared" ca="1" si="84"/>
        <v/>
      </c>
      <c r="B2729">
        <f t="shared" ca="1" si="85"/>
        <v>0</v>
      </c>
    </row>
    <row r="2730" spans="1:2">
      <c r="A2730" t="str">
        <f t="shared" ca="1" si="84"/>
        <v/>
      </c>
      <c r="B2730">
        <f t="shared" ca="1" si="85"/>
        <v>0</v>
      </c>
    </row>
    <row r="2731" spans="1:2">
      <c r="A2731" t="str">
        <f t="shared" ca="1" si="84"/>
        <v/>
      </c>
      <c r="B2731">
        <f t="shared" ca="1" si="85"/>
        <v>0</v>
      </c>
    </row>
    <row r="2732" spans="1:2">
      <c r="A2732" t="str">
        <f t="shared" ca="1" si="84"/>
        <v/>
      </c>
      <c r="B2732">
        <f t="shared" ca="1" si="85"/>
        <v>0</v>
      </c>
    </row>
    <row r="2733" spans="1:2">
      <c r="A2733" t="str">
        <f t="shared" ca="1" si="84"/>
        <v/>
      </c>
      <c r="B2733">
        <f t="shared" ca="1" si="85"/>
        <v>0</v>
      </c>
    </row>
    <row r="2734" spans="1:2">
      <c r="A2734" t="str">
        <f t="shared" ca="1" si="84"/>
        <v/>
      </c>
      <c r="B2734">
        <f t="shared" ca="1" si="85"/>
        <v>0</v>
      </c>
    </row>
    <row r="2735" spans="1:2">
      <c r="A2735" t="str">
        <f t="shared" ca="1" si="84"/>
        <v/>
      </c>
      <c r="B2735">
        <f t="shared" ca="1" si="85"/>
        <v>0</v>
      </c>
    </row>
    <row r="2736" spans="1:2">
      <c r="A2736" t="str">
        <f t="shared" ca="1" si="84"/>
        <v/>
      </c>
      <c r="B2736">
        <f t="shared" ca="1" si="85"/>
        <v>0</v>
      </c>
    </row>
    <row r="2737" spans="1:2">
      <c r="A2737" t="str">
        <f t="shared" ca="1" si="84"/>
        <v/>
      </c>
      <c r="B2737">
        <f t="shared" ca="1" si="85"/>
        <v>0</v>
      </c>
    </row>
    <row r="2738" spans="1:2">
      <c r="A2738" t="str">
        <f t="shared" ca="1" si="84"/>
        <v/>
      </c>
      <c r="B2738">
        <f t="shared" ca="1" si="85"/>
        <v>0</v>
      </c>
    </row>
    <row r="2739" spans="1:2">
      <c r="A2739" t="str">
        <f t="shared" ca="1" si="84"/>
        <v/>
      </c>
      <c r="B2739">
        <f t="shared" ca="1" si="85"/>
        <v>0</v>
      </c>
    </row>
    <row r="2740" spans="1:2">
      <c r="A2740" t="str">
        <f t="shared" ca="1" si="84"/>
        <v/>
      </c>
      <c r="B2740">
        <f t="shared" ca="1" si="85"/>
        <v>0</v>
      </c>
    </row>
    <row r="2741" spans="1:2">
      <c r="A2741" t="str">
        <f t="shared" ca="1" si="84"/>
        <v/>
      </c>
      <c r="B2741">
        <f t="shared" ca="1" si="85"/>
        <v>0</v>
      </c>
    </row>
    <row r="2742" spans="1:2">
      <c r="A2742" t="str">
        <f t="shared" ca="1" si="84"/>
        <v/>
      </c>
      <c r="B2742">
        <f t="shared" ca="1" si="85"/>
        <v>0</v>
      </c>
    </row>
    <row r="2743" spans="1:2">
      <c r="A2743" t="str">
        <f t="shared" ca="1" si="84"/>
        <v/>
      </c>
      <c r="B2743">
        <f t="shared" ca="1" si="85"/>
        <v>0</v>
      </c>
    </row>
    <row r="2744" spans="1:2">
      <c r="A2744" t="str">
        <f t="shared" ca="1" si="84"/>
        <v/>
      </c>
      <c r="B2744">
        <f t="shared" ca="1" si="85"/>
        <v>0</v>
      </c>
    </row>
    <row r="2745" spans="1:2">
      <c r="A2745" t="str">
        <f t="shared" ca="1" si="84"/>
        <v/>
      </c>
      <c r="B2745">
        <f t="shared" ca="1" si="85"/>
        <v>0</v>
      </c>
    </row>
    <row r="2746" spans="1:2">
      <c r="A2746" t="str">
        <f t="shared" ca="1" si="84"/>
        <v/>
      </c>
      <c r="B2746">
        <f t="shared" ca="1" si="85"/>
        <v>0</v>
      </c>
    </row>
    <row r="2747" spans="1:2">
      <c r="A2747" t="str">
        <f t="shared" ca="1" si="84"/>
        <v/>
      </c>
      <c r="B2747">
        <f t="shared" ca="1" si="85"/>
        <v>0</v>
      </c>
    </row>
    <row r="2748" spans="1:2">
      <c r="A2748" t="str">
        <f t="shared" ca="1" si="84"/>
        <v/>
      </c>
      <c r="B2748">
        <f t="shared" ca="1" si="85"/>
        <v>0</v>
      </c>
    </row>
    <row r="2749" spans="1:2">
      <c r="A2749" t="str">
        <f t="shared" ca="1" si="84"/>
        <v/>
      </c>
      <c r="B2749">
        <f t="shared" ca="1" si="85"/>
        <v>0</v>
      </c>
    </row>
    <row r="2750" spans="1:2">
      <c r="A2750" t="str">
        <f t="shared" ca="1" si="84"/>
        <v/>
      </c>
      <c r="B2750">
        <f t="shared" ca="1" si="85"/>
        <v>0</v>
      </c>
    </row>
    <row r="2751" spans="1:2">
      <c r="A2751" t="str">
        <f t="shared" ca="1" si="84"/>
        <v/>
      </c>
      <c r="B2751">
        <f t="shared" ca="1" si="85"/>
        <v>0</v>
      </c>
    </row>
    <row r="2752" spans="1:2">
      <c r="A2752" t="str">
        <f t="shared" ca="1" si="84"/>
        <v/>
      </c>
      <c r="B2752">
        <f t="shared" ca="1" si="85"/>
        <v>0</v>
      </c>
    </row>
    <row r="2753" spans="1:2">
      <c r="A2753" t="str">
        <f t="shared" ca="1" si="84"/>
        <v/>
      </c>
      <c r="B2753">
        <f t="shared" ca="1" si="85"/>
        <v>0</v>
      </c>
    </row>
    <row r="2754" spans="1:2">
      <c r="A2754" t="str">
        <f t="shared" ref="A2754:A2817" ca="1" si="86">CONCATENATE(INDIRECT(ADDRESS(ROW(),3)))</f>
        <v/>
      </c>
      <c r="B2754">
        <f t="shared" ref="B2754:B2817" ca="1" si="87">IF(IF(INDIRECT(ADDRESS(ROW(),1))&lt;&gt;"",IF(ISNA(MATCH(LEFT(INDIRECT(ADDRESS(ROW(),1)),2),PCNG_MN,0))=TRUE,1,0),0)+IF(INDIRECT(ADDRESS(ROW(),1))&lt;&gt;"",IF(ISNA(MATCH(LEFT(INDIRECT(ADDRESS(ROW(),1)),3),PCNG_MN,0))=TRUE,1,0),0)+IF(INDIRECT(ADDRESS(ROW(),1))&lt;&gt;"",IF(ISNA(MATCH(LEFT(INDIRECT(ADDRESS(ROW(),1)),4),PCNG_MN,0))=TRUE,1,0),0)&gt;=3,1,0)</f>
        <v>0</v>
      </c>
    </row>
    <row r="2755" spans="1:2">
      <c r="A2755" t="str">
        <f t="shared" ca="1" si="86"/>
        <v/>
      </c>
      <c r="B2755">
        <f t="shared" ca="1" si="87"/>
        <v>0</v>
      </c>
    </row>
    <row r="2756" spans="1:2">
      <c r="A2756" t="str">
        <f t="shared" ca="1" si="86"/>
        <v/>
      </c>
      <c r="B2756">
        <f t="shared" ca="1" si="87"/>
        <v>0</v>
      </c>
    </row>
    <row r="2757" spans="1:2">
      <c r="A2757" t="str">
        <f t="shared" ca="1" si="86"/>
        <v/>
      </c>
      <c r="B2757">
        <f t="shared" ca="1" si="87"/>
        <v>0</v>
      </c>
    </row>
    <row r="2758" spans="1:2">
      <c r="A2758" t="str">
        <f t="shared" ca="1" si="86"/>
        <v/>
      </c>
      <c r="B2758">
        <f t="shared" ca="1" si="87"/>
        <v>0</v>
      </c>
    </row>
    <row r="2759" spans="1:2">
      <c r="A2759" t="str">
        <f t="shared" ca="1" si="86"/>
        <v/>
      </c>
      <c r="B2759">
        <f t="shared" ca="1" si="87"/>
        <v>0</v>
      </c>
    </row>
    <row r="2760" spans="1:2">
      <c r="A2760" t="str">
        <f t="shared" ca="1" si="86"/>
        <v/>
      </c>
      <c r="B2760">
        <f t="shared" ca="1" si="87"/>
        <v>0</v>
      </c>
    </row>
    <row r="2761" spans="1:2">
      <c r="A2761" t="str">
        <f t="shared" ca="1" si="86"/>
        <v/>
      </c>
      <c r="B2761">
        <f t="shared" ca="1" si="87"/>
        <v>0</v>
      </c>
    </row>
    <row r="2762" spans="1:2">
      <c r="A2762" t="str">
        <f t="shared" ca="1" si="86"/>
        <v/>
      </c>
      <c r="B2762">
        <f t="shared" ca="1" si="87"/>
        <v>0</v>
      </c>
    </row>
    <row r="2763" spans="1:2">
      <c r="A2763" t="str">
        <f t="shared" ca="1" si="86"/>
        <v/>
      </c>
      <c r="B2763">
        <f t="shared" ca="1" si="87"/>
        <v>0</v>
      </c>
    </row>
    <row r="2764" spans="1:2">
      <c r="A2764" t="str">
        <f t="shared" ca="1" si="86"/>
        <v/>
      </c>
      <c r="B2764">
        <f t="shared" ca="1" si="87"/>
        <v>0</v>
      </c>
    </row>
    <row r="2765" spans="1:2">
      <c r="A2765" t="str">
        <f t="shared" ca="1" si="86"/>
        <v/>
      </c>
      <c r="B2765">
        <f t="shared" ca="1" si="87"/>
        <v>0</v>
      </c>
    </row>
    <row r="2766" spans="1:2">
      <c r="A2766" t="str">
        <f t="shared" ca="1" si="86"/>
        <v/>
      </c>
      <c r="B2766">
        <f t="shared" ca="1" si="87"/>
        <v>0</v>
      </c>
    </row>
    <row r="2767" spans="1:2">
      <c r="A2767" t="str">
        <f t="shared" ca="1" si="86"/>
        <v/>
      </c>
      <c r="B2767">
        <f t="shared" ca="1" si="87"/>
        <v>0</v>
      </c>
    </row>
    <row r="2768" spans="1:2">
      <c r="A2768" t="str">
        <f t="shared" ca="1" si="86"/>
        <v/>
      </c>
      <c r="B2768">
        <f t="shared" ca="1" si="87"/>
        <v>0</v>
      </c>
    </row>
    <row r="2769" spans="1:2">
      <c r="A2769" t="str">
        <f t="shared" ca="1" si="86"/>
        <v/>
      </c>
      <c r="B2769">
        <f t="shared" ca="1" si="87"/>
        <v>0</v>
      </c>
    </row>
    <row r="2770" spans="1:2">
      <c r="A2770" t="str">
        <f t="shared" ca="1" si="86"/>
        <v/>
      </c>
      <c r="B2770">
        <f t="shared" ca="1" si="87"/>
        <v>0</v>
      </c>
    </row>
    <row r="2771" spans="1:2">
      <c r="A2771" t="str">
        <f t="shared" ca="1" si="86"/>
        <v/>
      </c>
      <c r="B2771">
        <f t="shared" ca="1" si="87"/>
        <v>0</v>
      </c>
    </row>
    <row r="2772" spans="1:2">
      <c r="A2772" t="str">
        <f t="shared" ca="1" si="86"/>
        <v/>
      </c>
      <c r="B2772">
        <f t="shared" ca="1" si="87"/>
        <v>0</v>
      </c>
    </row>
    <row r="2773" spans="1:2">
      <c r="A2773" t="str">
        <f t="shared" ca="1" si="86"/>
        <v/>
      </c>
      <c r="B2773">
        <f t="shared" ca="1" si="87"/>
        <v>0</v>
      </c>
    </row>
    <row r="2774" spans="1:2">
      <c r="A2774" t="str">
        <f t="shared" ca="1" si="86"/>
        <v/>
      </c>
      <c r="B2774">
        <f t="shared" ca="1" si="87"/>
        <v>0</v>
      </c>
    </row>
    <row r="2775" spans="1:2">
      <c r="A2775" t="str">
        <f t="shared" ca="1" si="86"/>
        <v/>
      </c>
      <c r="B2775">
        <f t="shared" ca="1" si="87"/>
        <v>0</v>
      </c>
    </row>
    <row r="2776" spans="1:2">
      <c r="A2776" t="str">
        <f t="shared" ca="1" si="86"/>
        <v/>
      </c>
      <c r="B2776">
        <f t="shared" ca="1" si="87"/>
        <v>0</v>
      </c>
    </row>
    <row r="2777" spans="1:2">
      <c r="A2777" t="str">
        <f t="shared" ca="1" si="86"/>
        <v/>
      </c>
      <c r="B2777">
        <f t="shared" ca="1" si="87"/>
        <v>0</v>
      </c>
    </row>
    <row r="2778" spans="1:2">
      <c r="A2778" t="str">
        <f t="shared" ca="1" si="86"/>
        <v/>
      </c>
      <c r="B2778">
        <f t="shared" ca="1" si="87"/>
        <v>0</v>
      </c>
    </row>
    <row r="2779" spans="1:2">
      <c r="A2779" t="str">
        <f t="shared" ca="1" si="86"/>
        <v/>
      </c>
      <c r="B2779">
        <f t="shared" ca="1" si="87"/>
        <v>0</v>
      </c>
    </row>
    <row r="2780" spans="1:2">
      <c r="A2780" t="str">
        <f t="shared" ca="1" si="86"/>
        <v/>
      </c>
      <c r="B2780">
        <f t="shared" ca="1" si="87"/>
        <v>0</v>
      </c>
    </row>
    <row r="2781" spans="1:2">
      <c r="A2781" t="str">
        <f t="shared" ca="1" si="86"/>
        <v/>
      </c>
      <c r="B2781">
        <f t="shared" ca="1" si="87"/>
        <v>0</v>
      </c>
    </row>
    <row r="2782" spans="1:2">
      <c r="A2782" t="str">
        <f t="shared" ca="1" si="86"/>
        <v/>
      </c>
      <c r="B2782">
        <f t="shared" ca="1" si="87"/>
        <v>0</v>
      </c>
    </row>
    <row r="2783" spans="1:2">
      <c r="A2783" t="str">
        <f t="shared" ca="1" si="86"/>
        <v/>
      </c>
      <c r="B2783">
        <f t="shared" ca="1" si="87"/>
        <v>0</v>
      </c>
    </row>
    <row r="2784" spans="1:2">
      <c r="A2784" t="str">
        <f t="shared" ca="1" si="86"/>
        <v/>
      </c>
      <c r="B2784">
        <f t="shared" ca="1" si="87"/>
        <v>0</v>
      </c>
    </row>
    <row r="2785" spans="1:2">
      <c r="A2785" t="str">
        <f t="shared" ca="1" si="86"/>
        <v/>
      </c>
      <c r="B2785">
        <f t="shared" ca="1" si="87"/>
        <v>0</v>
      </c>
    </row>
    <row r="2786" spans="1:2">
      <c r="A2786" t="str">
        <f t="shared" ca="1" si="86"/>
        <v/>
      </c>
      <c r="B2786">
        <f t="shared" ca="1" si="87"/>
        <v>0</v>
      </c>
    </row>
    <row r="2787" spans="1:2">
      <c r="A2787" t="str">
        <f t="shared" ca="1" si="86"/>
        <v/>
      </c>
      <c r="B2787">
        <f t="shared" ca="1" si="87"/>
        <v>0</v>
      </c>
    </row>
    <row r="2788" spans="1:2">
      <c r="A2788" t="str">
        <f t="shared" ca="1" si="86"/>
        <v/>
      </c>
      <c r="B2788">
        <f t="shared" ca="1" si="87"/>
        <v>0</v>
      </c>
    </row>
    <row r="2789" spans="1:2">
      <c r="A2789" t="str">
        <f t="shared" ca="1" si="86"/>
        <v/>
      </c>
      <c r="B2789">
        <f t="shared" ca="1" si="87"/>
        <v>0</v>
      </c>
    </row>
    <row r="2790" spans="1:2">
      <c r="A2790" t="str">
        <f t="shared" ca="1" si="86"/>
        <v/>
      </c>
      <c r="B2790">
        <f t="shared" ca="1" si="87"/>
        <v>0</v>
      </c>
    </row>
    <row r="2791" spans="1:2">
      <c r="A2791" t="str">
        <f t="shared" ca="1" si="86"/>
        <v/>
      </c>
      <c r="B2791">
        <f t="shared" ca="1" si="87"/>
        <v>0</v>
      </c>
    </row>
    <row r="2792" spans="1:2">
      <c r="A2792" t="str">
        <f t="shared" ca="1" si="86"/>
        <v/>
      </c>
      <c r="B2792">
        <f t="shared" ca="1" si="87"/>
        <v>0</v>
      </c>
    </row>
    <row r="2793" spans="1:2">
      <c r="A2793" t="str">
        <f t="shared" ca="1" si="86"/>
        <v/>
      </c>
      <c r="B2793">
        <f t="shared" ca="1" si="87"/>
        <v>0</v>
      </c>
    </row>
    <row r="2794" spans="1:2">
      <c r="A2794" t="str">
        <f t="shared" ca="1" si="86"/>
        <v/>
      </c>
      <c r="B2794">
        <f t="shared" ca="1" si="87"/>
        <v>0</v>
      </c>
    </row>
    <row r="2795" spans="1:2">
      <c r="A2795" t="str">
        <f t="shared" ca="1" si="86"/>
        <v/>
      </c>
      <c r="B2795">
        <f t="shared" ca="1" si="87"/>
        <v>0</v>
      </c>
    </row>
    <row r="2796" spans="1:2">
      <c r="A2796" t="str">
        <f t="shared" ca="1" si="86"/>
        <v/>
      </c>
      <c r="B2796">
        <f t="shared" ca="1" si="87"/>
        <v>0</v>
      </c>
    </row>
    <row r="2797" spans="1:2">
      <c r="A2797" t="str">
        <f t="shared" ca="1" si="86"/>
        <v/>
      </c>
      <c r="B2797">
        <f t="shared" ca="1" si="87"/>
        <v>0</v>
      </c>
    </row>
    <row r="2798" spans="1:2">
      <c r="A2798" t="str">
        <f t="shared" ca="1" si="86"/>
        <v/>
      </c>
      <c r="B2798">
        <f t="shared" ca="1" si="87"/>
        <v>0</v>
      </c>
    </row>
    <row r="2799" spans="1:2">
      <c r="A2799" t="str">
        <f t="shared" ca="1" si="86"/>
        <v/>
      </c>
      <c r="B2799">
        <f t="shared" ca="1" si="87"/>
        <v>0</v>
      </c>
    </row>
    <row r="2800" spans="1:2">
      <c r="A2800" t="str">
        <f t="shared" ca="1" si="86"/>
        <v/>
      </c>
      <c r="B2800">
        <f t="shared" ca="1" si="87"/>
        <v>0</v>
      </c>
    </row>
    <row r="2801" spans="1:2">
      <c r="A2801" t="str">
        <f t="shared" ca="1" si="86"/>
        <v/>
      </c>
      <c r="B2801">
        <f t="shared" ca="1" si="87"/>
        <v>0</v>
      </c>
    </row>
    <row r="2802" spans="1:2">
      <c r="A2802" t="str">
        <f t="shared" ca="1" si="86"/>
        <v/>
      </c>
      <c r="B2802">
        <f t="shared" ca="1" si="87"/>
        <v>0</v>
      </c>
    </row>
    <row r="2803" spans="1:2">
      <c r="A2803" t="str">
        <f t="shared" ca="1" si="86"/>
        <v/>
      </c>
      <c r="B2803">
        <f t="shared" ca="1" si="87"/>
        <v>0</v>
      </c>
    </row>
    <row r="2804" spans="1:2">
      <c r="A2804" t="str">
        <f t="shared" ca="1" si="86"/>
        <v/>
      </c>
      <c r="B2804">
        <f t="shared" ca="1" si="87"/>
        <v>0</v>
      </c>
    </row>
    <row r="2805" spans="1:2">
      <c r="A2805" t="str">
        <f t="shared" ca="1" si="86"/>
        <v/>
      </c>
      <c r="B2805">
        <f t="shared" ca="1" si="87"/>
        <v>0</v>
      </c>
    </row>
    <row r="2806" spans="1:2">
      <c r="A2806" t="str">
        <f t="shared" ca="1" si="86"/>
        <v/>
      </c>
      <c r="B2806">
        <f t="shared" ca="1" si="87"/>
        <v>0</v>
      </c>
    </row>
    <row r="2807" spans="1:2">
      <c r="A2807" t="str">
        <f t="shared" ca="1" si="86"/>
        <v/>
      </c>
      <c r="B2807">
        <f t="shared" ca="1" si="87"/>
        <v>0</v>
      </c>
    </row>
    <row r="2808" spans="1:2">
      <c r="A2808" t="str">
        <f t="shared" ca="1" si="86"/>
        <v/>
      </c>
      <c r="B2808">
        <f t="shared" ca="1" si="87"/>
        <v>0</v>
      </c>
    </row>
    <row r="2809" spans="1:2">
      <c r="A2809" t="str">
        <f t="shared" ca="1" si="86"/>
        <v/>
      </c>
      <c r="B2809">
        <f t="shared" ca="1" si="87"/>
        <v>0</v>
      </c>
    </row>
    <row r="2810" spans="1:2">
      <c r="A2810" t="str">
        <f t="shared" ca="1" si="86"/>
        <v/>
      </c>
      <c r="B2810">
        <f t="shared" ca="1" si="87"/>
        <v>0</v>
      </c>
    </row>
    <row r="2811" spans="1:2">
      <c r="A2811" t="str">
        <f t="shared" ca="1" si="86"/>
        <v/>
      </c>
      <c r="B2811">
        <f t="shared" ca="1" si="87"/>
        <v>0</v>
      </c>
    </row>
    <row r="2812" spans="1:2">
      <c r="A2812" t="str">
        <f t="shared" ca="1" si="86"/>
        <v/>
      </c>
      <c r="B2812">
        <f t="shared" ca="1" si="87"/>
        <v>0</v>
      </c>
    </row>
    <row r="2813" spans="1:2">
      <c r="A2813" t="str">
        <f t="shared" ca="1" si="86"/>
        <v/>
      </c>
      <c r="B2813">
        <f t="shared" ca="1" si="87"/>
        <v>0</v>
      </c>
    </row>
    <row r="2814" spans="1:2">
      <c r="A2814" t="str">
        <f t="shared" ca="1" si="86"/>
        <v/>
      </c>
      <c r="B2814">
        <f t="shared" ca="1" si="87"/>
        <v>0</v>
      </c>
    </row>
    <row r="2815" spans="1:2">
      <c r="A2815" t="str">
        <f t="shared" ca="1" si="86"/>
        <v/>
      </c>
      <c r="B2815">
        <f t="shared" ca="1" si="87"/>
        <v>0</v>
      </c>
    </row>
    <row r="2816" spans="1:2">
      <c r="A2816" t="str">
        <f t="shared" ca="1" si="86"/>
        <v/>
      </c>
      <c r="B2816">
        <f t="shared" ca="1" si="87"/>
        <v>0</v>
      </c>
    </row>
    <row r="2817" spans="1:2">
      <c r="A2817" t="str">
        <f t="shared" ca="1" si="86"/>
        <v/>
      </c>
      <c r="B2817">
        <f t="shared" ca="1" si="87"/>
        <v>0</v>
      </c>
    </row>
    <row r="2818" spans="1:2">
      <c r="A2818" t="str">
        <f t="shared" ref="A2818:A2881" ca="1" si="88">CONCATENATE(INDIRECT(ADDRESS(ROW(),3)))</f>
        <v/>
      </c>
      <c r="B2818">
        <f t="shared" ref="B2818:B2881" ca="1" si="89">IF(IF(INDIRECT(ADDRESS(ROW(),1))&lt;&gt;"",IF(ISNA(MATCH(LEFT(INDIRECT(ADDRESS(ROW(),1)),2),PCNG_MN,0))=TRUE,1,0),0)+IF(INDIRECT(ADDRESS(ROW(),1))&lt;&gt;"",IF(ISNA(MATCH(LEFT(INDIRECT(ADDRESS(ROW(),1)),3),PCNG_MN,0))=TRUE,1,0),0)+IF(INDIRECT(ADDRESS(ROW(),1))&lt;&gt;"",IF(ISNA(MATCH(LEFT(INDIRECT(ADDRESS(ROW(),1)),4),PCNG_MN,0))=TRUE,1,0),0)&gt;=3,1,0)</f>
        <v>0</v>
      </c>
    </row>
    <row r="2819" spans="1:2">
      <c r="A2819" t="str">
        <f t="shared" ca="1" si="88"/>
        <v/>
      </c>
      <c r="B2819">
        <f t="shared" ca="1" si="89"/>
        <v>0</v>
      </c>
    </row>
    <row r="2820" spans="1:2">
      <c r="A2820" t="str">
        <f t="shared" ca="1" si="88"/>
        <v/>
      </c>
      <c r="B2820">
        <f t="shared" ca="1" si="89"/>
        <v>0</v>
      </c>
    </row>
    <row r="2821" spans="1:2">
      <c r="A2821" t="str">
        <f t="shared" ca="1" si="88"/>
        <v/>
      </c>
      <c r="B2821">
        <f t="shared" ca="1" si="89"/>
        <v>0</v>
      </c>
    </row>
    <row r="2822" spans="1:2">
      <c r="A2822" t="str">
        <f t="shared" ca="1" si="88"/>
        <v/>
      </c>
      <c r="B2822">
        <f t="shared" ca="1" si="89"/>
        <v>0</v>
      </c>
    </row>
    <row r="2823" spans="1:2">
      <c r="A2823" t="str">
        <f t="shared" ca="1" si="88"/>
        <v/>
      </c>
      <c r="B2823">
        <f t="shared" ca="1" si="89"/>
        <v>0</v>
      </c>
    </row>
    <row r="2824" spans="1:2">
      <c r="A2824" t="str">
        <f t="shared" ca="1" si="88"/>
        <v/>
      </c>
      <c r="B2824">
        <f t="shared" ca="1" si="89"/>
        <v>0</v>
      </c>
    </row>
    <row r="2825" spans="1:2">
      <c r="A2825" t="str">
        <f t="shared" ca="1" si="88"/>
        <v/>
      </c>
      <c r="B2825">
        <f t="shared" ca="1" si="89"/>
        <v>0</v>
      </c>
    </row>
    <row r="2826" spans="1:2">
      <c r="A2826" t="str">
        <f t="shared" ca="1" si="88"/>
        <v/>
      </c>
      <c r="B2826">
        <f t="shared" ca="1" si="89"/>
        <v>0</v>
      </c>
    </row>
    <row r="2827" spans="1:2">
      <c r="A2827" t="str">
        <f t="shared" ca="1" si="88"/>
        <v/>
      </c>
      <c r="B2827">
        <f t="shared" ca="1" si="89"/>
        <v>0</v>
      </c>
    </row>
    <row r="2828" spans="1:2">
      <c r="A2828" t="str">
        <f t="shared" ca="1" si="88"/>
        <v/>
      </c>
      <c r="B2828">
        <f t="shared" ca="1" si="89"/>
        <v>0</v>
      </c>
    </row>
    <row r="2829" spans="1:2">
      <c r="A2829" t="str">
        <f t="shared" ca="1" si="88"/>
        <v/>
      </c>
      <c r="B2829">
        <f t="shared" ca="1" si="89"/>
        <v>0</v>
      </c>
    </row>
    <row r="2830" spans="1:2">
      <c r="A2830" t="str">
        <f t="shared" ca="1" si="88"/>
        <v/>
      </c>
      <c r="B2830">
        <f t="shared" ca="1" si="89"/>
        <v>0</v>
      </c>
    </row>
    <row r="2831" spans="1:2">
      <c r="A2831" t="str">
        <f t="shared" ca="1" si="88"/>
        <v/>
      </c>
      <c r="B2831">
        <f t="shared" ca="1" si="89"/>
        <v>0</v>
      </c>
    </row>
    <row r="2832" spans="1:2">
      <c r="A2832" t="str">
        <f t="shared" ca="1" si="88"/>
        <v/>
      </c>
      <c r="B2832">
        <f t="shared" ca="1" si="89"/>
        <v>0</v>
      </c>
    </row>
    <row r="2833" spans="1:2">
      <c r="A2833" t="str">
        <f t="shared" ca="1" si="88"/>
        <v/>
      </c>
      <c r="B2833">
        <f t="shared" ca="1" si="89"/>
        <v>0</v>
      </c>
    </row>
    <row r="2834" spans="1:2">
      <c r="A2834" t="str">
        <f t="shared" ca="1" si="88"/>
        <v/>
      </c>
      <c r="B2834">
        <f t="shared" ca="1" si="89"/>
        <v>0</v>
      </c>
    </row>
    <row r="2835" spans="1:2">
      <c r="A2835" t="str">
        <f t="shared" ca="1" si="88"/>
        <v/>
      </c>
      <c r="B2835">
        <f t="shared" ca="1" si="89"/>
        <v>0</v>
      </c>
    </row>
    <row r="2836" spans="1:2">
      <c r="A2836" t="str">
        <f t="shared" ca="1" si="88"/>
        <v/>
      </c>
      <c r="B2836">
        <f t="shared" ca="1" si="89"/>
        <v>0</v>
      </c>
    </row>
    <row r="2837" spans="1:2">
      <c r="A2837" t="str">
        <f t="shared" ca="1" si="88"/>
        <v/>
      </c>
      <c r="B2837">
        <f t="shared" ca="1" si="89"/>
        <v>0</v>
      </c>
    </row>
    <row r="2838" spans="1:2">
      <c r="A2838" t="str">
        <f t="shared" ca="1" si="88"/>
        <v/>
      </c>
      <c r="B2838">
        <f t="shared" ca="1" si="89"/>
        <v>0</v>
      </c>
    </row>
    <row r="2839" spans="1:2">
      <c r="A2839" t="str">
        <f t="shared" ca="1" si="88"/>
        <v/>
      </c>
      <c r="B2839">
        <f t="shared" ca="1" si="89"/>
        <v>0</v>
      </c>
    </row>
    <row r="2840" spans="1:2">
      <c r="A2840" t="str">
        <f t="shared" ca="1" si="88"/>
        <v/>
      </c>
      <c r="B2840">
        <f t="shared" ca="1" si="89"/>
        <v>0</v>
      </c>
    </row>
    <row r="2841" spans="1:2">
      <c r="A2841" t="str">
        <f t="shared" ca="1" si="88"/>
        <v/>
      </c>
      <c r="B2841">
        <f t="shared" ca="1" si="89"/>
        <v>0</v>
      </c>
    </row>
    <row r="2842" spans="1:2">
      <c r="A2842" t="str">
        <f t="shared" ca="1" si="88"/>
        <v/>
      </c>
      <c r="B2842">
        <f t="shared" ca="1" si="89"/>
        <v>0</v>
      </c>
    </row>
    <row r="2843" spans="1:2">
      <c r="A2843" t="str">
        <f t="shared" ca="1" si="88"/>
        <v/>
      </c>
      <c r="B2843">
        <f t="shared" ca="1" si="89"/>
        <v>0</v>
      </c>
    </row>
    <row r="2844" spans="1:2">
      <c r="A2844" t="str">
        <f t="shared" ca="1" si="88"/>
        <v/>
      </c>
      <c r="B2844">
        <f t="shared" ca="1" si="89"/>
        <v>0</v>
      </c>
    </row>
    <row r="2845" spans="1:2">
      <c r="A2845" t="str">
        <f t="shared" ca="1" si="88"/>
        <v/>
      </c>
      <c r="B2845">
        <f t="shared" ca="1" si="89"/>
        <v>0</v>
      </c>
    </row>
    <row r="2846" spans="1:2">
      <c r="A2846" t="str">
        <f t="shared" ca="1" si="88"/>
        <v/>
      </c>
      <c r="B2846">
        <f t="shared" ca="1" si="89"/>
        <v>0</v>
      </c>
    </row>
    <row r="2847" spans="1:2">
      <c r="A2847" t="str">
        <f t="shared" ca="1" si="88"/>
        <v/>
      </c>
      <c r="B2847">
        <f t="shared" ca="1" si="89"/>
        <v>0</v>
      </c>
    </row>
    <row r="2848" spans="1:2">
      <c r="A2848" t="str">
        <f t="shared" ca="1" si="88"/>
        <v/>
      </c>
      <c r="B2848">
        <f t="shared" ca="1" si="89"/>
        <v>0</v>
      </c>
    </row>
    <row r="2849" spans="1:2">
      <c r="A2849" t="str">
        <f t="shared" ca="1" si="88"/>
        <v/>
      </c>
      <c r="B2849">
        <f t="shared" ca="1" si="89"/>
        <v>0</v>
      </c>
    </row>
    <row r="2850" spans="1:2">
      <c r="A2850" t="str">
        <f t="shared" ca="1" si="88"/>
        <v/>
      </c>
      <c r="B2850">
        <f t="shared" ca="1" si="89"/>
        <v>0</v>
      </c>
    </row>
    <row r="2851" spans="1:2">
      <c r="A2851" t="str">
        <f t="shared" ca="1" si="88"/>
        <v/>
      </c>
      <c r="B2851">
        <f t="shared" ca="1" si="89"/>
        <v>0</v>
      </c>
    </row>
    <row r="2852" spans="1:2">
      <c r="A2852" t="str">
        <f t="shared" ca="1" si="88"/>
        <v/>
      </c>
      <c r="B2852">
        <f t="shared" ca="1" si="89"/>
        <v>0</v>
      </c>
    </row>
    <row r="2853" spans="1:2">
      <c r="A2853" t="str">
        <f t="shared" ca="1" si="88"/>
        <v/>
      </c>
      <c r="B2853">
        <f t="shared" ca="1" si="89"/>
        <v>0</v>
      </c>
    </row>
    <row r="2854" spans="1:2">
      <c r="A2854" t="str">
        <f t="shared" ca="1" si="88"/>
        <v/>
      </c>
      <c r="B2854">
        <f t="shared" ca="1" si="89"/>
        <v>0</v>
      </c>
    </row>
    <row r="2855" spans="1:2">
      <c r="A2855" t="str">
        <f t="shared" ca="1" si="88"/>
        <v/>
      </c>
      <c r="B2855">
        <f t="shared" ca="1" si="89"/>
        <v>0</v>
      </c>
    </row>
    <row r="2856" spans="1:2">
      <c r="A2856" t="str">
        <f t="shared" ca="1" si="88"/>
        <v/>
      </c>
      <c r="B2856">
        <f t="shared" ca="1" si="89"/>
        <v>0</v>
      </c>
    </row>
    <row r="2857" spans="1:2">
      <c r="A2857" t="str">
        <f t="shared" ca="1" si="88"/>
        <v/>
      </c>
      <c r="B2857">
        <f t="shared" ca="1" si="89"/>
        <v>0</v>
      </c>
    </row>
    <row r="2858" spans="1:2">
      <c r="A2858" t="str">
        <f t="shared" ca="1" si="88"/>
        <v/>
      </c>
      <c r="B2858">
        <f t="shared" ca="1" si="89"/>
        <v>0</v>
      </c>
    </row>
    <row r="2859" spans="1:2">
      <c r="A2859" t="str">
        <f t="shared" ca="1" si="88"/>
        <v/>
      </c>
      <c r="B2859">
        <f t="shared" ca="1" si="89"/>
        <v>0</v>
      </c>
    </row>
    <row r="2860" spans="1:2">
      <c r="A2860" t="str">
        <f t="shared" ca="1" si="88"/>
        <v/>
      </c>
      <c r="B2860">
        <f t="shared" ca="1" si="89"/>
        <v>0</v>
      </c>
    </row>
    <row r="2861" spans="1:2">
      <c r="A2861" t="str">
        <f t="shared" ca="1" si="88"/>
        <v/>
      </c>
      <c r="B2861">
        <f t="shared" ca="1" si="89"/>
        <v>0</v>
      </c>
    </row>
    <row r="2862" spans="1:2">
      <c r="A2862" t="str">
        <f t="shared" ca="1" si="88"/>
        <v/>
      </c>
      <c r="B2862">
        <f t="shared" ca="1" si="89"/>
        <v>0</v>
      </c>
    </row>
    <row r="2863" spans="1:2">
      <c r="A2863" t="str">
        <f t="shared" ca="1" si="88"/>
        <v/>
      </c>
      <c r="B2863">
        <f t="shared" ca="1" si="89"/>
        <v>0</v>
      </c>
    </row>
    <row r="2864" spans="1:2">
      <c r="A2864" t="str">
        <f t="shared" ca="1" si="88"/>
        <v/>
      </c>
      <c r="B2864">
        <f t="shared" ca="1" si="89"/>
        <v>0</v>
      </c>
    </row>
    <row r="2865" spans="1:2">
      <c r="A2865" t="str">
        <f t="shared" ca="1" si="88"/>
        <v/>
      </c>
      <c r="B2865">
        <f t="shared" ca="1" si="89"/>
        <v>0</v>
      </c>
    </row>
    <row r="2866" spans="1:2">
      <c r="A2866" t="str">
        <f t="shared" ca="1" si="88"/>
        <v/>
      </c>
      <c r="B2866">
        <f t="shared" ca="1" si="89"/>
        <v>0</v>
      </c>
    </row>
    <row r="2867" spans="1:2">
      <c r="A2867" t="str">
        <f t="shared" ca="1" si="88"/>
        <v/>
      </c>
      <c r="B2867">
        <f t="shared" ca="1" si="89"/>
        <v>0</v>
      </c>
    </row>
    <row r="2868" spans="1:2">
      <c r="A2868" t="str">
        <f t="shared" ca="1" si="88"/>
        <v/>
      </c>
      <c r="B2868">
        <f t="shared" ca="1" si="89"/>
        <v>0</v>
      </c>
    </row>
    <row r="2869" spans="1:2">
      <c r="A2869" t="str">
        <f t="shared" ca="1" si="88"/>
        <v/>
      </c>
      <c r="B2869">
        <f t="shared" ca="1" si="89"/>
        <v>0</v>
      </c>
    </row>
    <row r="2870" spans="1:2">
      <c r="A2870" t="str">
        <f t="shared" ca="1" si="88"/>
        <v/>
      </c>
      <c r="B2870">
        <f t="shared" ca="1" si="89"/>
        <v>0</v>
      </c>
    </row>
    <row r="2871" spans="1:2">
      <c r="A2871" t="str">
        <f t="shared" ca="1" si="88"/>
        <v/>
      </c>
      <c r="B2871">
        <f t="shared" ca="1" si="89"/>
        <v>0</v>
      </c>
    </row>
    <row r="2872" spans="1:2">
      <c r="A2872" t="str">
        <f t="shared" ca="1" si="88"/>
        <v/>
      </c>
      <c r="B2872">
        <f t="shared" ca="1" si="89"/>
        <v>0</v>
      </c>
    </row>
    <row r="2873" spans="1:2">
      <c r="A2873" t="str">
        <f t="shared" ca="1" si="88"/>
        <v/>
      </c>
      <c r="B2873">
        <f t="shared" ca="1" si="89"/>
        <v>0</v>
      </c>
    </row>
    <row r="2874" spans="1:2">
      <c r="A2874" t="str">
        <f t="shared" ca="1" si="88"/>
        <v/>
      </c>
      <c r="B2874">
        <f t="shared" ca="1" si="89"/>
        <v>0</v>
      </c>
    </row>
    <row r="2875" spans="1:2">
      <c r="A2875" t="str">
        <f t="shared" ca="1" si="88"/>
        <v/>
      </c>
      <c r="B2875">
        <f t="shared" ca="1" si="89"/>
        <v>0</v>
      </c>
    </row>
    <row r="2876" spans="1:2">
      <c r="A2876" t="str">
        <f t="shared" ca="1" si="88"/>
        <v/>
      </c>
      <c r="B2876">
        <f t="shared" ca="1" si="89"/>
        <v>0</v>
      </c>
    </row>
    <row r="2877" spans="1:2">
      <c r="A2877" t="str">
        <f t="shared" ca="1" si="88"/>
        <v/>
      </c>
      <c r="B2877">
        <f t="shared" ca="1" si="89"/>
        <v>0</v>
      </c>
    </row>
    <row r="2878" spans="1:2">
      <c r="A2878" t="str">
        <f t="shared" ca="1" si="88"/>
        <v/>
      </c>
      <c r="B2878">
        <f t="shared" ca="1" si="89"/>
        <v>0</v>
      </c>
    </row>
    <row r="2879" spans="1:2">
      <c r="A2879" t="str">
        <f t="shared" ca="1" si="88"/>
        <v/>
      </c>
      <c r="B2879">
        <f t="shared" ca="1" si="89"/>
        <v>0</v>
      </c>
    </row>
    <row r="2880" spans="1:2">
      <c r="A2880" t="str">
        <f t="shared" ca="1" si="88"/>
        <v/>
      </c>
      <c r="B2880">
        <f t="shared" ca="1" si="89"/>
        <v>0</v>
      </c>
    </row>
    <row r="2881" spans="1:2">
      <c r="A2881" t="str">
        <f t="shared" ca="1" si="88"/>
        <v/>
      </c>
      <c r="B2881">
        <f t="shared" ca="1" si="89"/>
        <v>0</v>
      </c>
    </row>
    <row r="2882" spans="1:2">
      <c r="A2882" t="str">
        <f t="shared" ref="A2882:A2945" ca="1" si="90">CONCATENATE(INDIRECT(ADDRESS(ROW(),3)))</f>
        <v/>
      </c>
      <c r="B2882">
        <f t="shared" ref="B2882:B2945" ca="1" si="91">IF(IF(INDIRECT(ADDRESS(ROW(),1))&lt;&gt;"",IF(ISNA(MATCH(LEFT(INDIRECT(ADDRESS(ROW(),1)),2),PCNG_MN,0))=TRUE,1,0),0)+IF(INDIRECT(ADDRESS(ROW(),1))&lt;&gt;"",IF(ISNA(MATCH(LEFT(INDIRECT(ADDRESS(ROW(),1)),3),PCNG_MN,0))=TRUE,1,0),0)+IF(INDIRECT(ADDRESS(ROW(),1))&lt;&gt;"",IF(ISNA(MATCH(LEFT(INDIRECT(ADDRESS(ROW(),1)),4),PCNG_MN,0))=TRUE,1,0),0)&gt;=3,1,0)</f>
        <v>0</v>
      </c>
    </row>
    <row r="2883" spans="1:2">
      <c r="A2883" t="str">
        <f t="shared" ca="1" si="90"/>
        <v/>
      </c>
      <c r="B2883">
        <f t="shared" ca="1" si="91"/>
        <v>0</v>
      </c>
    </row>
    <row r="2884" spans="1:2">
      <c r="A2884" t="str">
        <f t="shared" ca="1" si="90"/>
        <v/>
      </c>
      <c r="B2884">
        <f t="shared" ca="1" si="91"/>
        <v>0</v>
      </c>
    </row>
    <row r="2885" spans="1:2">
      <c r="A2885" t="str">
        <f t="shared" ca="1" si="90"/>
        <v/>
      </c>
      <c r="B2885">
        <f t="shared" ca="1" si="91"/>
        <v>0</v>
      </c>
    </row>
    <row r="2886" spans="1:2">
      <c r="A2886" t="str">
        <f t="shared" ca="1" si="90"/>
        <v/>
      </c>
      <c r="B2886">
        <f t="shared" ca="1" si="91"/>
        <v>0</v>
      </c>
    </row>
    <row r="2887" spans="1:2">
      <c r="A2887" t="str">
        <f t="shared" ca="1" si="90"/>
        <v/>
      </c>
      <c r="B2887">
        <f t="shared" ca="1" si="91"/>
        <v>0</v>
      </c>
    </row>
    <row r="2888" spans="1:2">
      <c r="A2888" t="str">
        <f t="shared" ca="1" si="90"/>
        <v/>
      </c>
      <c r="B2888">
        <f t="shared" ca="1" si="91"/>
        <v>0</v>
      </c>
    </row>
    <row r="2889" spans="1:2">
      <c r="A2889" t="str">
        <f t="shared" ca="1" si="90"/>
        <v/>
      </c>
      <c r="B2889">
        <f t="shared" ca="1" si="91"/>
        <v>0</v>
      </c>
    </row>
    <row r="2890" spans="1:2">
      <c r="A2890" t="str">
        <f t="shared" ca="1" si="90"/>
        <v/>
      </c>
      <c r="B2890">
        <f t="shared" ca="1" si="91"/>
        <v>0</v>
      </c>
    </row>
    <row r="2891" spans="1:2">
      <c r="A2891" t="str">
        <f t="shared" ca="1" si="90"/>
        <v/>
      </c>
      <c r="B2891">
        <f t="shared" ca="1" si="91"/>
        <v>0</v>
      </c>
    </row>
    <row r="2892" spans="1:2">
      <c r="A2892" t="str">
        <f t="shared" ca="1" si="90"/>
        <v/>
      </c>
      <c r="B2892">
        <f t="shared" ca="1" si="91"/>
        <v>0</v>
      </c>
    </row>
    <row r="2893" spans="1:2">
      <c r="A2893" t="str">
        <f t="shared" ca="1" si="90"/>
        <v/>
      </c>
      <c r="B2893">
        <f t="shared" ca="1" si="91"/>
        <v>0</v>
      </c>
    </row>
    <row r="2894" spans="1:2">
      <c r="A2894" t="str">
        <f t="shared" ca="1" si="90"/>
        <v/>
      </c>
      <c r="B2894">
        <f t="shared" ca="1" si="91"/>
        <v>0</v>
      </c>
    </row>
    <row r="2895" spans="1:2">
      <c r="A2895" t="str">
        <f t="shared" ca="1" si="90"/>
        <v/>
      </c>
      <c r="B2895">
        <f t="shared" ca="1" si="91"/>
        <v>0</v>
      </c>
    </row>
    <row r="2896" spans="1:2">
      <c r="A2896" t="str">
        <f t="shared" ca="1" si="90"/>
        <v/>
      </c>
      <c r="B2896">
        <f t="shared" ca="1" si="91"/>
        <v>0</v>
      </c>
    </row>
    <row r="2897" spans="1:2">
      <c r="A2897" t="str">
        <f t="shared" ca="1" si="90"/>
        <v/>
      </c>
      <c r="B2897">
        <f t="shared" ca="1" si="91"/>
        <v>0</v>
      </c>
    </row>
    <row r="2898" spans="1:2">
      <c r="A2898" t="str">
        <f t="shared" ca="1" si="90"/>
        <v/>
      </c>
      <c r="B2898">
        <f t="shared" ca="1" si="91"/>
        <v>0</v>
      </c>
    </row>
    <row r="2899" spans="1:2">
      <c r="A2899" t="str">
        <f t="shared" ca="1" si="90"/>
        <v/>
      </c>
      <c r="B2899">
        <f t="shared" ca="1" si="91"/>
        <v>0</v>
      </c>
    </row>
    <row r="2900" spans="1:2">
      <c r="A2900" t="str">
        <f t="shared" ca="1" si="90"/>
        <v/>
      </c>
      <c r="B2900">
        <f t="shared" ca="1" si="91"/>
        <v>0</v>
      </c>
    </row>
    <row r="2901" spans="1:2">
      <c r="A2901" t="str">
        <f t="shared" ca="1" si="90"/>
        <v/>
      </c>
      <c r="B2901">
        <f t="shared" ca="1" si="91"/>
        <v>0</v>
      </c>
    </row>
    <row r="2902" spans="1:2">
      <c r="A2902" t="str">
        <f t="shared" ca="1" si="90"/>
        <v/>
      </c>
      <c r="B2902">
        <f t="shared" ca="1" si="91"/>
        <v>0</v>
      </c>
    </row>
    <row r="2903" spans="1:2">
      <c r="A2903" t="str">
        <f t="shared" ca="1" si="90"/>
        <v/>
      </c>
      <c r="B2903">
        <f t="shared" ca="1" si="91"/>
        <v>0</v>
      </c>
    </row>
    <row r="2904" spans="1:2">
      <c r="A2904" t="str">
        <f t="shared" ca="1" si="90"/>
        <v/>
      </c>
      <c r="B2904">
        <f t="shared" ca="1" si="91"/>
        <v>0</v>
      </c>
    </row>
    <row r="2905" spans="1:2">
      <c r="A2905" t="str">
        <f t="shared" ca="1" si="90"/>
        <v/>
      </c>
      <c r="B2905">
        <f t="shared" ca="1" si="91"/>
        <v>0</v>
      </c>
    </row>
    <row r="2906" spans="1:2">
      <c r="A2906" t="str">
        <f t="shared" ca="1" si="90"/>
        <v/>
      </c>
      <c r="B2906">
        <f t="shared" ca="1" si="91"/>
        <v>0</v>
      </c>
    </row>
    <row r="2907" spans="1:2">
      <c r="A2907" t="str">
        <f t="shared" ca="1" si="90"/>
        <v/>
      </c>
      <c r="B2907">
        <f t="shared" ca="1" si="91"/>
        <v>0</v>
      </c>
    </row>
    <row r="2908" spans="1:2">
      <c r="A2908" t="str">
        <f t="shared" ca="1" si="90"/>
        <v/>
      </c>
      <c r="B2908">
        <f t="shared" ca="1" si="91"/>
        <v>0</v>
      </c>
    </row>
    <row r="2909" spans="1:2">
      <c r="A2909" t="str">
        <f t="shared" ca="1" si="90"/>
        <v/>
      </c>
      <c r="B2909">
        <f t="shared" ca="1" si="91"/>
        <v>0</v>
      </c>
    </row>
    <row r="2910" spans="1:2">
      <c r="A2910" t="str">
        <f t="shared" ca="1" si="90"/>
        <v/>
      </c>
      <c r="B2910">
        <f t="shared" ca="1" si="91"/>
        <v>0</v>
      </c>
    </row>
    <row r="2911" spans="1:2">
      <c r="A2911" t="str">
        <f t="shared" ca="1" si="90"/>
        <v/>
      </c>
      <c r="B2911">
        <f t="shared" ca="1" si="91"/>
        <v>0</v>
      </c>
    </row>
    <row r="2912" spans="1:2">
      <c r="A2912" t="str">
        <f t="shared" ca="1" si="90"/>
        <v/>
      </c>
      <c r="B2912">
        <f t="shared" ca="1" si="91"/>
        <v>0</v>
      </c>
    </row>
    <row r="2913" spans="1:2">
      <c r="A2913" t="str">
        <f t="shared" ca="1" si="90"/>
        <v/>
      </c>
      <c r="B2913">
        <f t="shared" ca="1" si="91"/>
        <v>0</v>
      </c>
    </row>
    <row r="2914" spans="1:2">
      <c r="A2914" t="str">
        <f t="shared" ca="1" si="90"/>
        <v/>
      </c>
      <c r="B2914">
        <f t="shared" ca="1" si="91"/>
        <v>0</v>
      </c>
    </row>
    <row r="2915" spans="1:2">
      <c r="A2915" t="str">
        <f t="shared" ca="1" si="90"/>
        <v/>
      </c>
      <c r="B2915">
        <f t="shared" ca="1" si="91"/>
        <v>0</v>
      </c>
    </row>
    <row r="2916" spans="1:2">
      <c r="A2916" t="str">
        <f t="shared" ca="1" si="90"/>
        <v/>
      </c>
      <c r="B2916">
        <f t="shared" ca="1" si="91"/>
        <v>0</v>
      </c>
    </row>
    <row r="2917" spans="1:2">
      <c r="A2917" t="str">
        <f t="shared" ca="1" si="90"/>
        <v/>
      </c>
      <c r="B2917">
        <f t="shared" ca="1" si="91"/>
        <v>0</v>
      </c>
    </row>
    <row r="2918" spans="1:2">
      <c r="A2918" t="str">
        <f t="shared" ca="1" si="90"/>
        <v/>
      </c>
      <c r="B2918">
        <f t="shared" ca="1" si="91"/>
        <v>0</v>
      </c>
    </row>
    <row r="2919" spans="1:2">
      <c r="A2919" t="str">
        <f t="shared" ca="1" si="90"/>
        <v/>
      </c>
      <c r="B2919">
        <f t="shared" ca="1" si="91"/>
        <v>0</v>
      </c>
    </row>
    <row r="2920" spans="1:2">
      <c r="A2920" t="str">
        <f t="shared" ca="1" si="90"/>
        <v/>
      </c>
      <c r="B2920">
        <f t="shared" ca="1" si="91"/>
        <v>0</v>
      </c>
    </row>
    <row r="2921" spans="1:2">
      <c r="A2921" t="str">
        <f t="shared" ca="1" si="90"/>
        <v/>
      </c>
      <c r="B2921">
        <f t="shared" ca="1" si="91"/>
        <v>0</v>
      </c>
    </row>
    <row r="2922" spans="1:2">
      <c r="A2922" t="str">
        <f t="shared" ca="1" si="90"/>
        <v/>
      </c>
      <c r="B2922">
        <f t="shared" ca="1" si="91"/>
        <v>0</v>
      </c>
    </row>
    <row r="2923" spans="1:2">
      <c r="A2923" t="str">
        <f t="shared" ca="1" si="90"/>
        <v/>
      </c>
      <c r="B2923">
        <f t="shared" ca="1" si="91"/>
        <v>0</v>
      </c>
    </row>
    <row r="2924" spans="1:2">
      <c r="A2924" t="str">
        <f t="shared" ca="1" si="90"/>
        <v/>
      </c>
      <c r="B2924">
        <f t="shared" ca="1" si="91"/>
        <v>0</v>
      </c>
    </row>
    <row r="2925" spans="1:2">
      <c r="A2925" t="str">
        <f t="shared" ca="1" si="90"/>
        <v/>
      </c>
      <c r="B2925">
        <f t="shared" ca="1" si="91"/>
        <v>0</v>
      </c>
    </row>
    <row r="2926" spans="1:2">
      <c r="A2926" t="str">
        <f t="shared" ca="1" si="90"/>
        <v/>
      </c>
      <c r="B2926">
        <f t="shared" ca="1" si="91"/>
        <v>0</v>
      </c>
    </row>
    <row r="2927" spans="1:2">
      <c r="A2927" t="str">
        <f t="shared" ca="1" si="90"/>
        <v/>
      </c>
      <c r="B2927">
        <f t="shared" ca="1" si="91"/>
        <v>0</v>
      </c>
    </row>
    <row r="2928" spans="1:2">
      <c r="A2928" t="str">
        <f t="shared" ca="1" si="90"/>
        <v/>
      </c>
      <c r="B2928">
        <f t="shared" ca="1" si="91"/>
        <v>0</v>
      </c>
    </row>
    <row r="2929" spans="1:2">
      <c r="A2929" t="str">
        <f t="shared" ca="1" si="90"/>
        <v/>
      </c>
      <c r="B2929">
        <f t="shared" ca="1" si="91"/>
        <v>0</v>
      </c>
    </row>
    <row r="2930" spans="1:2">
      <c r="A2930" t="str">
        <f t="shared" ca="1" si="90"/>
        <v/>
      </c>
      <c r="B2930">
        <f t="shared" ca="1" si="91"/>
        <v>0</v>
      </c>
    </row>
    <row r="2931" spans="1:2">
      <c r="A2931" t="str">
        <f t="shared" ca="1" si="90"/>
        <v/>
      </c>
      <c r="B2931">
        <f t="shared" ca="1" si="91"/>
        <v>0</v>
      </c>
    </row>
    <row r="2932" spans="1:2">
      <c r="A2932" t="str">
        <f t="shared" ca="1" si="90"/>
        <v/>
      </c>
      <c r="B2932">
        <f t="shared" ca="1" si="91"/>
        <v>0</v>
      </c>
    </row>
    <row r="2933" spans="1:2">
      <c r="A2933" t="str">
        <f t="shared" ca="1" si="90"/>
        <v/>
      </c>
      <c r="B2933">
        <f t="shared" ca="1" si="91"/>
        <v>0</v>
      </c>
    </row>
    <row r="2934" spans="1:2">
      <c r="A2934" t="str">
        <f t="shared" ca="1" si="90"/>
        <v/>
      </c>
      <c r="B2934">
        <f t="shared" ca="1" si="91"/>
        <v>0</v>
      </c>
    </row>
    <row r="2935" spans="1:2">
      <c r="A2935" t="str">
        <f t="shared" ca="1" si="90"/>
        <v/>
      </c>
      <c r="B2935">
        <f t="shared" ca="1" si="91"/>
        <v>0</v>
      </c>
    </row>
    <row r="2936" spans="1:2">
      <c r="A2936" t="str">
        <f t="shared" ca="1" si="90"/>
        <v/>
      </c>
      <c r="B2936">
        <f t="shared" ca="1" si="91"/>
        <v>0</v>
      </c>
    </row>
    <row r="2937" spans="1:2">
      <c r="A2937" t="str">
        <f t="shared" ca="1" si="90"/>
        <v/>
      </c>
      <c r="B2937">
        <f t="shared" ca="1" si="91"/>
        <v>0</v>
      </c>
    </row>
    <row r="2938" spans="1:2">
      <c r="A2938" t="str">
        <f t="shared" ca="1" si="90"/>
        <v/>
      </c>
      <c r="B2938">
        <f t="shared" ca="1" si="91"/>
        <v>0</v>
      </c>
    </row>
    <row r="2939" spans="1:2">
      <c r="A2939" t="str">
        <f t="shared" ca="1" si="90"/>
        <v/>
      </c>
      <c r="B2939">
        <f t="shared" ca="1" si="91"/>
        <v>0</v>
      </c>
    </row>
    <row r="2940" spans="1:2">
      <c r="A2940" t="str">
        <f t="shared" ca="1" si="90"/>
        <v/>
      </c>
      <c r="B2940">
        <f t="shared" ca="1" si="91"/>
        <v>0</v>
      </c>
    </row>
    <row r="2941" spans="1:2">
      <c r="A2941" t="str">
        <f t="shared" ca="1" si="90"/>
        <v/>
      </c>
      <c r="B2941">
        <f t="shared" ca="1" si="91"/>
        <v>0</v>
      </c>
    </row>
    <row r="2942" spans="1:2">
      <c r="A2942" t="str">
        <f t="shared" ca="1" si="90"/>
        <v/>
      </c>
      <c r="B2942">
        <f t="shared" ca="1" si="91"/>
        <v>0</v>
      </c>
    </row>
    <row r="2943" spans="1:2">
      <c r="A2943" t="str">
        <f t="shared" ca="1" si="90"/>
        <v/>
      </c>
      <c r="B2943">
        <f t="shared" ca="1" si="91"/>
        <v>0</v>
      </c>
    </row>
    <row r="2944" spans="1:2">
      <c r="A2944" t="str">
        <f t="shared" ca="1" si="90"/>
        <v/>
      </c>
      <c r="B2944">
        <f t="shared" ca="1" si="91"/>
        <v>0</v>
      </c>
    </row>
    <row r="2945" spans="1:2">
      <c r="A2945" t="str">
        <f t="shared" ca="1" si="90"/>
        <v/>
      </c>
      <c r="B2945">
        <f t="shared" ca="1" si="91"/>
        <v>0</v>
      </c>
    </row>
    <row r="2946" spans="1:2">
      <c r="A2946" t="str">
        <f t="shared" ref="A2946:A3001" ca="1" si="92">CONCATENATE(INDIRECT(ADDRESS(ROW(),3)))</f>
        <v/>
      </c>
      <c r="B2946">
        <f t="shared" ref="B2946:B3001" ca="1" si="93">IF(IF(INDIRECT(ADDRESS(ROW(),1))&lt;&gt;"",IF(ISNA(MATCH(LEFT(INDIRECT(ADDRESS(ROW(),1)),2),PCNG_MN,0))=TRUE,1,0),0)+IF(INDIRECT(ADDRESS(ROW(),1))&lt;&gt;"",IF(ISNA(MATCH(LEFT(INDIRECT(ADDRESS(ROW(),1)),3),PCNG_MN,0))=TRUE,1,0),0)+IF(INDIRECT(ADDRESS(ROW(),1))&lt;&gt;"",IF(ISNA(MATCH(LEFT(INDIRECT(ADDRESS(ROW(),1)),4),PCNG_MN,0))=TRUE,1,0),0)&gt;=3,1,0)</f>
        <v>0</v>
      </c>
    </row>
    <row r="2947" spans="1:2">
      <c r="A2947" t="str">
        <f t="shared" ca="1" si="92"/>
        <v/>
      </c>
      <c r="B2947">
        <f t="shared" ca="1" si="93"/>
        <v>0</v>
      </c>
    </row>
    <row r="2948" spans="1:2">
      <c r="A2948" t="str">
        <f t="shared" ca="1" si="92"/>
        <v/>
      </c>
      <c r="B2948">
        <f t="shared" ca="1" si="93"/>
        <v>0</v>
      </c>
    </row>
    <row r="2949" spans="1:2">
      <c r="A2949" t="str">
        <f t="shared" ca="1" si="92"/>
        <v/>
      </c>
      <c r="B2949">
        <f t="shared" ca="1" si="93"/>
        <v>0</v>
      </c>
    </row>
    <row r="2950" spans="1:2">
      <c r="A2950" t="str">
        <f t="shared" ca="1" si="92"/>
        <v/>
      </c>
      <c r="B2950">
        <f t="shared" ca="1" si="93"/>
        <v>0</v>
      </c>
    </row>
    <row r="2951" spans="1:2">
      <c r="A2951" t="str">
        <f t="shared" ca="1" si="92"/>
        <v/>
      </c>
      <c r="B2951">
        <f t="shared" ca="1" si="93"/>
        <v>0</v>
      </c>
    </row>
    <row r="2952" spans="1:2">
      <c r="A2952" t="str">
        <f t="shared" ca="1" si="92"/>
        <v/>
      </c>
      <c r="B2952">
        <f t="shared" ca="1" si="93"/>
        <v>0</v>
      </c>
    </row>
    <row r="2953" spans="1:2">
      <c r="A2953" t="str">
        <f t="shared" ca="1" si="92"/>
        <v/>
      </c>
      <c r="B2953">
        <f t="shared" ca="1" si="93"/>
        <v>0</v>
      </c>
    </row>
    <row r="2954" spans="1:2">
      <c r="A2954" t="str">
        <f t="shared" ca="1" si="92"/>
        <v/>
      </c>
      <c r="B2954">
        <f t="shared" ca="1" si="93"/>
        <v>0</v>
      </c>
    </row>
    <row r="2955" spans="1:2">
      <c r="A2955" t="str">
        <f t="shared" ca="1" si="92"/>
        <v/>
      </c>
      <c r="B2955">
        <f t="shared" ca="1" si="93"/>
        <v>0</v>
      </c>
    </row>
    <row r="2956" spans="1:2">
      <c r="A2956" t="str">
        <f t="shared" ca="1" si="92"/>
        <v/>
      </c>
      <c r="B2956">
        <f t="shared" ca="1" si="93"/>
        <v>0</v>
      </c>
    </row>
    <row r="2957" spans="1:2">
      <c r="A2957" t="str">
        <f t="shared" ca="1" si="92"/>
        <v/>
      </c>
      <c r="B2957">
        <f t="shared" ca="1" si="93"/>
        <v>0</v>
      </c>
    </row>
    <row r="2958" spans="1:2">
      <c r="A2958" t="str">
        <f t="shared" ca="1" si="92"/>
        <v/>
      </c>
      <c r="B2958">
        <f t="shared" ca="1" si="93"/>
        <v>0</v>
      </c>
    </row>
    <row r="2959" spans="1:2">
      <c r="A2959" t="str">
        <f t="shared" ca="1" si="92"/>
        <v/>
      </c>
      <c r="B2959">
        <f t="shared" ca="1" si="93"/>
        <v>0</v>
      </c>
    </row>
    <row r="2960" spans="1:2">
      <c r="A2960" t="str">
        <f t="shared" ca="1" si="92"/>
        <v/>
      </c>
      <c r="B2960">
        <f t="shared" ca="1" si="93"/>
        <v>0</v>
      </c>
    </row>
    <row r="2961" spans="1:2">
      <c r="A2961" t="str">
        <f t="shared" ca="1" si="92"/>
        <v/>
      </c>
      <c r="B2961">
        <f t="shared" ca="1" si="93"/>
        <v>0</v>
      </c>
    </row>
    <row r="2962" spans="1:2">
      <c r="A2962" t="str">
        <f t="shared" ca="1" si="92"/>
        <v/>
      </c>
      <c r="B2962">
        <f t="shared" ca="1" si="93"/>
        <v>0</v>
      </c>
    </row>
    <row r="2963" spans="1:2">
      <c r="A2963" t="str">
        <f t="shared" ca="1" si="92"/>
        <v/>
      </c>
      <c r="B2963">
        <f t="shared" ca="1" si="93"/>
        <v>0</v>
      </c>
    </row>
    <row r="2964" spans="1:2">
      <c r="A2964" t="str">
        <f t="shared" ca="1" si="92"/>
        <v/>
      </c>
      <c r="B2964">
        <f t="shared" ca="1" si="93"/>
        <v>0</v>
      </c>
    </row>
    <row r="2965" spans="1:2">
      <c r="A2965" t="str">
        <f t="shared" ca="1" si="92"/>
        <v/>
      </c>
      <c r="B2965">
        <f t="shared" ca="1" si="93"/>
        <v>0</v>
      </c>
    </row>
    <row r="2966" spans="1:2">
      <c r="A2966" t="str">
        <f t="shared" ca="1" si="92"/>
        <v/>
      </c>
      <c r="B2966">
        <f t="shared" ca="1" si="93"/>
        <v>0</v>
      </c>
    </row>
    <row r="2967" spans="1:2">
      <c r="A2967" t="str">
        <f t="shared" ca="1" si="92"/>
        <v/>
      </c>
      <c r="B2967">
        <f t="shared" ca="1" si="93"/>
        <v>0</v>
      </c>
    </row>
    <row r="2968" spans="1:2">
      <c r="A2968" t="str">
        <f t="shared" ca="1" si="92"/>
        <v/>
      </c>
      <c r="B2968">
        <f t="shared" ca="1" si="93"/>
        <v>0</v>
      </c>
    </row>
    <row r="2969" spans="1:2">
      <c r="A2969" t="str">
        <f t="shared" ca="1" si="92"/>
        <v/>
      </c>
      <c r="B2969">
        <f t="shared" ca="1" si="93"/>
        <v>0</v>
      </c>
    </row>
    <row r="2970" spans="1:2">
      <c r="A2970" t="str">
        <f t="shared" ca="1" si="92"/>
        <v/>
      </c>
      <c r="B2970">
        <f t="shared" ca="1" si="93"/>
        <v>0</v>
      </c>
    </row>
    <row r="2971" spans="1:2">
      <c r="A2971" t="str">
        <f t="shared" ca="1" si="92"/>
        <v/>
      </c>
      <c r="B2971">
        <f t="shared" ca="1" si="93"/>
        <v>0</v>
      </c>
    </row>
    <row r="2972" spans="1:2">
      <c r="A2972" t="str">
        <f t="shared" ca="1" si="92"/>
        <v/>
      </c>
      <c r="B2972">
        <f t="shared" ca="1" si="93"/>
        <v>0</v>
      </c>
    </row>
    <row r="2973" spans="1:2">
      <c r="A2973" t="str">
        <f t="shared" ca="1" si="92"/>
        <v/>
      </c>
      <c r="B2973">
        <f t="shared" ca="1" si="93"/>
        <v>0</v>
      </c>
    </row>
    <row r="2974" spans="1:2">
      <c r="A2974" t="str">
        <f t="shared" ca="1" si="92"/>
        <v/>
      </c>
      <c r="B2974">
        <f t="shared" ca="1" si="93"/>
        <v>0</v>
      </c>
    </row>
    <row r="2975" spans="1:2">
      <c r="A2975" t="str">
        <f t="shared" ca="1" si="92"/>
        <v/>
      </c>
      <c r="B2975">
        <f t="shared" ca="1" si="93"/>
        <v>0</v>
      </c>
    </row>
    <row r="2976" spans="1:2">
      <c r="A2976" t="str">
        <f t="shared" ca="1" si="92"/>
        <v/>
      </c>
      <c r="B2976">
        <f t="shared" ca="1" si="93"/>
        <v>0</v>
      </c>
    </row>
    <row r="2977" spans="1:2">
      <c r="A2977" t="str">
        <f t="shared" ca="1" si="92"/>
        <v/>
      </c>
      <c r="B2977">
        <f t="shared" ca="1" si="93"/>
        <v>0</v>
      </c>
    </row>
    <row r="2978" spans="1:2">
      <c r="A2978" t="str">
        <f t="shared" ca="1" si="92"/>
        <v/>
      </c>
      <c r="B2978">
        <f t="shared" ca="1" si="93"/>
        <v>0</v>
      </c>
    </row>
    <row r="2979" spans="1:2">
      <c r="A2979" t="str">
        <f t="shared" ca="1" si="92"/>
        <v/>
      </c>
      <c r="B2979">
        <f t="shared" ca="1" si="93"/>
        <v>0</v>
      </c>
    </row>
    <row r="2980" spans="1:2">
      <c r="A2980" t="str">
        <f t="shared" ca="1" si="92"/>
        <v/>
      </c>
      <c r="B2980">
        <f t="shared" ca="1" si="93"/>
        <v>0</v>
      </c>
    </row>
    <row r="2981" spans="1:2">
      <c r="A2981" t="str">
        <f t="shared" ca="1" si="92"/>
        <v/>
      </c>
      <c r="B2981">
        <f t="shared" ca="1" si="93"/>
        <v>0</v>
      </c>
    </row>
    <row r="2982" spans="1:2">
      <c r="A2982" t="str">
        <f t="shared" ca="1" si="92"/>
        <v/>
      </c>
      <c r="B2982">
        <f t="shared" ca="1" si="93"/>
        <v>0</v>
      </c>
    </row>
    <row r="2983" spans="1:2">
      <c r="A2983" t="str">
        <f t="shared" ca="1" si="92"/>
        <v/>
      </c>
      <c r="B2983">
        <f t="shared" ca="1" si="93"/>
        <v>0</v>
      </c>
    </row>
    <row r="2984" spans="1:2">
      <c r="A2984" t="str">
        <f t="shared" ca="1" si="92"/>
        <v/>
      </c>
      <c r="B2984">
        <f t="shared" ca="1" si="93"/>
        <v>0</v>
      </c>
    </row>
    <row r="2985" spans="1:2">
      <c r="A2985" t="str">
        <f t="shared" ca="1" si="92"/>
        <v/>
      </c>
      <c r="B2985">
        <f t="shared" ca="1" si="93"/>
        <v>0</v>
      </c>
    </row>
    <row r="2986" spans="1:2">
      <c r="A2986" t="str">
        <f t="shared" ca="1" si="92"/>
        <v/>
      </c>
      <c r="B2986">
        <f t="shared" ca="1" si="93"/>
        <v>0</v>
      </c>
    </row>
    <row r="2987" spans="1:2">
      <c r="A2987" t="str">
        <f t="shared" ca="1" si="92"/>
        <v/>
      </c>
      <c r="B2987">
        <f t="shared" ca="1" si="93"/>
        <v>0</v>
      </c>
    </row>
    <row r="2988" spans="1:2">
      <c r="A2988" t="str">
        <f t="shared" ca="1" si="92"/>
        <v/>
      </c>
      <c r="B2988">
        <f t="shared" ca="1" si="93"/>
        <v>0</v>
      </c>
    </row>
    <row r="2989" spans="1:2">
      <c r="A2989" t="str">
        <f t="shared" ca="1" si="92"/>
        <v/>
      </c>
      <c r="B2989">
        <f t="shared" ca="1" si="93"/>
        <v>0</v>
      </c>
    </row>
    <row r="2990" spans="1:2">
      <c r="A2990" t="str">
        <f t="shared" ca="1" si="92"/>
        <v/>
      </c>
      <c r="B2990">
        <f t="shared" ca="1" si="93"/>
        <v>0</v>
      </c>
    </row>
    <row r="2991" spans="1:2">
      <c r="A2991" t="str">
        <f t="shared" ca="1" si="92"/>
        <v/>
      </c>
      <c r="B2991">
        <f t="shared" ca="1" si="93"/>
        <v>0</v>
      </c>
    </row>
    <row r="2992" spans="1:2">
      <c r="A2992" t="str">
        <f t="shared" ca="1" si="92"/>
        <v/>
      </c>
      <c r="B2992">
        <f t="shared" ca="1" si="93"/>
        <v>0</v>
      </c>
    </row>
    <row r="2993" spans="1:2">
      <c r="A2993" t="str">
        <f t="shared" ca="1" si="92"/>
        <v/>
      </c>
      <c r="B2993">
        <f t="shared" ca="1" si="93"/>
        <v>0</v>
      </c>
    </row>
    <row r="2994" spans="1:2">
      <c r="A2994" t="str">
        <f t="shared" ca="1" si="92"/>
        <v/>
      </c>
      <c r="B2994">
        <f t="shared" ca="1" si="93"/>
        <v>0</v>
      </c>
    </row>
    <row r="2995" spans="1:2">
      <c r="A2995" t="str">
        <f t="shared" ca="1" si="92"/>
        <v/>
      </c>
      <c r="B2995">
        <f t="shared" ca="1" si="93"/>
        <v>0</v>
      </c>
    </row>
    <row r="2996" spans="1:2">
      <c r="A2996" t="str">
        <f t="shared" ca="1" si="92"/>
        <v/>
      </c>
      <c r="B2996">
        <f t="shared" ca="1" si="93"/>
        <v>0</v>
      </c>
    </row>
    <row r="2997" spans="1:2">
      <c r="A2997" t="str">
        <f t="shared" ca="1" si="92"/>
        <v/>
      </c>
      <c r="B2997">
        <f t="shared" ca="1" si="93"/>
        <v>0</v>
      </c>
    </row>
    <row r="2998" spans="1:2">
      <c r="A2998" t="str">
        <f t="shared" ca="1" si="92"/>
        <v/>
      </c>
      <c r="B2998">
        <f t="shared" ca="1" si="93"/>
        <v>0</v>
      </c>
    </row>
    <row r="2999" spans="1:2">
      <c r="A2999" t="str">
        <f t="shared" ca="1" si="92"/>
        <v/>
      </c>
      <c r="B2999">
        <f t="shared" ca="1" si="93"/>
        <v>0</v>
      </c>
    </row>
    <row r="3000" spans="1:2">
      <c r="A3000" t="str">
        <f t="shared" ca="1" si="92"/>
        <v/>
      </c>
      <c r="B3000">
        <f t="shared" ca="1" si="93"/>
        <v>0</v>
      </c>
    </row>
    <row r="3001" spans="1:2">
      <c r="A3001" t="str">
        <f t="shared" ca="1" si="92"/>
        <v/>
      </c>
      <c r="B3001">
        <f t="shared" ca="1" si="93"/>
        <v>0</v>
      </c>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sheetData>
  <sheetProtection formatCells="0" formatColumns="0" formatRows="0" autoFilter="0"/>
  <autoFilter ref="A1:F3001" xr:uid="{00000000-0009-0000-0000-000001000000}"/>
  <conditionalFormatting sqref="C63:F3001">
    <cfRule type="expression" dxfId="28" priority="1" stopIfTrue="1">
      <formula>OFFSET(Point0_N,ROW()-1,0)&gt;0</formula>
    </cfRule>
  </conditionalFormatting>
  <printOptions horizontalCentered="1" gridLines="1"/>
  <pageMargins left="0" right="0" top="0.78740157480314965" bottom="0.78740157480314965" header="0.19685039370078741" footer="0.19685039370078741"/>
  <pageSetup paperSize="9" fitToHeight="100" orientation="portrait" r:id="rId1"/>
  <headerFooter>
    <oddHeader>&amp;C&amp;14&amp;F&amp;R&amp;14&amp;P/&amp;N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1" r:id="rId4" name="GoToMain">
              <controlPr defaultSize="0" print="0" autoFill="0" autoPict="0" macro="[0]!GoToMain">
                <anchor moveWithCells="1">
                  <from>
                    <xdr:col>0</xdr:col>
                    <xdr:colOff>0</xdr:colOff>
                    <xdr:row>0</xdr:row>
                    <xdr:rowOff>0</xdr:rowOff>
                  </from>
                  <to>
                    <xdr:col>2</xdr:col>
                    <xdr:colOff>365760</xdr:colOff>
                    <xdr:row>0</xdr:row>
                    <xdr:rowOff>228600</xdr:rowOff>
                  </to>
                </anchor>
              </controlPr>
            </control>
          </mc:Choice>
        </mc:AlternateContent>
        <mc:AlternateContent xmlns:mc="http://schemas.openxmlformats.org/markup-compatibility/2006">
          <mc:Choice Requires="x14">
            <control shapeId="27652" r:id="rId5" name="Button 4">
              <controlPr defaultSize="0" print="0" autoFill="0" autoPict="0" macro="[0]!GoToLastSelection">
                <anchor moveWithCells="1">
                  <from>
                    <xdr:col>2</xdr:col>
                    <xdr:colOff>373380</xdr:colOff>
                    <xdr:row>0</xdr:row>
                    <xdr:rowOff>0</xdr:rowOff>
                  </from>
                  <to>
                    <xdr:col>2</xdr:col>
                    <xdr:colOff>731520</xdr:colOff>
                    <xdr:row>0</xdr:row>
                    <xdr:rowOff>228600</xdr:rowOff>
                  </to>
                </anchor>
              </controlPr>
            </control>
          </mc:Choice>
        </mc:AlternateContent>
        <mc:AlternateContent xmlns:mc="http://schemas.openxmlformats.org/markup-compatibility/2006">
          <mc:Choice Requires="x14">
            <control shapeId="27653" r:id="rId6" name="Button 5">
              <controlPr defaultSize="0" print="0" autoFill="0" autoPict="0" macro="[0]!Bouton_Vider_Balance_N" altText="Vider Balance">
                <anchor moveWithCells="1">
                  <from>
                    <xdr:col>2</xdr:col>
                    <xdr:colOff>762000</xdr:colOff>
                    <xdr:row>0</xdr:row>
                    <xdr:rowOff>0</xdr:rowOff>
                  </from>
                  <to>
                    <xdr:col>3</xdr:col>
                    <xdr:colOff>419100</xdr:colOff>
                    <xdr:row>0</xdr:row>
                    <xdr:rowOff>228600</xdr:rowOff>
                  </to>
                </anchor>
              </controlPr>
            </control>
          </mc:Choice>
        </mc:AlternateContent>
        <mc:AlternateContent xmlns:mc="http://schemas.openxmlformats.org/markup-compatibility/2006">
          <mc:Choice Requires="x14">
            <control shapeId="27654" r:id="rId7" name="Button 6">
              <controlPr defaultSize="0" print="0" autoFill="0" autoPict="0" macro="[0]!Marquer_Comptes_Non_Valides_N" altText="Vider Balance">
                <anchor moveWithCells="1">
                  <from>
                    <xdr:col>3</xdr:col>
                    <xdr:colOff>441960</xdr:colOff>
                    <xdr:row>0</xdr:row>
                    <xdr:rowOff>0</xdr:rowOff>
                  </from>
                  <to>
                    <xdr:col>3</xdr:col>
                    <xdr:colOff>3185160</xdr:colOff>
                    <xdr:row>0</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lanceN_1">
    <pageSetUpPr fitToPage="1"/>
  </sheetPr>
  <dimension ref="A1:F10001"/>
  <sheetViews>
    <sheetView topLeftCell="C1" workbookViewId="0">
      <pane ySplit="1" topLeftCell="A2" activePane="bottomLeft" state="frozen"/>
      <selection activeCell="F9" sqref="F9:M9"/>
      <selection pane="bottomLeft" activeCell="H9" sqref="H9"/>
    </sheetView>
  </sheetViews>
  <sheetFormatPr baseColWidth="10" defaultColWidth="11.44140625" defaultRowHeight="13.2"/>
  <cols>
    <col min="1" max="1" width="9.6640625" style="617" hidden="1" customWidth="1"/>
    <col min="2" max="2" width="11.109375" style="617" hidden="1" customWidth="1"/>
    <col min="3" max="3" width="23.6640625" style="204" customWidth="1"/>
    <col min="4" max="4" width="70.6640625" style="202" customWidth="1"/>
    <col min="5" max="6" width="19.6640625" style="203" customWidth="1"/>
    <col min="7" max="16384" width="11.44140625" style="204"/>
  </cols>
  <sheetData>
    <row r="1" spans="1:6" customFormat="1" ht="26.4">
      <c r="A1" s="616"/>
      <c r="B1" s="683" t="s">
        <v>1206</v>
      </c>
      <c r="C1" s="135" t="s">
        <v>555</v>
      </c>
      <c r="D1" s="135" t="s">
        <v>556</v>
      </c>
      <c r="E1" s="136" t="s">
        <v>558</v>
      </c>
      <c r="F1" s="136" t="s">
        <v>557</v>
      </c>
    </row>
    <row r="2" spans="1:6" ht="14.25" customHeight="1">
      <c r="A2" t="str">
        <f t="shared" ref="A2:A65" ca="1" si="0">CONCATENATE(INDIRECT(ADDRESS(ROW(),3)))</f>
        <v>11110000</v>
      </c>
      <c r="B2">
        <f t="shared" ref="B2:B65" ca="1" si="1">IF(IF(INDIRECT(ADDRESS(ROW(),1))&lt;&gt;"",IF(ISNA(MATCH(LEFT(INDIRECT(ADDRESS(ROW(),1)),2),PCNG_MN,0))=TRUE,1,0),0)+IF(INDIRECT(ADDRESS(ROW(),1))&lt;&gt;"",IF(ISNA(MATCH(LEFT(INDIRECT(ADDRESS(ROW(),1)),3),PCNG_MN,0))=TRUE,1,0),0)+IF(INDIRECT(ADDRESS(ROW(),1))&lt;&gt;"",IF(ISNA(MATCH(LEFT(INDIRECT(ADDRESS(ROW(),1)),4),PCNG_MN,0))=TRUE,1,0),0)&gt;=3,1,0)</f>
        <v>0</v>
      </c>
      <c r="C2" s="204">
        <v>11110000</v>
      </c>
      <c r="D2" s="615" t="s">
        <v>1457</v>
      </c>
      <c r="E2" s="203">
        <v>0</v>
      </c>
      <c r="F2" s="203">
        <v>200000</v>
      </c>
    </row>
    <row r="3" spans="1:6" ht="14.25" customHeight="1">
      <c r="A3" t="str">
        <f t="shared" ca="1" si="0"/>
        <v>11690000</v>
      </c>
      <c r="B3">
        <f t="shared" ca="1" si="1"/>
        <v>0</v>
      </c>
      <c r="C3" s="204">
        <v>11690000</v>
      </c>
      <c r="D3" s="202" t="s">
        <v>1458</v>
      </c>
      <c r="E3" s="203">
        <v>311644.68</v>
      </c>
      <c r="F3" s="203">
        <v>0</v>
      </c>
    </row>
    <row r="4" spans="1:6" ht="14.25" customHeight="1">
      <c r="A4" t="str">
        <f t="shared" ca="1" si="0"/>
        <v>11990000</v>
      </c>
      <c r="B4">
        <f t="shared" ca="1" si="1"/>
        <v>0</v>
      </c>
      <c r="C4" s="204">
        <v>11990000</v>
      </c>
      <c r="D4" s="202" t="s">
        <v>1459</v>
      </c>
      <c r="E4" s="203">
        <v>0</v>
      </c>
      <c r="F4" s="203">
        <v>0</v>
      </c>
    </row>
    <row r="5" spans="1:6" ht="14.25" customHeight="1">
      <c r="A5" t="str">
        <f t="shared" ca="1" si="0"/>
        <v>21110000</v>
      </c>
      <c r="B5">
        <f t="shared" ca="1" si="1"/>
        <v>0</v>
      </c>
      <c r="C5" s="204">
        <v>21110000</v>
      </c>
      <c r="D5" s="202" t="s">
        <v>1460</v>
      </c>
      <c r="E5" s="203">
        <v>4106</v>
      </c>
      <c r="F5" s="203">
        <v>0</v>
      </c>
    </row>
    <row r="6" spans="1:6" ht="14.25" customHeight="1">
      <c r="A6" t="str">
        <f t="shared" ca="1" si="0"/>
        <v>22200000</v>
      </c>
      <c r="B6">
        <f t="shared" ca="1" si="1"/>
        <v>0</v>
      </c>
      <c r="C6" s="204">
        <v>22200000</v>
      </c>
      <c r="D6" s="202" t="s">
        <v>38</v>
      </c>
      <c r="E6" s="203">
        <v>28250</v>
      </c>
      <c r="F6" s="203">
        <v>0</v>
      </c>
    </row>
    <row r="7" spans="1:6" ht="14.25" customHeight="1">
      <c r="A7" t="str">
        <f t="shared" ca="1" si="0"/>
        <v>23310000</v>
      </c>
      <c r="B7">
        <f t="shared" ca="1" si="1"/>
        <v>0</v>
      </c>
      <c r="C7" s="204">
        <v>23310000</v>
      </c>
      <c r="D7" s="202" t="s">
        <v>1461</v>
      </c>
      <c r="E7" s="203">
        <v>14860</v>
      </c>
      <c r="F7" s="203">
        <v>0</v>
      </c>
    </row>
    <row r="8" spans="1:6" ht="14.25" customHeight="1">
      <c r="A8" t="str">
        <f t="shared" ca="1" si="0"/>
        <v>23400000</v>
      </c>
      <c r="B8">
        <f t="shared" ca="1" si="1"/>
        <v>0</v>
      </c>
      <c r="C8" s="204">
        <v>23400000</v>
      </c>
      <c r="D8" s="202" t="s">
        <v>44</v>
      </c>
      <c r="E8" s="203">
        <v>235875</v>
      </c>
      <c r="F8" s="203">
        <v>0</v>
      </c>
    </row>
    <row r="9" spans="1:6" ht="14.25" customHeight="1">
      <c r="A9" t="str">
        <f t="shared" ca="1" si="0"/>
        <v>23510000</v>
      </c>
      <c r="B9">
        <f t="shared" ca="1" si="1"/>
        <v>0</v>
      </c>
      <c r="C9" s="204">
        <v>23510000</v>
      </c>
      <c r="D9" s="202" t="s">
        <v>1462</v>
      </c>
      <c r="E9" s="203">
        <v>67024.66</v>
      </c>
      <c r="F9" s="203">
        <v>0</v>
      </c>
    </row>
    <row r="10" spans="1:6" ht="14.25" customHeight="1">
      <c r="A10" t="str">
        <f t="shared" ca="1" si="0"/>
        <v>23550000</v>
      </c>
      <c r="B10">
        <f t="shared" ca="1" si="1"/>
        <v>0</v>
      </c>
      <c r="C10" s="204">
        <v>23550000</v>
      </c>
      <c r="D10" s="202" t="s">
        <v>1463</v>
      </c>
      <c r="E10" s="203">
        <v>8287.35</v>
      </c>
      <c r="F10" s="203">
        <v>0</v>
      </c>
    </row>
    <row r="11" spans="1:6" ht="14.25" customHeight="1">
      <c r="A11" t="str">
        <f t="shared" ca="1" si="0"/>
        <v>23560000</v>
      </c>
      <c r="B11">
        <f t="shared" ca="1" si="1"/>
        <v>0</v>
      </c>
      <c r="C11" s="204">
        <v>23560000</v>
      </c>
      <c r="D11" s="202" t="s">
        <v>1464</v>
      </c>
      <c r="E11" s="203">
        <v>4590</v>
      </c>
      <c r="F11" s="203">
        <v>0</v>
      </c>
    </row>
    <row r="12" spans="1:6" ht="14.25" customHeight="1">
      <c r="A12" t="str">
        <f t="shared" ca="1" si="0"/>
        <v>28110000</v>
      </c>
      <c r="B12">
        <f t="shared" ca="1" si="1"/>
        <v>0</v>
      </c>
      <c r="C12" s="204">
        <v>28110000</v>
      </c>
      <c r="D12" s="202" t="s">
        <v>1465</v>
      </c>
      <c r="E12" s="203">
        <v>0</v>
      </c>
      <c r="F12" s="203">
        <v>4105.6000000000004</v>
      </c>
    </row>
    <row r="13" spans="1:6" ht="14.25" customHeight="1">
      <c r="A13" t="str">
        <f t="shared" ca="1" si="0"/>
        <v>28220000</v>
      </c>
      <c r="B13">
        <f t="shared" ca="1" si="1"/>
        <v>0</v>
      </c>
      <c r="C13" s="204">
        <v>28220000</v>
      </c>
      <c r="D13" s="202" t="s">
        <v>1466</v>
      </c>
      <c r="E13" s="203">
        <v>0</v>
      </c>
      <c r="F13" s="203">
        <v>25895.83</v>
      </c>
    </row>
    <row r="14" spans="1:6" ht="14.25" customHeight="1">
      <c r="A14" t="str">
        <f t="shared" ca="1" si="0"/>
        <v>28280000</v>
      </c>
      <c r="B14">
        <f t="shared" ca="1" si="1"/>
        <v>0</v>
      </c>
      <c r="C14" s="204">
        <v>28280000</v>
      </c>
      <c r="D14" s="202" t="s">
        <v>1467</v>
      </c>
      <c r="E14" s="203">
        <v>0</v>
      </c>
      <c r="F14" s="203">
        <v>2354.17</v>
      </c>
    </row>
    <row r="15" spans="1:6" ht="14.25" customHeight="1">
      <c r="A15" t="str">
        <f t="shared" ca="1" si="0"/>
        <v>28330000</v>
      </c>
      <c r="B15">
        <f t="shared" ca="1" si="1"/>
        <v>0</v>
      </c>
      <c r="C15" s="204">
        <v>28330000</v>
      </c>
      <c r="D15" s="202" t="s">
        <v>1468</v>
      </c>
      <c r="E15" s="203">
        <v>0</v>
      </c>
      <c r="F15" s="203">
        <v>1795.58</v>
      </c>
    </row>
    <row r="16" spans="1:6" ht="14.25" customHeight="1">
      <c r="A16" t="str">
        <f t="shared" ca="1" si="0"/>
        <v>28340000</v>
      </c>
      <c r="B16">
        <f t="shared" ca="1" si="1"/>
        <v>0</v>
      </c>
      <c r="C16" s="204">
        <v>28340000</v>
      </c>
      <c r="D16" s="202" t="s">
        <v>1469</v>
      </c>
      <c r="E16" s="203">
        <v>0</v>
      </c>
      <c r="F16" s="203">
        <v>235873</v>
      </c>
    </row>
    <row r="17" spans="1:6" ht="14.25" customHeight="1">
      <c r="A17" t="str">
        <f t="shared" ca="1" si="0"/>
        <v>28356000</v>
      </c>
      <c r="B17">
        <f t="shared" ca="1" si="1"/>
        <v>0</v>
      </c>
      <c r="C17" s="204">
        <v>28356000</v>
      </c>
      <c r="D17" s="202" t="s">
        <v>1470</v>
      </c>
      <c r="E17" s="203">
        <v>0</v>
      </c>
      <c r="F17" s="203">
        <v>79587.649999999994</v>
      </c>
    </row>
    <row r="18" spans="1:6" ht="14.25" customHeight="1">
      <c r="A18" t="str">
        <f t="shared" ca="1" si="0"/>
        <v>31510000</v>
      </c>
      <c r="B18">
        <f t="shared" ca="1" si="1"/>
        <v>0</v>
      </c>
      <c r="C18" s="204">
        <v>31510000</v>
      </c>
      <c r="D18" s="202" t="s">
        <v>1471</v>
      </c>
      <c r="E18" s="203">
        <v>401035.17</v>
      </c>
      <c r="F18" s="203">
        <v>0</v>
      </c>
    </row>
    <row r="19" spans="1:6" ht="14.25" customHeight="1">
      <c r="A19" t="str">
        <f t="shared" ca="1" si="0"/>
        <v>34210000</v>
      </c>
      <c r="B19">
        <f t="shared" ca="1" si="1"/>
        <v>0</v>
      </c>
      <c r="C19" s="204">
        <v>34210000</v>
      </c>
      <c r="D19" s="202" t="s">
        <v>1472</v>
      </c>
      <c r="E19" s="203">
        <v>622316.55000000005</v>
      </c>
      <c r="F19" s="203">
        <v>0</v>
      </c>
    </row>
    <row r="20" spans="1:6" ht="14.25" customHeight="1">
      <c r="A20" t="str">
        <f t="shared" ca="1" si="0"/>
        <v>34530000</v>
      </c>
      <c r="B20">
        <f t="shared" ca="1" si="1"/>
        <v>0</v>
      </c>
      <c r="C20" s="204">
        <v>34530000</v>
      </c>
      <c r="D20" s="202" t="s">
        <v>1473</v>
      </c>
      <c r="E20" s="203">
        <v>5641.2</v>
      </c>
      <c r="F20" s="203">
        <v>0</v>
      </c>
    </row>
    <row r="21" spans="1:6" ht="14.25" customHeight="1">
      <c r="A21" t="str">
        <f t="shared" ca="1" si="0"/>
        <v>34550000</v>
      </c>
      <c r="B21">
        <f t="shared" ca="1" si="1"/>
        <v>0</v>
      </c>
      <c r="C21" s="204">
        <v>34550000</v>
      </c>
      <c r="D21" s="202" t="s">
        <v>1474</v>
      </c>
      <c r="E21" s="203">
        <v>4362.62</v>
      </c>
      <c r="F21" s="203">
        <v>0</v>
      </c>
    </row>
    <row r="22" spans="1:6" ht="14.25" customHeight="1">
      <c r="A22" t="str">
        <f t="shared" ca="1" si="0"/>
        <v>34551000</v>
      </c>
      <c r="B22">
        <f t="shared" ca="1" si="1"/>
        <v>0</v>
      </c>
      <c r="C22" s="204">
        <v>34551000</v>
      </c>
      <c r="D22" s="202" t="s">
        <v>1475</v>
      </c>
      <c r="E22" s="203">
        <v>5733</v>
      </c>
      <c r="F22" s="203">
        <v>0</v>
      </c>
    </row>
    <row r="23" spans="1:6" ht="14.25" customHeight="1">
      <c r="A23" t="str">
        <f t="shared" ca="1" si="0"/>
        <v>34552000</v>
      </c>
      <c r="B23">
        <f t="shared" ca="1" si="1"/>
        <v>0</v>
      </c>
      <c r="C23" s="204">
        <v>34552000</v>
      </c>
      <c r="D23" s="202" t="s">
        <v>1476</v>
      </c>
      <c r="E23" s="203">
        <v>5451.55</v>
      </c>
      <c r="F23" s="203">
        <v>0</v>
      </c>
    </row>
    <row r="24" spans="1:6" ht="14.25" customHeight="1">
      <c r="A24" t="str">
        <f t="shared" ca="1" si="0"/>
        <v>44110000</v>
      </c>
      <c r="B24">
        <f t="shared" ca="1" si="1"/>
        <v>0</v>
      </c>
      <c r="C24" s="204">
        <v>44110000</v>
      </c>
      <c r="D24" s="202" t="s">
        <v>1477</v>
      </c>
      <c r="E24" s="203">
        <v>0</v>
      </c>
      <c r="F24" s="203">
        <v>921.57</v>
      </c>
    </row>
    <row r="25" spans="1:6" ht="14.25" customHeight="1">
      <c r="A25" t="str">
        <f t="shared" ca="1" si="0"/>
        <v>44110001</v>
      </c>
      <c r="B25">
        <f t="shared" ca="1" si="1"/>
        <v>0</v>
      </c>
      <c r="C25" s="204">
        <v>44110001</v>
      </c>
      <c r="D25" s="202" t="s">
        <v>1478</v>
      </c>
      <c r="E25" s="203">
        <v>0</v>
      </c>
      <c r="F25" s="203">
        <v>3960</v>
      </c>
    </row>
    <row r="26" spans="1:6" ht="14.25" customHeight="1">
      <c r="A26" t="str">
        <f t="shared" ca="1" si="0"/>
        <v>44110002</v>
      </c>
      <c r="B26">
        <f t="shared" ca="1" si="1"/>
        <v>0</v>
      </c>
      <c r="C26" s="204">
        <v>44110002</v>
      </c>
      <c r="D26" s="202" t="s">
        <v>1479</v>
      </c>
      <c r="E26" s="203">
        <v>0</v>
      </c>
      <c r="F26" s="203">
        <v>0</v>
      </c>
    </row>
    <row r="27" spans="1:6" ht="14.25" customHeight="1">
      <c r="A27" t="str">
        <f t="shared" ca="1" si="0"/>
        <v>44110003</v>
      </c>
      <c r="B27">
        <f t="shared" ca="1" si="1"/>
        <v>0</v>
      </c>
      <c r="C27" s="204">
        <v>44110003</v>
      </c>
      <c r="D27" s="202" t="s">
        <v>1480</v>
      </c>
      <c r="E27" s="203">
        <v>0</v>
      </c>
      <c r="F27" s="203">
        <v>1747.38</v>
      </c>
    </row>
    <row r="28" spans="1:6" ht="14.25" customHeight="1">
      <c r="A28" t="str">
        <f t="shared" ca="1" si="0"/>
        <v>44110012</v>
      </c>
      <c r="B28">
        <f t="shared" ca="1" si="1"/>
        <v>0</v>
      </c>
      <c r="C28" s="204">
        <v>44110012</v>
      </c>
      <c r="D28" s="202" t="s">
        <v>1481</v>
      </c>
      <c r="E28" s="203">
        <v>0</v>
      </c>
      <c r="F28" s="203">
        <v>128.52000000000001</v>
      </c>
    </row>
    <row r="29" spans="1:6" ht="14.25" customHeight="1">
      <c r="A29" t="str">
        <f t="shared" ca="1" si="0"/>
        <v>44110013</v>
      </c>
      <c r="B29">
        <f t="shared" ca="1" si="1"/>
        <v>0</v>
      </c>
      <c r="C29" s="204">
        <v>44110013</v>
      </c>
      <c r="D29" s="202" t="s">
        <v>1482</v>
      </c>
      <c r="E29" s="203">
        <v>0</v>
      </c>
      <c r="F29" s="203">
        <v>892.28</v>
      </c>
    </row>
    <row r="30" spans="1:6" ht="14.25" customHeight="1">
      <c r="A30" t="str">
        <f t="shared" ca="1" si="0"/>
        <v>44110015</v>
      </c>
      <c r="B30">
        <f t="shared" ca="1" si="1"/>
        <v>0</v>
      </c>
      <c r="C30" s="204">
        <v>44110015</v>
      </c>
      <c r="D30" s="202" t="s">
        <v>1483</v>
      </c>
      <c r="E30" s="203">
        <v>0</v>
      </c>
      <c r="F30" s="203">
        <v>7205.58</v>
      </c>
    </row>
    <row r="31" spans="1:6" ht="14.25" customHeight="1">
      <c r="A31" t="str">
        <f t="shared" ca="1" si="0"/>
        <v>44110018</v>
      </c>
      <c r="B31">
        <f t="shared" ca="1" si="1"/>
        <v>0</v>
      </c>
      <c r="C31" s="204">
        <v>44110018</v>
      </c>
      <c r="D31" s="202" t="s">
        <v>1484</v>
      </c>
      <c r="E31" s="203">
        <v>0</v>
      </c>
      <c r="F31" s="203">
        <v>14850</v>
      </c>
    </row>
    <row r="32" spans="1:6" ht="14.25" customHeight="1">
      <c r="A32" t="str">
        <f t="shared" ca="1" si="0"/>
        <v>44110024</v>
      </c>
      <c r="B32">
        <f t="shared" ca="1" si="1"/>
        <v>0</v>
      </c>
      <c r="C32" s="204">
        <v>44110024</v>
      </c>
      <c r="D32" s="202" t="s">
        <v>1485</v>
      </c>
      <c r="E32" s="203">
        <v>0</v>
      </c>
      <c r="F32" s="203">
        <v>4019.04</v>
      </c>
    </row>
    <row r="33" spans="1:6" ht="14.25" customHeight="1">
      <c r="A33" t="str">
        <f t="shared" ca="1" si="0"/>
        <v>44110223</v>
      </c>
      <c r="B33">
        <f t="shared" ca="1" si="1"/>
        <v>0</v>
      </c>
      <c r="C33" s="204">
        <v>44110223</v>
      </c>
      <c r="D33" s="202" t="s">
        <v>1486</v>
      </c>
      <c r="E33" s="203">
        <v>0</v>
      </c>
      <c r="F33" s="203">
        <v>0</v>
      </c>
    </row>
    <row r="34" spans="1:6" ht="14.25" customHeight="1">
      <c r="A34" t="str">
        <f t="shared" ca="1" si="0"/>
        <v>44110689</v>
      </c>
      <c r="B34">
        <f t="shared" ca="1" si="1"/>
        <v>0</v>
      </c>
      <c r="C34" s="204">
        <v>44110689</v>
      </c>
      <c r="D34" s="202" t="s">
        <v>1487</v>
      </c>
      <c r="E34" s="203">
        <v>0</v>
      </c>
      <c r="F34" s="203">
        <v>7083.72</v>
      </c>
    </row>
    <row r="35" spans="1:6" ht="14.25" customHeight="1">
      <c r="A35" t="str">
        <f t="shared" ca="1" si="0"/>
        <v>44320000</v>
      </c>
      <c r="B35">
        <f t="shared" ca="1" si="1"/>
        <v>0</v>
      </c>
      <c r="C35" s="204">
        <v>44320000</v>
      </c>
      <c r="D35" s="202" t="s">
        <v>1488</v>
      </c>
      <c r="E35" s="203">
        <v>0</v>
      </c>
      <c r="F35" s="203">
        <v>572699.89</v>
      </c>
    </row>
    <row r="36" spans="1:6" ht="14.25" customHeight="1">
      <c r="A36" t="str">
        <f t="shared" ca="1" si="0"/>
        <v>44410000</v>
      </c>
      <c r="B36">
        <f t="shared" ca="1" si="1"/>
        <v>0</v>
      </c>
      <c r="C36" s="204">
        <v>44410000</v>
      </c>
      <c r="D36" s="202" t="s">
        <v>1489</v>
      </c>
      <c r="E36" s="203">
        <v>0</v>
      </c>
      <c r="F36" s="203">
        <v>3116.49</v>
      </c>
    </row>
    <row r="37" spans="1:6" ht="14.25" customHeight="1">
      <c r="A37" t="str">
        <f t="shared" ca="1" si="0"/>
        <v>44522000</v>
      </c>
      <c r="B37">
        <f t="shared" ca="1" si="1"/>
        <v>0</v>
      </c>
      <c r="C37" s="204">
        <v>44522000</v>
      </c>
      <c r="D37" s="202" t="s">
        <v>1490</v>
      </c>
      <c r="E37" s="203">
        <v>0</v>
      </c>
      <c r="F37" s="203">
        <v>4320</v>
      </c>
    </row>
    <row r="38" spans="1:6" ht="14.25" customHeight="1">
      <c r="A38" t="str">
        <f t="shared" ca="1" si="0"/>
        <v>44525000</v>
      </c>
      <c r="B38">
        <f t="shared" ca="1" si="1"/>
        <v>0</v>
      </c>
      <c r="C38" s="204">
        <v>44525000</v>
      </c>
      <c r="D38" s="202" t="s">
        <v>1491</v>
      </c>
      <c r="E38" s="203">
        <v>0</v>
      </c>
      <c r="F38" s="203">
        <v>1473.92</v>
      </c>
    </row>
    <row r="39" spans="1:6" ht="14.25" customHeight="1">
      <c r="A39" t="str">
        <f t="shared" ca="1" si="0"/>
        <v>44530000</v>
      </c>
      <c r="B39">
        <f t="shared" ca="1" si="1"/>
        <v>0</v>
      </c>
      <c r="C39" s="204">
        <v>44530000</v>
      </c>
      <c r="D39" s="202" t="s">
        <v>1492</v>
      </c>
      <c r="E39" s="203">
        <v>0</v>
      </c>
      <c r="F39" s="203">
        <v>2557.8000000000002</v>
      </c>
    </row>
    <row r="40" spans="1:6" ht="14.25" customHeight="1">
      <c r="A40" t="str">
        <f t="shared" ca="1" si="0"/>
        <v>44550000</v>
      </c>
      <c r="B40">
        <f t="shared" ca="1" si="1"/>
        <v>0</v>
      </c>
      <c r="C40" s="204">
        <v>44550000</v>
      </c>
      <c r="D40" s="202" t="s">
        <v>1493</v>
      </c>
      <c r="E40" s="203">
        <v>0</v>
      </c>
      <c r="F40" s="203">
        <v>108637.31</v>
      </c>
    </row>
    <row r="41" spans="1:6" ht="14.25" customHeight="1">
      <c r="A41" t="str">
        <f t="shared" ca="1" si="0"/>
        <v>44560000</v>
      </c>
      <c r="B41">
        <f t="shared" ca="1" si="1"/>
        <v>0</v>
      </c>
      <c r="C41" s="204">
        <v>44560000</v>
      </c>
      <c r="D41" s="202" t="s">
        <v>1494</v>
      </c>
      <c r="E41" s="203">
        <v>0</v>
      </c>
      <c r="F41" s="203">
        <v>8278.2800000000007</v>
      </c>
    </row>
    <row r="42" spans="1:6" ht="14.25" customHeight="1">
      <c r="A42" t="str">
        <f t="shared" ca="1" si="0"/>
        <v>44630000</v>
      </c>
      <c r="B42">
        <f t="shared" ca="1" si="1"/>
        <v>0</v>
      </c>
      <c r="C42" s="204">
        <v>44630000</v>
      </c>
      <c r="D42" s="202" t="s">
        <v>1495</v>
      </c>
      <c r="E42" s="203">
        <v>0</v>
      </c>
      <c r="F42" s="203">
        <v>430443.23</v>
      </c>
    </row>
    <row r="43" spans="1:6" ht="14.25" customHeight="1">
      <c r="A43" t="str">
        <f t="shared" ca="1" si="0"/>
        <v>51410000</v>
      </c>
      <c r="B43">
        <f t="shared" ca="1" si="1"/>
        <v>0</v>
      </c>
      <c r="C43" s="204">
        <v>51410000</v>
      </c>
      <c r="D43" s="202" t="s">
        <v>1496</v>
      </c>
      <c r="E43" s="203">
        <v>5541.54</v>
      </c>
      <c r="F43" s="203">
        <v>0</v>
      </c>
    </row>
    <row r="44" spans="1:6" ht="14.25" customHeight="1">
      <c r="A44" t="str">
        <f t="shared" ca="1" si="0"/>
        <v>51610000</v>
      </c>
      <c r="B44">
        <f t="shared" ca="1" si="1"/>
        <v>0</v>
      </c>
      <c r="C44" s="204">
        <v>51610000</v>
      </c>
      <c r="D44" s="202" t="s">
        <v>1497</v>
      </c>
      <c r="E44" s="203">
        <v>4713.78</v>
      </c>
      <c r="F44" s="203">
        <v>0</v>
      </c>
    </row>
    <row r="45" spans="1:6" ht="14.25" customHeight="1">
      <c r="A45" t="str">
        <f t="shared" ca="1" si="0"/>
        <v>61250000</v>
      </c>
      <c r="B45">
        <f t="shared" ca="1" si="1"/>
        <v>0</v>
      </c>
      <c r="C45" s="204">
        <v>61250000</v>
      </c>
      <c r="D45" s="202" t="s">
        <v>1498</v>
      </c>
      <c r="E45" s="203">
        <v>9300.64</v>
      </c>
      <c r="F45" s="203">
        <v>0</v>
      </c>
    </row>
    <row r="46" spans="1:6" ht="14.25" customHeight="1">
      <c r="A46" t="str">
        <f t="shared" ca="1" si="0"/>
        <v>61310000</v>
      </c>
      <c r="B46">
        <f t="shared" ca="1" si="1"/>
        <v>0</v>
      </c>
      <c r="C46" s="204">
        <v>61310000</v>
      </c>
      <c r="D46" s="202" t="s">
        <v>1499</v>
      </c>
      <c r="E46" s="203">
        <v>47520</v>
      </c>
      <c r="F46" s="203">
        <v>0</v>
      </c>
    </row>
    <row r="47" spans="1:6" ht="14.25" customHeight="1">
      <c r="A47" t="str">
        <f t="shared" ca="1" si="0"/>
        <v>61450000</v>
      </c>
      <c r="B47">
        <f t="shared" ca="1" si="1"/>
        <v>0</v>
      </c>
      <c r="C47" s="204">
        <v>61450000</v>
      </c>
      <c r="D47" s="202" t="s">
        <v>1500</v>
      </c>
      <c r="E47" s="203">
        <v>10961.33</v>
      </c>
      <c r="F47" s="203">
        <v>0</v>
      </c>
    </row>
    <row r="48" spans="1:6" ht="14.25" customHeight="1">
      <c r="A48" t="str">
        <f t="shared" ca="1" si="0"/>
        <v>61470000</v>
      </c>
      <c r="B48">
        <f t="shared" ca="1" si="1"/>
        <v>0</v>
      </c>
      <c r="C48" s="204">
        <v>61470000</v>
      </c>
      <c r="D48" s="202" t="s">
        <v>1501</v>
      </c>
      <c r="E48" s="203">
        <v>854.84</v>
      </c>
      <c r="F48" s="203">
        <v>0</v>
      </c>
    </row>
    <row r="49" spans="1:6" ht="14.25" customHeight="1">
      <c r="A49" t="str">
        <f t="shared" ca="1" si="0"/>
        <v>61612000</v>
      </c>
      <c r="B49">
        <f t="shared" ca="1" si="1"/>
        <v>0</v>
      </c>
      <c r="C49" s="204">
        <v>61612000</v>
      </c>
      <c r="D49" s="202" t="s">
        <v>1502</v>
      </c>
      <c r="E49" s="203">
        <v>4320</v>
      </c>
      <c r="F49" s="203">
        <v>0</v>
      </c>
    </row>
    <row r="50" spans="1:6" ht="14.25" customHeight="1">
      <c r="A50" t="str">
        <f t="shared" ca="1" si="0"/>
        <v>61671000</v>
      </c>
      <c r="B50">
        <f t="shared" ca="1" si="1"/>
        <v>0</v>
      </c>
      <c r="C50" s="204">
        <v>61671000</v>
      </c>
      <c r="D50" s="202" t="s">
        <v>1503</v>
      </c>
      <c r="E50" s="203">
        <v>9</v>
      </c>
      <c r="F50" s="203">
        <v>0</v>
      </c>
    </row>
    <row r="51" spans="1:6" ht="14.25" customHeight="1">
      <c r="A51" t="str">
        <f t="shared" ca="1" si="0"/>
        <v>61680000</v>
      </c>
      <c r="B51">
        <f t="shared" ca="1" si="1"/>
        <v>0</v>
      </c>
      <c r="C51" s="204">
        <v>61680000</v>
      </c>
      <c r="D51" s="202" t="s">
        <v>1504</v>
      </c>
      <c r="E51" s="203">
        <v>0</v>
      </c>
      <c r="F51" s="203">
        <v>0</v>
      </c>
    </row>
    <row r="52" spans="1:6" ht="14.25" customHeight="1">
      <c r="A52" t="str">
        <f t="shared" ca="1" si="0"/>
        <v>61710000</v>
      </c>
      <c r="B52">
        <f t="shared" ca="1" si="1"/>
        <v>0</v>
      </c>
      <c r="C52" s="204">
        <v>61710000</v>
      </c>
      <c r="D52" s="202" t="s">
        <v>1505</v>
      </c>
      <c r="E52" s="203">
        <v>136670.39999999999</v>
      </c>
      <c r="F52" s="203">
        <v>0</v>
      </c>
    </row>
    <row r="53" spans="1:6" ht="14.25" customHeight="1">
      <c r="A53" t="str">
        <f t="shared" ca="1" si="0"/>
        <v>61712000</v>
      </c>
      <c r="B53">
        <f t="shared" ca="1" si="1"/>
        <v>0</v>
      </c>
      <c r="C53" s="204">
        <v>61712000</v>
      </c>
      <c r="D53" s="202" t="s">
        <v>1506</v>
      </c>
      <c r="E53" s="203">
        <v>45814.5</v>
      </c>
      <c r="F53" s="203">
        <v>0</v>
      </c>
    </row>
    <row r="54" spans="1:6" ht="14.25" customHeight="1">
      <c r="A54" t="str">
        <f t="shared" ca="1" si="0"/>
        <v>61740000</v>
      </c>
      <c r="B54">
        <f t="shared" ca="1" si="1"/>
        <v>0</v>
      </c>
      <c r="C54" s="204">
        <v>61740000</v>
      </c>
      <c r="D54" s="202" t="s">
        <v>1507</v>
      </c>
      <c r="E54" s="203">
        <v>28100.95</v>
      </c>
      <c r="F54" s="203">
        <v>0</v>
      </c>
    </row>
    <row r="55" spans="1:6" ht="14.25" customHeight="1">
      <c r="A55" t="str">
        <f t="shared" ca="1" si="0"/>
        <v>61850000</v>
      </c>
      <c r="B55">
        <f t="shared" ca="1" si="1"/>
        <v>0</v>
      </c>
      <c r="C55" s="204">
        <v>61850000</v>
      </c>
      <c r="D55" s="202" t="s">
        <v>1508</v>
      </c>
      <c r="E55" s="203">
        <v>7.24</v>
      </c>
      <c r="F55" s="203">
        <v>0</v>
      </c>
    </row>
    <row r="56" spans="1:6" ht="14.25" customHeight="1">
      <c r="A56" t="str">
        <f t="shared" ca="1" si="0"/>
        <v>61935000</v>
      </c>
      <c r="B56">
        <f t="shared" ca="1" si="1"/>
        <v>0</v>
      </c>
      <c r="C56" s="204">
        <v>61935000</v>
      </c>
      <c r="D56" s="202" t="s">
        <v>1509</v>
      </c>
      <c r="E56" s="203">
        <v>6800</v>
      </c>
      <c r="F56" s="203">
        <v>0</v>
      </c>
    </row>
    <row r="57" spans="1:6" ht="14.25" customHeight="1">
      <c r="A57" t="str">
        <f t="shared" ca="1" si="0"/>
        <v>65830000</v>
      </c>
      <c r="B57">
        <f t="shared" ca="1" si="1"/>
        <v>0</v>
      </c>
      <c r="C57" s="204">
        <v>65830000</v>
      </c>
      <c r="D57" s="202" t="s">
        <v>1510</v>
      </c>
      <c r="E57" s="203">
        <v>1100</v>
      </c>
      <c r="F57" s="203">
        <v>0</v>
      </c>
    </row>
    <row r="58" spans="1:6" ht="14.25" customHeight="1">
      <c r="A58" t="str">
        <f t="shared" ca="1" si="0"/>
        <v>67050000</v>
      </c>
      <c r="B58">
        <f t="shared" ca="1" si="1"/>
        <v>0</v>
      </c>
      <c r="C58" s="204">
        <v>67050000</v>
      </c>
      <c r="D58" s="202" t="s">
        <v>1511</v>
      </c>
      <c r="E58" s="203">
        <v>2430</v>
      </c>
      <c r="F58" s="203">
        <v>0</v>
      </c>
    </row>
    <row r="59" spans="1:6" ht="14.25" customHeight="1">
      <c r="A59" t="str">
        <f t="shared" ca="1" si="0"/>
        <v>71210000</v>
      </c>
      <c r="B59">
        <f t="shared" ca="1" si="1"/>
        <v>0</v>
      </c>
      <c r="C59" s="204">
        <v>71210000</v>
      </c>
      <c r="D59" s="202" t="s">
        <v>1512</v>
      </c>
      <c r="E59" s="203">
        <v>0</v>
      </c>
      <c r="F59" s="203">
        <v>1350</v>
      </c>
    </row>
    <row r="60" spans="1:6" ht="14.25" customHeight="1">
      <c r="A60" t="str">
        <f t="shared" ca="1" si="0"/>
        <v>71240000</v>
      </c>
      <c r="B60">
        <f t="shared" ca="1" si="1"/>
        <v>0</v>
      </c>
      <c r="C60" s="204">
        <v>71240000</v>
      </c>
      <c r="D60" s="202" t="s">
        <v>1513</v>
      </c>
      <c r="E60" s="203">
        <v>0</v>
      </c>
      <c r="F60" s="203">
        <v>237021.9</v>
      </c>
    </row>
    <row r="61" spans="1:6" ht="14.25" customHeight="1">
      <c r="A61" t="str">
        <f t="shared" ca="1" si="0"/>
        <v>71312000</v>
      </c>
      <c r="B61">
        <f t="shared" ca="1" si="1"/>
        <v>0</v>
      </c>
      <c r="C61" s="204">
        <v>71312000</v>
      </c>
      <c r="D61" s="202" t="s">
        <v>1514</v>
      </c>
      <c r="E61" s="203">
        <v>0</v>
      </c>
      <c r="F61" s="203">
        <v>63000</v>
      </c>
    </row>
    <row r="62" spans="1:6" ht="14.25" customHeight="1">
      <c r="A62" t="str">
        <f t="shared" ca="1" si="0"/>
        <v>71850000</v>
      </c>
      <c r="B62">
        <f t="shared" ca="1" si="1"/>
        <v>0</v>
      </c>
      <c r="C62" s="204">
        <v>71850000</v>
      </c>
      <c r="D62" s="202" t="s">
        <v>1515</v>
      </c>
      <c r="E62" s="203">
        <v>0</v>
      </c>
      <c r="F62" s="203">
        <v>3.26</v>
      </c>
    </row>
    <row r="63" spans="1:6">
      <c r="A63" t="str">
        <f t="shared" ca="1" si="0"/>
        <v/>
      </c>
      <c r="B63">
        <f t="shared" ca="1" si="1"/>
        <v>0</v>
      </c>
    </row>
    <row r="64" spans="1:6">
      <c r="A64" t="str">
        <f t="shared" ca="1" si="0"/>
        <v/>
      </c>
      <c r="B64">
        <f t="shared" ca="1" si="1"/>
        <v>0</v>
      </c>
    </row>
    <row r="65" spans="1:2">
      <c r="A65" t="str">
        <f t="shared" ca="1" si="0"/>
        <v/>
      </c>
      <c r="B65">
        <f t="shared" ca="1" si="1"/>
        <v>0</v>
      </c>
    </row>
    <row r="66" spans="1:2">
      <c r="A66" t="str">
        <f t="shared" ref="A66:A129" ca="1" si="2">CONCATENATE(INDIRECT(ADDRESS(ROW(),3)))</f>
        <v/>
      </c>
      <c r="B66">
        <f t="shared" ref="B66:B129" ca="1" si="3">IF(IF(INDIRECT(ADDRESS(ROW(),1))&lt;&gt;"",IF(ISNA(MATCH(LEFT(INDIRECT(ADDRESS(ROW(),1)),2),PCNG_MN,0))=TRUE,1,0),0)+IF(INDIRECT(ADDRESS(ROW(),1))&lt;&gt;"",IF(ISNA(MATCH(LEFT(INDIRECT(ADDRESS(ROW(),1)),3),PCNG_MN,0))=TRUE,1,0),0)+IF(INDIRECT(ADDRESS(ROW(),1))&lt;&gt;"",IF(ISNA(MATCH(LEFT(INDIRECT(ADDRESS(ROW(),1)),4),PCNG_MN,0))=TRUE,1,0),0)&gt;=3,1,0)</f>
        <v>0</v>
      </c>
    </row>
    <row r="67" spans="1:2">
      <c r="A67" t="str">
        <f t="shared" ca="1" si="2"/>
        <v/>
      </c>
      <c r="B67">
        <f t="shared" ca="1" si="3"/>
        <v>0</v>
      </c>
    </row>
    <row r="68" spans="1:2">
      <c r="A68" t="str">
        <f t="shared" ca="1" si="2"/>
        <v/>
      </c>
      <c r="B68">
        <f t="shared" ca="1" si="3"/>
        <v>0</v>
      </c>
    </row>
    <row r="69" spans="1:2">
      <c r="A69" t="str">
        <f t="shared" ca="1" si="2"/>
        <v/>
      </c>
      <c r="B69">
        <f t="shared" ca="1" si="3"/>
        <v>0</v>
      </c>
    </row>
    <row r="70" spans="1:2">
      <c r="A70" t="str">
        <f t="shared" ca="1" si="2"/>
        <v/>
      </c>
      <c r="B70">
        <f t="shared" ca="1" si="3"/>
        <v>0</v>
      </c>
    </row>
    <row r="71" spans="1:2">
      <c r="A71" t="str">
        <f t="shared" ca="1" si="2"/>
        <v/>
      </c>
      <c r="B71">
        <f t="shared" ca="1" si="3"/>
        <v>0</v>
      </c>
    </row>
    <row r="72" spans="1:2">
      <c r="A72" t="str">
        <f t="shared" ca="1" si="2"/>
        <v/>
      </c>
      <c r="B72">
        <f t="shared" ca="1" si="3"/>
        <v>0</v>
      </c>
    </row>
    <row r="73" spans="1:2">
      <c r="A73" t="str">
        <f t="shared" ca="1" si="2"/>
        <v/>
      </c>
      <c r="B73">
        <f t="shared" ca="1" si="3"/>
        <v>0</v>
      </c>
    </row>
    <row r="74" spans="1:2">
      <c r="A74" t="str">
        <f t="shared" ca="1" si="2"/>
        <v/>
      </c>
      <c r="B74">
        <f t="shared" ca="1" si="3"/>
        <v>0</v>
      </c>
    </row>
    <row r="75" spans="1:2">
      <c r="A75" t="str">
        <f t="shared" ca="1" si="2"/>
        <v/>
      </c>
      <c r="B75">
        <f t="shared" ca="1" si="3"/>
        <v>0</v>
      </c>
    </row>
    <row r="76" spans="1:2">
      <c r="A76" t="str">
        <f t="shared" ca="1" si="2"/>
        <v/>
      </c>
      <c r="B76">
        <f t="shared" ca="1" si="3"/>
        <v>0</v>
      </c>
    </row>
    <row r="77" spans="1:2">
      <c r="A77" t="str">
        <f t="shared" ca="1" si="2"/>
        <v/>
      </c>
      <c r="B77">
        <f t="shared" ca="1" si="3"/>
        <v>0</v>
      </c>
    </row>
    <row r="78" spans="1:2">
      <c r="A78" t="str">
        <f t="shared" ca="1" si="2"/>
        <v/>
      </c>
      <c r="B78">
        <f t="shared" ca="1" si="3"/>
        <v>0</v>
      </c>
    </row>
    <row r="79" spans="1:2">
      <c r="A79" t="str">
        <f t="shared" ca="1" si="2"/>
        <v/>
      </c>
      <c r="B79">
        <f t="shared" ca="1" si="3"/>
        <v>0</v>
      </c>
    </row>
    <row r="80" spans="1:2">
      <c r="A80" t="str">
        <f t="shared" ca="1" si="2"/>
        <v/>
      </c>
      <c r="B80">
        <f t="shared" ca="1" si="3"/>
        <v>0</v>
      </c>
    </row>
    <row r="81" spans="1:2">
      <c r="A81" t="str">
        <f t="shared" ca="1" si="2"/>
        <v/>
      </c>
      <c r="B81">
        <f t="shared" ca="1" si="3"/>
        <v>0</v>
      </c>
    </row>
    <row r="82" spans="1:2">
      <c r="A82" t="str">
        <f t="shared" ca="1" si="2"/>
        <v/>
      </c>
      <c r="B82">
        <f t="shared" ca="1" si="3"/>
        <v>0</v>
      </c>
    </row>
    <row r="83" spans="1:2">
      <c r="A83" t="str">
        <f t="shared" ca="1" si="2"/>
        <v/>
      </c>
      <c r="B83">
        <f t="shared" ca="1" si="3"/>
        <v>0</v>
      </c>
    </row>
    <row r="84" spans="1:2">
      <c r="A84" t="str">
        <f t="shared" ca="1" si="2"/>
        <v/>
      </c>
      <c r="B84">
        <f t="shared" ca="1" si="3"/>
        <v>0</v>
      </c>
    </row>
    <row r="85" spans="1:2">
      <c r="A85" t="str">
        <f t="shared" ca="1" si="2"/>
        <v/>
      </c>
      <c r="B85">
        <f t="shared" ca="1" si="3"/>
        <v>0</v>
      </c>
    </row>
    <row r="86" spans="1:2">
      <c r="A86" t="str">
        <f t="shared" ca="1" si="2"/>
        <v/>
      </c>
      <c r="B86">
        <f t="shared" ca="1" si="3"/>
        <v>0</v>
      </c>
    </row>
    <row r="87" spans="1:2">
      <c r="A87" t="str">
        <f t="shared" ca="1" si="2"/>
        <v/>
      </c>
      <c r="B87">
        <f t="shared" ca="1" si="3"/>
        <v>0</v>
      </c>
    </row>
    <row r="88" spans="1:2">
      <c r="A88" t="str">
        <f t="shared" ca="1" si="2"/>
        <v/>
      </c>
      <c r="B88">
        <f t="shared" ca="1" si="3"/>
        <v>0</v>
      </c>
    </row>
    <row r="89" spans="1:2">
      <c r="A89" t="str">
        <f t="shared" ca="1" si="2"/>
        <v/>
      </c>
      <c r="B89">
        <f t="shared" ca="1" si="3"/>
        <v>0</v>
      </c>
    </row>
    <row r="90" spans="1:2">
      <c r="A90" t="str">
        <f t="shared" ca="1" si="2"/>
        <v/>
      </c>
      <c r="B90">
        <f t="shared" ca="1" si="3"/>
        <v>0</v>
      </c>
    </row>
    <row r="91" spans="1:2">
      <c r="A91" t="str">
        <f t="shared" ca="1" si="2"/>
        <v/>
      </c>
      <c r="B91">
        <f t="shared" ca="1" si="3"/>
        <v>0</v>
      </c>
    </row>
    <row r="92" spans="1:2">
      <c r="A92" t="str">
        <f t="shared" ca="1" si="2"/>
        <v/>
      </c>
      <c r="B92">
        <f t="shared" ca="1" si="3"/>
        <v>0</v>
      </c>
    </row>
    <row r="93" spans="1:2">
      <c r="A93" t="str">
        <f t="shared" ca="1" si="2"/>
        <v/>
      </c>
      <c r="B93">
        <f t="shared" ca="1" si="3"/>
        <v>0</v>
      </c>
    </row>
    <row r="94" spans="1:2">
      <c r="A94" t="str">
        <f t="shared" ca="1" si="2"/>
        <v/>
      </c>
      <c r="B94">
        <f t="shared" ca="1" si="3"/>
        <v>0</v>
      </c>
    </row>
    <row r="95" spans="1:2">
      <c r="A95" t="str">
        <f t="shared" ca="1" si="2"/>
        <v/>
      </c>
      <c r="B95">
        <f t="shared" ca="1" si="3"/>
        <v>0</v>
      </c>
    </row>
    <row r="96" spans="1:2">
      <c r="A96" t="str">
        <f t="shared" ca="1" si="2"/>
        <v/>
      </c>
      <c r="B96">
        <f t="shared" ca="1" si="3"/>
        <v>0</v>
      </c>
    </row>
    <row r="97" spans="1:2">
      <c r="A97" t="str">
        <f t="shared" ca="1" si="2"/>
        <v/>
      </c>
      <c r="B97">
        <f t="shared" ca="1" si="3"/>
        <v>0</v>
      </c>
    </row>
    <row r="98" spans="1:2">
      <c r="A98" t="str">
        <f t="shared" ca="1" si="2"/>
        <v/>
      </c>
      <c r="B98">
        <f t="shared" ca="1" si="3"/>
        <v>0</v>
      </c>
    </row>
    <row r="99" spans="1:2">
      <c r="A99" t="str">
        <f t="shared" ca="1" si="2"/>
        <v/>
      </c>
      <c r="B99">
        <f t="shared" ca="1" si="3"/>
        <v>0</v>
      </c>
    </row>
    <row r="100" spans="1:2">
      <c r="A100" t="str">
        <f t="shared" ca="1" si="2"/>
        <v/>
      </c>
      <c r="B100">
        <f t="shared" ca="1" si="3"/>
        <v>0</v>
      </c>
    </row>
    <row r="101" spans="1:2">
      <c r="A101" t="str">
        <f t="shared" ca="1" si="2"/>
        <v/>
      </c>
      <c r="B101">
        <f t="shared" ca="1" si="3"/>
        <v>0</v>
      </c>
    </row>
    <row r="102" spans="1:2">
      <c r="A102" t="str">
        <f t="shared" ca="1" si="2"/>
        <v/>
      </c>
      <c r="B102">
        <f t="shared" ca="1" si="3"/>
        <v>0</v>
      </c>
    </row>
    <row r="103" spans="1:2">
      <c r="A103" t="str">
        <f t="shared" ca="1" si="2"/>
        <v/>
      </c>
      <c r="B103">
        <f t="shared" ca="1" si="3"/>
        <v>0</v>
      </c>
    </row>
    <row r="104" spans="1:2">
      <c r="A104" t="str">
        <f t="shared" ca="1" si="2"/>
        <v/>
      </c>
      <c r="B104">
        <f t="shared" ca="1" si="3"/>
        <v>0</v>
      </c>
    </row>
    <row r="105" spans="1:2">
      <c r="A105" t="str">
        <f t="shared" ca="1" si="2"/>
        <v/>
      </c>
      <c r="B105">
        <f t="shared" ca="1" si="3"/>
        <v>0</v>
      </c>
    </row>
    <row r="106" spans="1:2">
      <c r="A106" t="str">
        <f t="shared" ca="1" si="2"/>
        <v/>
      </c>
      <c r="B106">
        <f t="shared" ca="1" si="3"/>
        <v>0</v>
      </c>
    </row>
    <row r="107" spans="1:2">
      <c r="A107" t="str">
        <f t="shared" ca="1" si="2"/>
        <v/>
      </c>
      <c r="B107">
        <f t="shared" ca="1" si="3"/>
        <v>0</v>
      </c>
    </row>
    <row r="108" spans="1:2">
      <c r="A108" t="str">
        <f t="shared" ca="1" si="2"/>
        <v/>
      </c>
      <c r="B108">
        <f t="shared" ca="1" si="3"/>
        <v>0</v>
      </c>
    </row>
    <row r="109" spans="1:2">
      <c r="A109" t="str">
        <f t="shared" ca="1" si="2"/>
        <v/>
      </c>
      <c r="B109">
        <f t="shared" ca="1" si="3"/>
        <v>0</v>
      </c>
    </row>
    <row r="110" spans="1:2">
      <c r="A110" t="str">
        <f t="shared" ca="1" si="2"/>
        <v/>
      </c>
      <c r="B110">
        <f t="shared" ca="1" si="3"/>
        <v>0</v>
      </c>
    </row>
    <row r="111" spans="1:2">
      <c r="A111" t="str">
        <f t="shared" ca="1" si="2"/>
        <v/>
      </c>
      <c r="B111">
        <f t="shared" ca="1" si="3"/>
        <v>0</v>
      </c>
    </row>
    <row r="112" spans="1:2">
      <c r="A112" t="str">
        <f t="shared" ca="1" si="2"/>
        <v/>
      </c>
      <c r="B112">
        <f t="shared" ca="1" si="3"/>
        <v>0</v>
      </c>
    </row>
    <row r="113" spans="1:2">
      <c r="A113" t="str">
        <f t="shared" ca="1" si="2"/>
        <v/>
      </c>
      <c r="B113">
        <f t="shared" ca="1" si="3"/>
        <v>0</v>
      </c>
    </row>
    <row r="114" spans="1:2">
      <c r="A114" t="str">
        <f t="shared" ca="1" si="2"/>
        <v/>
      </c>
      <c r="B114">
        <f t="shared" ca="1" si="3"/>
        <v>0</v>
      </c>
    </row>
    <row r="115" spans="1:2">
      <c r="A115" t="str">
        <f t="shared" ca="1" si="2"/>
        <v/>
      </c>
      <c r="B115">
        <f t="shared" ca="1" si="3"/>
        <v>0</v>
      </c>
    </row>
    <row r="116" spans="1:2">
      <c r="A116" t="str">
        <f t="shared" ca="1" si="2"/>
        <v/>
      </c>
      <c r="B116">
        <f t="shared" ca="1" si="3"/>
        <v>0</v>
      </c>
    </row>
    <row r="117" spans="1:2">
      <c r="A117" t="str">
        <f t="shared" ca="1" si="2"/>
        <v/>
      </c>
      <c r="B117">
        <f t="shared" ca="1" si="3"/>
        <v>0</v>
      </c>
    </row>
    <row r="118" spans="1:2">
      <c r="A118" t="str">
        <f t="shared" ca="1" si="2"/>
        <v/>
      </c>
      <c r="B118">
        <f t="shared" ca="1" si="3"/>
        <v>0</v>
      </c>
    </row>
    <row r="119" spans="1:2">
      <c r="A119" t="str">
        <f t="shared" ca="1" si="2"/>
        <v/>
      </c>
      <c r="B119">
        <f t="shared" ca="1" si="3"/>
        <v>0</v>
      </c>
    </row>
    <row r="120" spans="1:2">
      <c r="A120" t="str">
        <f t="shared" ca="1" si="2"/>
        <v/>
      </c>
      <c r="B120">
        <f t="shared" ca="1" si="3"/>
        <v>0</v>
      </c>
    </row>
    <row r="121" spans="1:2">
      <c r="A121" t="str">
        <f t="shared" ca="1" si="2"/>
        <v/>
      </c>
      <c r="B121">
        <f t="shared" ca="1" si="3"/>
        <v>0</v>
      </c>
    </row>
    <row r="122" spans="1:2">
      <c r="A122" t="str">
        <f t="shared" ca="1" si="2"/>
        <v/>
      </c>
      <c r="B122">
        <f t="shared" ca="1" si="3"/>
        <v>0</v>
      </c>
    </row>
    <row r="123" spans="1:2">
      <c r="A123" t="str">
        <f t="shared" ca="1" si="2"/>
        <v/>
      </c>
      <c r="B123">
        <f t="shared" ca="1" si="3"/>
        <v>0</v>
      </c>
    </row>
    <row r="124" spans="1:2">
      <c r="A124" t="str">
        <f t="shared" ca="1" si="2"/>
        <v/>
      </c>
      <c r="B124">
        <f t="shared" ca="1" si="3"/>
        <v>0</v>
      </c>
    </row>
    <row r="125" spans="1:2">
      <c r="A125" t="str">
        <f t="shared" ca="1" si="2"/>
        <v/>
      </c>
      <c r="B125">
        <f t="shared" ca="1" si="3"/>
        <v>0</v>
      </c>
    </row>
    <row r="126" spans="1:2">
      <c r="A126" t="str">
        <f t="shared" ca="1" si="2"/>
        <v/>
      </c>
      <c r="B126">
        <f t="shared" ca="1" si="3"/>
        <v>0</v>
      </c>
    </row>
    <row r="127" spans="1:2">
      <c r="A127" t="str">
        <f t="shared" ca="1" si="2"/>
        <v/>
      </c>
      <c r="B127">
        <f t="shared" ca="1" si="3"/>
        <v>0</v>
      </c>
    </row>
    <row r="128" spans="1:2">
      <c r="A128" t="str">
        <f t="shared" ca="1" si="2"/>
        <v/>
      </c>
      <c r="B128">
        <f t="shared" ca="1" si="3"/>
        <v>0</v>
      </c>
    </row>
    <row r="129" spans="1:2">
      <c r="A129" t="str">
        <f t="shared" ca="1" si="2"/>
        <v/>
      </c>
      <c r="B129">
        <f t="shared" ca="1" si="3"/>
        <v>0</v>
      </c>
    </row>
    <row r="130" spans="1:2">
      <c r="A130" t="str">
        <f t="shared" ref="A130:A193" ca="1" si="4">CONCATENATE(INDIRECT(ADDRESS(ROW(),3)))</f>
        <v/>
      </c>
      <c r="B130">
        <f t="shared" ref="B130:B193" ca="1" si="5">IF(IF(INDIRECT(ADDRESS(ROW(),1))&lt;&gt;"",IF(ISNA(MATCH(LEFT(INDIRECT(ADDRESS(ROW(),1)),2),PCNG_MN,0))=TRUE,1,0),0)+IF(INDIRECT(ADDRESS(ROW(),1))&lt;&gt;"",IF(ISNA(MATCH(LEFT(INDIRECT(ADDRESS(ROW(),1)),3),PCNG_MN,0))=TRUE,1,0),0)+IF(INDIRECT(ADDRESS(ROW(),1))&lt;&gt;"",IF(ISNA(MATCH(LEFT(INDIRECT(ADDRESS(ROW(),1)),4),PCNG_MN,0))=TRUE,1,0),0)&gt;=3,1,0)</f>
        <v>0</v>
      </c>
    </row>
    <row r="131" spans="1:2">
      <c r="A131" t="str">
        <f t="shared" ca="1" si="4"/>
        <v/>
      </c>
      <c r="B131">
        <f t="shared" ca="1" si="5"/>
        <v>0</v>
      </c>
    </row>
    <row r="132" spans="1:2">
      <c r="A132" t="str">
        <f t="shared" ca="1" si="4"/>
        <v/>
      </c>
      <c r="B132">
        <f t="shared" ca="1" si="5"/>
        <v>0</v>
      </c>
    </row>
    <row r="133" spans="1:2">
      <c r="A133" t="str">
        <f t="shared" ca="1" si="4"/>
        <v/>
      </c>
      <c r="B133">
        <f t="shared" ca="1" si="5"/>
        <v>0</v>
      </c>
    </row>
    <row r="134" spans="1:2">
      <c r="A134" t="str">
        <f t="shared" ca="1" si="4"/>
        <v/>
      </c>
      <c r="B134">
        <f t="shared" ca="1" si="5"/>
        <v>0</v>
      </c>
    </row>
    <row r="135" spans="1:2">
      <c r="A135" t="str">
        <f t="shared" ca="1" si="4"/>
        <v/>
      </c>
      <c r="B135">
        <f t="shared" ca="1" si="5"/>
        <v>0</v>
      </c>
    </row>
    <row r="136" spans="1:2">
      <c r="A136" t="str">
        <f t="shared" ca="1" si="4"/>
        <v/>
      </c>
      <c r="B136">
        <f t="shared" ca="1" si="5"/>
        <v>0</v>
      </c>
    </row>
    <row r="137" spans="1:2">
      <c r="A137" t="str">
        <f t="shared" ca="1" si="4"/>
        <v/>
      </c>
      <c r="B137">
        <f t="shared" ca="1" si="5"/>
        <v>0</v>
      </c>
    </row>
    <row r="138" spans="1:2">
      <c r="A138" t="str">
        <f t="shared" ca="1" si="4"/>
        <v/>
      </c>
      <c r="B138">
        <f t="shared" ca="1" si="5"/>
        <v>0</v>
      </c>
    </row>
    <row r="139" spans="1:2">
      <c r="A139" t="str">
        <f t="shared" ca="1" si="4"/>
        <v/>
      </c>
      <c r="B139">
        <f t="shared" ca="1" si="5"/>
        <v>0</v>
      </c>
    </row>
    <row r="140" spans="1:2">
      <c r="A140" t="str">
        <f t="shared" ca="1" si="4"/>
        <v/>
      </c>
      <c r="B140">
        <f t="shared" ca="1" si="5"/>
        <v>0</v>
      </c>
    </row>
    <row r="141" spans="1:2">
      <c r="A141" t="str">
        <f t="shared" ca="1" si="4"/>
        <v/>
      </c>
      <c r="B141">
        <f t="shared" ca="1" si="5"/>
        <v>0</v>
      </c>
    </row>
    <row r="142" spans="1:2">
      <c r="A142" t="str">
        <f t="shared" ca="1" si="4"/>
        <v/>
      </c>
      <c r="B142">
        <f t="shared" ca="1" si="5"/>
        <v>0</v>
      </c>
    </row>
    <row r="143" spans="1:2">
      <c r="A143" t="str">
        <f t="shared" ca="1" si="4"/>
        <v/>
      </c>
      <c r="B143">
        <f t="shared" ca="1" si="5"/>
        <v>0</v>
      </c>
    </row>
    <row r="144" spans="1:2">
      <c r="A144" t="str">
        <f t="shared" ca="1" si="4"/>
        <v/>
      </c>
      <c r="B144">
        <f t="shared" ca="1" si="5"/>
        <v>0</v>
      </c>
    </row>
    <row r="145" spans="1:2">
      <c r="A145" t="str">
        <f t="shared" ca="1" si="4"/>
        <v/>
      </c>
      <c r="B145">
        <f t="shared" ca="1" si="5"/>
        <v>0</v>
      </c>
    </row>
    <row r="146" spans="1:2">
      <c r="A146" t="str">
        <f t="shared" ca="1" si="4"/>
        <v/>
      </c>
      <c r="B146">
        <f t="shared" ca="1" si="5"/>
        <v>0</v>
      </c>
    </row>
    <row r="147" spans="1:2">
      <c r="A147" t="str">
        <f t="shared" ca="1" si="4"/>
        <v/>
      </c>
      <c r="B147">
        <f t="shared" ca="1" si="5"/>
        <v>0</v>
      </c>
    </row>
    <row r="148" spans="1:2">
      <c r="A148" t="str">
        <f t="shared" ca="1" si="4"/>
        <v/>
      </c>
      <c r="B148">
        <f t="shared" ca="1" si="5"/>
        <v>0</v>
      </c>
    </row>
    <row r="149" spans="1:2">
      <c r="A149" t="str">
        <f t="shared" ca="1" si="4"/>
        <v/>
      </c>
      <c r="B149">
        <f t="shared" ca="1" si="5"/>
        <v>0</v>
      </c>
    </row>
    <row r="150" spans="1:2">
      <c r="A150" t="str">
        <f t="shared" ca="1" si="4"/>
        <v/>
      </c>
      <c r="B150">
        <f t="shared" ca="1" si="5"/>
        <v>0</v>
      </c>
    </row>
    <row r="151" spans="1:2">
      <c r="A151" t="str">
        <f t="shared" ca="1" si="4"/>
        <v/>
      </c>
      <c r="B151">
        <f t="shared" ca="1" si="5"/>
        <v>0</v>
      </c>
    </row>
    <row r="152" spans="1:2">
      <c r="A152" t="str">
        <f t="shared" ca="1" si="4"/>
        <v/>
      </c>
      <c r="B152">
        <f t="shared" ca="1" si="5"/>
        <v>0</v>
      </c>
    </row>
    <row r="153" spans="1:2">
      <c r="A153" t="str">
        <f t="shared" ca="1" si="4"/>
        <v/>
      </c>
      <c r="B153">
        <f t="shared" ca="1" si="5"/>
        <v>0</v>
      </c>
    </row>
    <row r="154" spans="1:2">
      <c r="A154" t="str">
        <f t="shared" ca="1" si="4"/>
        <v/>
      </c>
      <c r="B154">
        <f t="shared" ca="1" si="5"/>
        <v>0</v>
      </c>
    </row>
    <row r="155" spans="1:2">
      <c r="A155" t="str">
        <f t="shared" ca="1" si="4"/>
        <v/>
      </c>
      <c r="B155">
        <f t="shared" ca="1" si="5"/>
        <v>0</v>
      </c>
    </row>
    <row r="156" spans="1:2">
      <c r="A156" t="str">
        <f t="shared" ca="1" si="4"/>
        <v/>
      </c>
      <c r="B156">
        <f t="shared" ca="1" si="5"/>
        <v>0</v>
      </c>
    </row>
    <row r="157" spans="1:2">
      <c r="A157" t="str">
        <f t="shared" ca="1" si="4"/>
        <v/>
      </c>
      <c r="B157">
        <f t="shared" ca="1" si="5"/>
        <v>0</v>
      </c>
    </row>
    <row r="158" spans="1:2">
      <c r="A158" t="str">
        <f t="shared" ca="1" si="4"/>
        <v/>
      </c>
      <c r="B158">
        <f t="shared" ca="1" si="5"/>
        <v>0</v>
      </c>
    </row>
    <row r="159" spans="1:2">
      <c r="A159" t="str">
        <f t="shared" ca="1" si="4"/>
        <v/>
      </c>
      <c r="B159">
        <f t="shared" ca="1" si="5"/>
        <v>0</v>
      </c>
    </row>
    <row r="160" spans="1:2">
      <c r="A160" t="str">
        <f t="shared" ca="1" si="4"/>
        <v/>
      </c>
      <c r="B160">
        <f t="shared" ca="1" si="5"/>
        <v>0</v>
      </c>
    </row>
    <row r="161" spans="1:2">
      <c r="A161" t="str">
        <f t="shared" ca="1" si="4"/>
        <v/>
      </c>
      <c r="B161">
        <f t="shared" ca="1" si="5"/>
        <v>0</v>
      </c>
    </row>
    <row r="162" spans="1:2">
      <c r="A162" t="str">
        <f t="shared" ca="1" si="4"/>
        <v/>
      </c>
      <c r="B162">
        <f t="shared" ca="1" si="5"/>
        <v>0</v>
      </c>
    </row>
    <row r="163" spans="1:2">
      <c r="A163" t="str">
        <f t="shared" ca="1" si="4"/>
        <v/>
      </c>
      <c r="B163">
        <f t="shared" ca="1" si="5"/>
        <v>0</v>
      </c>
    </row>
    <row r="164" spans="1:2">
      <c r="A164" t="str">
        <f t="shared" ca="1" si="4"/>
        <v/>
      </c>
      <c r="B164">
        <f t="shared" ca="1" si="5"/>
        <v>0</v>
      </c>
    </row>
    <row r="165" spans="1:2">
      <c r="A165" t="str">
        <f t="shared" ca="1" si="4"/>
        <v/>
      </c>
      <c r="B165">
        <f t="shared" ca="1" si="5"/>
        <v>0</v>
      </c>
    </row>
    <row r="166" spans="1:2">
      <c r="A166" t="str">
        <f t="shared" ca="1" si="4"/>
        <v/>
      </c>
      <c r="B166">
        <f t="shared" ca="1" si="5"/>
        <v>0</v>
      </c>
    </row>
    <row r="167" spans="1:2">
      <c r="A167" t="str">
        <f t="shared" ca="1" si="4"/>
        <v/>
      </c>
      <c r="B167">
        <f t="shared" ca="1" si="5"/>
        <v>0</v>
      </c>
    </row>
    <row r="168" spans="1:2">
      <c r="A168" t="str">
        <f t="shared" ca="1" si="4"/>
        <v/>
      </c>
      <c r="B168">
        <f t="shared" ca="1" si="5"/>
        <v>0</v>
      </c>
    </row>
    <row r="169" spans="1:2">
      <c r="A169" t="str">
        <f t="shared" ca="1" si="4"/>
        <v/>
      </c>
      <c r="B169">
        <f t="shared" ca="1" si="5"/>
        <v>0</v>
      </c>
    </row>
    <row r="170" spans="1:2">
      <c r="A170" t="str">
        <f t="shared" ca="1" si="4"/>
        <v/>
      </c>
      <c r="B170">
        <f t="shared" ca="1" si="5"/>
        <v>0</v>
      </c>
    </row>
    <row r="171" spans="1:2">
      <c r="A171" t="str">
        <f t="shared" ca="1" si="4"/>
        <v/>
      </c>
      <c r="B171">
        <f t="shared" ca="1" si="5"/>
        <v>0</v>
      </c>
    </row>
    <row r="172" spans="1:2">
      <c r="A172" t="str">
        <f t="shared" ca="1" si="4"/>
        <v/>
      </c>
      <c r="B172">
        <f t="shared" ca="1" si="5"/>
        <v>0</v>
      </c>
    </row>
    <row r="173" spans="1:2">
      <c r="A173" t="str">
        <f t="shared" ca="1" si="4"/>
        <v/>
      </c>
      <c r="B173">
        <f t="shared" ca="1" si="5"/>
        <v>0</v>
      </c>
    </row>
    <row r="174" spans="1:2">
      <c r="A174" t="str">
        <f t="shared" ca="1" si="4"/>
        <v/>
      </c>
      <c r="B174">
        <f t="shared" ca="1" si="5"/>
        <v>0</v>
      </c>
    </row>
    <row r="175" spans="1:2">
      <c r="A175" t="str">
        <f t="shared" ca="1" si="4"/>
        <v/>
      </c>
      <c r="B175">
        <f t="shared" ca="1" si="5"/>
        <v>0</v>
      </c>
    </row>
    <row r="176" spans="1:2">
      <c r="A176" t="str">
        <f t="shared" ca="1" si="4"/>
        <v/>
      </c>
      <c r="B176">
        <f t="shared" ca="1" si="5"/>
        <v>0</v>
      </c>
    </row>
    <row r="177" spans="1:2">
      <c r="A177" t="str">
        <f t="shared" ca="1" si="4"/>
        <v/>
      </c>
      <c r="B177">
        <f t="shared" ca="1" si="5"/>
        <v>0</v>
      </c>
    </row>
    <row r="178" spans="1:2">
      <c r="A178" t="str">
        <f t="shared" ca="1" si="4"/>
        <v/>
      </c>
      <c r="B178">
        <f t="shared" ca="1" si="5"/>
        <v>0</v>
      </c>
    </row>
    <row r="179" spans="1:2">
      <c r="A179" t="str">
        <f t="shared" ca="1" si="4"/>
        <v/>
      </c>
      <c r="B179">
        <f t="shared" ca="1" si="5"/>
        <v>0</v>
      </c>
    </row>
    <row r="180" spans="1:2">
      <c r="A180" t="str">
        <f t="shared" ca="1" si="4"/>
        <v/>
      </c>
      <c r="B180">
        <f t="shared" ca="1" si="5"/>
        <v>0</v>
      </c>
    </row>
    <row r="181" spans="1:2">
      <c r="A181" t="str">
        <f t="shared" ca="1" si="4"/>
        <v/>
      </c>
      <c r="B181">
        <f t="shared" ca="1" si="5"/>
        <v>0</v>
      </c>
    </row>
    <row r="182" spans="1:2">
      <c r="A182" t="str">
        <f t="shared" ca="1" si="4"/>
        <v/>
      </c>
      <c r="B182">
        <f t="shared" ca="1" si="5"/>
        <v>0</v>
      </c>
    </row>
    <row r="183" spans="1:2">
      <c r="A183" t="str">
        <f t="shared" ca="1" si="4"/>
        <v/>
      </c>
      <c r="B183">
        <f t="shared" ca="1" si="5"/>
        <v>0</v>
      </c>
    </row>
    <row r="184" spans="1:2">
      <c r="A184" t="str">
        <f t="shared" ca="1" si="4"/>
        <v/>
      </c>
      <c r="B184">
        <f t="shared" ca="1" si="5"/>
        <v>0</v>
      </c>
    </row>
    <row r="185" spans="1:2">
      <c r="A185" t="str">
        <f t="shared" ca="1" si="4"/>
        <v/>
      </c>
      <c r="B185">
        <f t="shared" ca="1" si="5"/>
        <v>0</v>
      </c>
    </row>
    <row r="186" spans="1:2">
      <c r="A186" t="str">
        <f t="shared" ca="1" si="4"/>
        <v/>
      </c>
      <c r="B186">
        <f t="shared" ca="1" si="5"/>
        <v>0</v>
      </c>
    </row>
    <row r="187" spans="1:2">
      <c r="A187" t="str">
        <f t="shared" ca="1" si="4"/>
        <v/>
      </c>
      <c r="B187">
        <f t="shared" ca="1" si="5"/>
        <v>0</v>
      </c>
    </row>
    <row r="188" spans="1:2">
      <c r="A188" t="str">
        <f t="shared" ca="1" si="4"/>
        <v/>
      </c>
      <c r="B188">
        <f t="shared" ca="1" si="5"/>
        <v>0</v>
      </c>
    </row>
    <row r="189" spans="1:2">
      <c r="A189" t="str">
        <f t="shared" ca="1" si="4"/>
        <v/>
      </c>
      <c r="B189">
        <f t="shared" ca="1" si="5"/>
        <v>0</v>
      </c>
    </row>
    <row r="190" spans="1:2">
      <c r="A190" t="str">
        <f t="shared" ca="1" si="4"/>
        <v/>
      </c>
      <c r="B190">
        <f t="shared" ca="1" si="5"/>
        <v>0</v>
      </c>
    </row>
    <row r="191" spans="1:2">
      <c r="A191" t="str">
        <f t="shared" ca="1" si="4"/>
        <v/>
      </c>
      <c r="B191">
        <f t="shared" ca="1" si="5"/>
        <v>0</v>
      </c>
    </row>
    <row r="192" spans="1:2">
      <c r="A192" t="str">
        <f t="shared" ca="1" si="4"/>
        <v/>
      </c>
      <c r="B192">
        <f t="shared" ca="1" si="5"/>
        <v>0</v>
      </c>
    </row>
    <row r="193" spans="1:2">
      <c r="A193" t="str">
        <f t="shared" ca="1" si="4"/>
        <v/>
      </c>
      <c r="B193">
        <f t="shared" ca="1" si="5"/>
        <v>0</v>
      </c>
    </row>
    <row r="194" spans="1:2">
      <c r="A194" t="str">
        <f t="shared" ref="A194:A257" ca="1" si="6">CONCATENATE(INDIRECT(ADDRESS(ROW(),3)))</f>
        <v/>
      </c>
      <c r="B194">
        <f t="shared" ref="B194:B257" ca="1" si="7">IF(IF(INDIRECT(ADDRESS(ROW(),1))&lt;&gt;"",IF(ISNA(MATCH(LEFT(INDIRECT(ADDRESS(ROW(),1)),2),PCNG_MN,0))=TRUE,1,0),0)+IF(INDIRECT(ADDRESS(ROW(),1))&lt;&gt;"",IF(ISNA(MATCH(LEFT(INDIRECT(ADDRESS(ROW(),1)),3),PCNG_MN,0))=TRUE,1,0),0)+IF(INDIRECT(ADDRESS(ROW(),1))&lt;&gt;"",IF(ISNA(MATCH(LEFT(INDIRECT(ADDRESS(ROW(),1)),4),PCNG_MN,0))=TRUE,1,0),0)&gt;=3,1,0)</f>
        <v>0</v>
      </c>
    </row>
    <row r="195" spans="1:2">
      <c r="A195" t="str">
        <f t="shared" ca="1" si="6"/>
        <v/>
      </c>
      <c r="B195">
        <f t="shared" ca="1" si="7"/>
        <v>0</v>
      </c>
    </row>
    <row r="196" spans="1:2">
      <c r="A196" t="str">
        <f t="shared" ca="1" si="6"/>
        <v/>
      </c>
      <c r="B196">
        <f t="shared" ca="1" si="7"/>
        <v>0</v>
      </c>
    </row>
    <row r="197" spans="1:2">
      <c r="A197" t="str">
        <f t="shared" ca="1" si="6"/>
        <v/>
      </c>
      <c r="B197">
        <f t="shared" ca="1" si="7"/>
        <v>0</v>
      </c>
    </row>
    <row r="198" spans="1:2">
      <c r="A198" t="str">
        <f t="shared" ca="1" si="6"/>
        <v/>
      </c>
      <c r="B198">
        <f t="shared" ca="1" si="7"/>
        <v>0</v>
      </c>
    </row>
    <row r="199" spans="1:2">
      <c r="A199" t="str">
        <f t="shared" ca="1" si="6"/>
        <v/>
      </c>
      <c r="B199">
        <f t="shared" ca="1" si="7"/>
        <v>0</v>
      </c>
    </row>
    <row r="200" spans="1:2">
      <c r="A200" t="str">
        <f t="shared" ca="1" si="6"/>
        <v/>
      </c>
      <c r="B200">
        <f t="shared" ca="1" si="7"/>
        <v>0</v>
      </c>
    </row>
    <row r="201" spans="1:2">
      <c r="A201" t="str">
        <f t="shared" ca="1" si="6"/>
        <v/>
      </c>
      <c r="B201">
        <f t="shared" ca="1" si="7"/>
        <v>0</v>
      </c>
    </row>
    <row r="202" spans="1:2">
      <c r="A202" t="str">
        <f t="shared" ca="1" si="6"/>
        <v/>
      </c>
      <c r="B202">
        <f t="shared" ca="1" si="7"/>
        <v>0</v>
      </c>
    </row>
    <row r="203" spans="1:2">
      <c r="A203" t="str">
        <f t="shared" ca="1" si="6"/>
        <v/>
      </c>
      <c r="B203">
        <f t="shared" ca="1" si="7"/>
        <v>0</v>
      </c>
    </row>
    <row r="204" spans="1:2">
      <c r="A204" t="str">
        <f t="shared" ca="1" si="6"/>
        <v/>
      </c>
      <c r="B204">
        <f t="shared" ca="1" si="7"/>
        <v>0</v>
      </c>
    </row>
    <row r="205" spans="1:2">
      <c r="A205" t="str">
        <f t="shared" ca="1" si="6"/>
        <v/>
      </c>
      <c r="B205">
        <f t="shared" ca="1" si="7"/>
        <v>0</v>
      </c>
    </row>
    <row r="206" spans="1:2">
      <c r="A206" t="str">
        <f t="shared" ca="1" si="6"/>
        <v/>
      </c>
      <c r="B206">
        <f t="shared" ca="1" si="7"/>
        <v>0</v>
      </c>
    </row>
    <row r="207" spans="1:2">
      <c r="A207" t="str">
        <f t="shared" ca="1" si="6"/>
        <v/>
      </c>
      <c r="B207">
        <f t="shared" ca="1" si="7"/>
        <v>0</v>
      </c>
    </row>
    <row r="208" spans="1:2">
      <c r="A208" t="str">
        <f t="shared" ca="1" si="6"/>
        <v/>
      </c>
      <c r="B208">
        <f t="shared" ca="1" si="7"/>
        <v>0</v>
      </c>
    </row>
    <row r="209" spans="1:2">
      <c r="A209" t="str">
        <f t="shared" ca="1" si="6"/>
        <v/>
      </c>
      <c r="B209">
        <f t="shared" ca="1" si="7"/>
        <v>0</v>
      </c>
    </row>
    <row r="210" spans="1:2">
      <c r="A210" t="str">
        <f t="shared" ca="1" si="6"/>
        <v/>
      </c>
      <c r="B210">
        <f t="shared" ca="1" si="7"/>
        <v>0</v>
      </c>
    </row>
    <row r="211" spans="1:2">
      <c r="A211" t="str">
        <f t="shared" ca="1" si="6"/>
        <v/>
      </c>
      <c r="B211">
        <f t="shared" ca="1" si="7"/>
        <v>0</v>
      </c>
    </row>
    <row r="212" spans="1:2">
      <c r="A212" t="str">
        <f t="shared" ca="1" si="6"/>
        <v/>
      </c>
      <c r="B212">
        <f t="shared" ca="1" si="7"/>
        <v>0</v>
      </c>
    </row>
    <row r="213" spans="1:2">
      <c r="A213" t="str">
        <f t="shared" ca="1" si="6"/>
        <v/>
      </c>
      <c r="B213">
        <f t="shared" ca="1" si="7"/>
        <v>0</v>
      </c>
    </row>
    <row r="214" spans="1:2">
      <c r="A214" t="str">
        <f t="shared" ca="1" si="6"/>
        <v/>
      </c>
      <c r="B214">
        <f t="shared" ca="1" si="7"/>
        <v>0</v>
      </c>
    </row>
    <row r="215" spans="1:2">
      <c r="A215" t="str">
        <f t="shared" ca="1" si="6"/>
        <v/>
      </c>
      <c r="B215">
        <f t="shared" ca="1" si="7"/>
        <v>0</v>
      </c>
    </row>
    <row r="216" spans="1:2">
      <c r="A216" t="str">
        <f t="shared" ca="1" si="6"/>
        <v/>
      </c>
      <c r="B216">
        <f t="shared" ca="1" si="7"/>
        <v>0</v>
      </c>
    </row>
    <row r="217" spans="1:2">
      <c r="A217" t="str">
        <f t="shared" ca="1" si="6"/>
        <v/>
      </c>
      <c r="B217">
        <f t="shared" ca="1" si="7"/>
        <v>0</v>
      </c>
    </row>
    <row r="218" spans="1:2">
      <c r="A218" t="str">
        <f t="shared" ca="1" si="6"/>
        <v/>
      </c>
      <c r="B218">
        <f t="shared" ca="1" si="7"/>
        <v>0</v>
      </c>
    </row>
    <row r="219" spans="1:2">
      <c r="A219" t="str">
        <f t="shared" ca="1" si="6"/>
        <v/>
      </c>
      <c r="B219">
        <f t="shared" ca="1" si="7"/>
        <v>0</v>
      </c>
    </row>
    <row r="220" spans="1:2">
      <c r="A220" t="str">
        <f t="shared" ca="1" si="6"/>
        <v/>
      </c>
      <c r="B220">
        <f t="shared" ca="1" si="7"/>
        <v>0</v>
      </c>
    </row>
    <row r="221" spans="1:2">
      <c r="A221" t="str">
        <f t="shared" ca="1" si="6"/>
        <v/>
      </c>
      <c r="B221">
        <f t="shared" ca="1" si="7"/>
        <v>0</v>
      </c>
    </row>
    <row r="222" spans="1:2">
      <c r="A222" t="str">
        <f t="shared" ca="1" si="6"/>
        <v/>
      </c>
      <c r="B222">
        <f t="shared" ca="1" si="7"/>
        <v>0</v>
      </c>
    </row>
    <row r="223" spans="1:2">
      <c r="A223" t="str">
        <f t="shared" ca="1" si="6"/>
        <v/>
      </c>
      <c r="B223">
        <f t="shared" ca="1" si="7"/>
        <v>0</v>
      </c>
    </row>
    <row r="224" spans="1:2">
      <c r="A224" t="str">
        <f t="shared" ca="1" si="6"/>
        <v/>
      </c>
      <c r="B224">
        <f t="shared" ca="1" si="7"/>
        <v>0</v>
      </c>
    </row>
    <row r="225" spans="1:2">
      <c r="A225" t="str">
        <f t="shared" ca="1" si="6"/>
        <v/>
      </c>
      <c r="B225">
        <f t="shared" ca="1" si="7"/>
        <v>0</v>
      </c>
    </row>
    <row r="226" spans="1:2">
      <c r="A226" t="str">
        <f t="shared" ca="1" si="6"/>
        <v/>
      </c>
      <c r="B226">
        <f t="shared" ca="1" si="7"/>
        <v>0</v>
      </c>
    </row>
    <row r="227" spans="1:2">
      <c r="A227" t="str">
        <f t="shared" ca="1" si="6"/>
        <v/>
      </c>
      <c r="B227">
        <f t="shared" ca="1" si="7"/>
        <v>0</v>
      </c>
    </row>
    <row r="228" spans="1:2">
      <c r="A228" t="str">
        <f t="shared" ca="1" si="6"/>
        <v/>
      </c>
      <c r="B228">
        <f t="shared" ca="1" si="7"/>
        <v>0</v>
      </c>
    </row>
    <row r="229" spans="1:2">
      <c r="A229" t="str">
        <f t="shared" ca="1" si="6"/>
        <v/>
      </c>
      <c r="B229">
        <f t="shared" ca="1" si="7"/>
        <v>0</v>
      </c>
    </row>
    <row r="230" spans="1:2">
      <c r="A230" t="str">
        <f t="shared" ca="1" si="6"/>
        <v/>
      </c>
      <c r="B230">
        <f t="shared" ca="1" si="7"/>
        <v>0</v>
      </c>
    </row>
    <row r="231" spans="1:2">
      <c r="A231" t="str">
        <f t="shared" ca="1" si="6"/>
        <v/>
      </c>
      <c r="B231">
        <f t="shared" ca="1" si="7"/>
        <v>0</v>
      </c>
    </row>
    <row r="232" spans="1:2">
      <c r="A232" t="str">
        <f t="shared" ca="1" si="6"/>
        <v/>
      </c>
      <c r="B232">
        <f t="shared" ca="1" si="7"/>
        <v>0</v>
      </c>
    </row>
    <row r="233" spans="1:2">
      <c r="A233" t="str">
        <f t="shared" ca="1" si="6"/>
        <v/>
      </c>
      <c r="B233">
        <f t="shared" ca="1" si="7"/>
        <v>0</v>
      </c>
    </row>
    <row r="234" spans="1:2">
      <c r="A234" t="str">
        <f t="shared" ca="1" si="6"/>
        <v/>
      </c>
      <c r="B234">
        <f t="shared" ca="1" si="7"/>
        <v>0</v>
      </c>
    </row>
    <row r="235" spans="1:2">
      <c r="A235" t="str">
        <f t="shared" ca="1" si="6"/>
        <v/>
      </c>
      <c r="B235">
        <f t="shared" ca="1" si="7"/>
        <v>0</v>
      </c>
    </row>
    <row r="236" spans="1:2">
      <c r="A236" t="str">
        <f t="shared" ca="1" si="6"/>
        <v/>
      </c>
      <c r="B236">
        <f t="shared" ca="1" si="7"/>
        <v>0</v>
      </c>
    </row>
    <row r="237" spans="1:2">
      <c r="A237" t="str">
        <f t="shared" ca="1" si="6"/>
        <v/>
      </c>
      <c r="B237">
        <f t="shared" ca="1" si="7"/>
        <v>0</v>
      </c>
    </row>
    <row r="238" spans="1:2">
      <c r="A238" t="str">
        <f t="shared" ca="1" si="6"/>
        <v/>
      </c>
      <c r="B238">
        <f t="shared" ca="1" si="7"/>
        <v>0</v>
      </c>
    </row>
    <row r="239" spans="1:2">
      <c r="A239" t="str">
        <f t="shared" ca="1" si="6"/>
        <v/>
      </c>
      <c r="B239">
        <f t="shared" ca="1" si="7"/>
        <v>0</v>
      </c>
    </row>
    <row r="240" spans="1:2">
      <c r="A240" t="str">
        <f t="shared" ca="1" si="6"/>
        <v/>
      </c>
      <c r="B240">
        <f t="shared" ca="1" si="7"/>
        <v>0</v>
      </c>
    </row>
    <row r="241" spans="1:2">
      <c r="A241" t="str">
        <f t="shared" ca="1" si="6"/>
        <v/>
      </c>
      <c r="B241">
        <f t="shared" ca="1" si="7"/>
        <v>0</v>
      </c>
    </row>
    <row r="242" spans="1:2">
      <c r="A242" t="str">
        <f t="shared" ca="1" si="6"/>
        <v/>
      </c>
      <c r="B242">
        <f t="shared" ca="1" si="7"/>
        <v>0</v>
      </c>
    </row>
    <row r="243" spans="1:2">
      <c r="A243" t="str">
        <f t="shared" ca="1" si="6"/>
        <v/>
      </c>
      <c r="B243">
        <f t="shared" ca="1" si="7"/>
        <v>0</v>
      </c>
    </row>
    <row r="244" spans="1:2">
      <c r="A244" t="str">
        <f t="shared" ca="1" si="6"/>
        <v/>
      </c>
      <c r="B244">
        <f t="shared" ca="1" si="7"/>
        <v>0</v>
      </c>
    </row>
    <row r="245" spans="1:2">
      <c r="A245" t="str">
        <f t="shared" ca="1" si="6"/>
        <v/>
      </c>
      <c r="B245">
        <f t="shared" ca="1" si="7"/>
        <v>0</v>
      </c>
    </row>
    <row r="246" spans="1:2">
      <c r="A246" t="str">
        <f t="shared" ca="1" si="6"/>
        <v/>
      </c>
      <c r="B246">
        <f t="shared" ca="1" si="7"/>
        <v>0</v>
      </c>
    </row>
    <row r="247" spans="1:2">
      <c r="A247" t="str">
        <f t="shared" ca="1" si="6"/>
        <v/>
      </c>
      <c r="B247">
        <f t="shared" ca="1" si="7"/>
        <v>0</v>
      </c>
    </row>
    <row r="248" spans="1:2">
      <c r="A248" t="str">
        <f t="shared" ca="1" si="6"/>
        <v/>
      </c>
      <c r="B248">
        <f t="shared" ca="1" si="7"/>
        <v>0</v>
      </c>
    </row>
    <row r="249" spans="1:2">
      <c r="A249" t="str">
        <f t="shared" ca="1" si="6"/>
        <v/>
      </c>
      <c r="B249">
        <f t="shared" ca="1" si="7"/>
        <v>0</v>
      </c>
    </row>
    <row r="250" spans="1:2">
      <c r="A250" t="str">
        <f t="shared" ca="1" si="6"/>
        <v/>
      </c>
      <c r="B250">
        <f t="shared" ca="1" si="7"/>
        <v>0</v>
      </c>
    </row>
    <row r="251" spans="1:2">
      <c r="A251" t="str">
        <f t="shared" ca="1" si="6"/>
        <v/>
      </c>
      <c r="B251">
        <f t="shared" ca="1" si="7"/>
        <v>0</v>
      </c>
    </row>
    <row r="252" spans="1:2">
      <c r="A252" t="str">
        <f t="shared" ca="1" si="6"/>
        <v/>
      </c>
      <c r="B252">
        <f t="shared" ca="1" si="7"/>
        <v>0</v>
      </c>
    </row>
    <row r="253" spans="1:2">
      <c r="A253" t="str">
        <f t="shared" ca="1" si="6"/>
        <v/>
      </c>
      <c r="B253">
        <f t="shared" ca="1" si="7"/>
        <v>0</v>
      </c>
    </row>
    <row r="254" spans="1:2">
      <c r="A254" t="str">
        <f t="shared" ca="1" si="6"/>
        <v/>
      </c>
      <c r="B254">
        <f t="shared" ca="1" si="7"/>
        <v>0</v>
      </c>
    </row>
    <row r="255" spans="1:2">
      <c r="A255" t="str">
        <f t="shared" ca="1" si="6"/>
        <v/>
      </c>
      <c r="B255">
        <f t="shared" ca="1" si="7"/>
        <v>0</v>
      </c>
    </row>
    <row r="256" spans="1:2">
      <c r="A256" t="str">
        <f t="shared" ca="1" si="6"/>
        <v/>
      </c>
      <c r="B256">
        <f t="shared" ca="1" si="7"/>
        <v>0</v>
      </c>
    </row>
    <row r="257" spans="1:2">
      <c r="A257" t="str">
        <f t="shared" ca="1" si="6"/>
        <v/>
      </c>
      <c r="B257">
        <f t="shared" ca="1" si="7"/>
        <v>0</v>
      </c>
    </row>
    <row r="258" spans="1:2">
      <c r="A258" t="str">
        <f t="shared" ref="A258:A321" ca="1" si="8">CONCATENATE(INDIRECT(ADDRESS(ROW(),3)))</f>
        <v/>
      </c>
      <c r="B258">
        <f t="shared" ref="B258:B321" ca="1" si="9">IF(IF(INDIRECT(ADDRESS(ROW(),1))&lt;&gt;"",IF(ISNA(MATCH(LEFT(INDIRECT(ADDRESS(ROW(),1)),2),PCNG_MN,0))=TRUE,1,0),0)+IF(INDIRECT(ADDRESS(ROW(),1))&lt;&gt;"",IF(ISNA(MATCH(LEFT(INDIRECT(ADDRESS(ROW(),1)),3),PCNG_MN,0))=TRUE,1,0),0)+IF(INDIRECT(ADDRESS(ROW(),1))&lt;&gt;"",IF(ISNA(MATCH(LEFT(INDIRECT(ADDRESS(ROW(),1)),4),PCNG_MN,0))=TRUE,1,0),0)&gt;=3,1,0)</f>
        <v>0</v>
      </c>
    </row>
    <row r="259" spans="1:2">
      <c r="A259" t="str">
        <f t="shared" ca="1" si="8"/>
        <v/>
      </c>
      <c r="B259">
        <f t="shared" ca="1" si="9"/>
        <v>0</v>
      </c>
    </row>
    <row r="260" spans="1:2">
      <c r="A260" t="str">
        <f t="shared" ca="1" si="8"/>
        <v/>
      </c>
      <c r="B260">
        <f t="shared" ca="1" si="9"/>
        <v>0</v>
      </c>
    </row>
    <row r="261" spans="1:2">
      <c r="A261" t="str">
        <f t="shared" ca="1" si="8"/>
        <v/>
      </c>
      <c r="B261">
        <f t="shared" ca="1" si="9"/>
        <v>0</v>
      </c>
    </row>
    <row r="262" spans="1:2">
      <c r="A262" t="str">
        <f t="shared" ca="1" si="8"/>
        <v/>
      </c>
      <c r="B262">
        <f t="shared" ca="1" si="9"/>
        <v>0</v>
      </c>
    </row>
    <row r="263" spans="1:2">
      <c r="A263" t="str">
        <f t="shared" ca="1" si="8"/>
        <v/>
      </c>
      <c r="B263">
        <f t="shared" ca="1" si="9"/>
        <v>0</v>
      </c>
    </row>
    <row r="264" spans="1:2">
      <c r="A264" t="str">
        <f t="shared" ca="1" si="8"/>
        <v/>
      </c>
      <c r="B264">
        <f t="shared" ca="1" si="9"/>
        <v>0</v>
      </c>
    </row>
    <row r="265" spans="1:2">
      <c r="A265" t="str">
        <f t="shared" ca="1" si="8"/>
        <v/>
      </c>
      <c r="B265">
        <f t="shared" ca="1" si="9"/>
        <v>0</v>
      </c>
    </row>
    <row r="266" spans="1:2">
      <c r="A266" t="str">
        <f t="shared" ca="1" si="8"/>
        <v/>
      </c>
      <c r="B266">
        <f t="shared" ca="1" si="9"/>
        <v>0</v>
      </c>
    </row>
    <row r="267" spans="1:2">
      <c r="A267" t="str">
        <f t="shared" ca="1" si="8"/>
        <v/>
      </c>
      <c r="B267">
        <f t="shared" ca="1" si="9"/>
        <v>0</v>
      </c>
    </row>
    <row r="268" spans="1:2">
      <c r="A268" t="str">
        <f t="shared" ca="1" si="8"/>
        <v/>
      </c>
      <c r="B268">
        <f t="shared" ca="1" si="9"/>
        <v>0</v>
      </c>
    </row>
    <row r="269" spans="1:2">
      <c r="A269" t="str">
        <f t="shared" ca="1" si="8"/>
        <v/>
      </c>
      <c r="B269">
        <f t="shared" ca="1" si="9"/>
        <v>0</v>
      </c>
    </row>
    <row r="270" spans="1:2">
      <c r="A270" t="str">
        <f t="shared" ca="1" si="8"/>
        <v/>
      </c>
      <c r="B270">
        <f t="shared" ca="1" si="9"/>
        <v>0</v>
      </c>
    </row>
    <row r="271" spans="1:2">
      <c r="A271" t="str">
        <f t="shared" ca="1" si="8"/>
        <v/>
      </c>
      <c r="B271">
        <f t="shared" ca="1" si="9"/>
        <v>0</v>
      </c>
    </row>
    <row r="272" spans="1:2">
      <c r="A272" t="str">
        <f t="shared" ca="1" si="8"/>
        <v/>
      </c>
      <c r="B272">
        <f t="shared" ca="1" si="9"/>
        <v>0</v>
      </c>
    </row>
    <row r="273" spans="1:2">
      <c r="A273" t="str">
        <f t="shared" ca="1" si="8"/>
        <v/>
      </c>
      <c r="B273">
        <f t="shared" ca="1" si="9"/>
        <v>0</v>
      </c>
    </row>
    <row r="274" spans="1:2">
      <c r="A274" t="str">
        <f t="shared" ca="1" si="8"/>
        <v/>
      </c>
      <c r="B274">
        <f t="shared" ca="1" si="9"/>
        <v>0</v>
      </c>
    </row>
    <row r="275" spans="1:2">
      <c r="A275" t="str">
        <f t="shared" ca="1" si="8"/>
        <v/>
      </c>
      <c r="B275">
        <f t="shared" ca="1" si="9"/>
        <v>0</v>
      </c>
    </row>
    <row r="276" spans="1:2">
      <c r="A276" t="str">
        <f t="shared" ca="1" si="8"/>
        <v/>
      </c>
      <c r="B276">
        <f t="shared" ca="1" si="9"/>
        <v>0</v>
      </c>
    </row>
    <row r="277" spans="1:2">
      <c r="A277" t="str">
        <f t="shared" ca="1" si="8"/>
        <v/>
      </c>
      <c r="B277">
        <f t="shared" ca="1" si="9"/>
        <v>0</v>
      </c>
    </row>
    <row r="278" spans="1:2">
      <c r="A278" t="str">
        <f t="shared" ca="1" si="8"/>
        <v/>
      </c>
      <c r="B278">
        <f t="shared" ca="1" si="9"/>
        <v>0</v>
      </c>
    </row>
    <row r="279" spans="1:2">
      <c r="A279" t="str">
        <f t="shared" ca="1" si="8"/>
        <v/>
      </c>
      <c r="B279">
        <f t="shared" ca="1" si="9"/>
        <v>0</v>
      </c>
    </row>
    <row r="280" spans="1:2">
      <c r="A280" t="str">
        <f t="shared" ca="1" si="8"/>
        <v/>
      </c>
      <c r="B280">
        <f t="shared" ca="1" si="9"/>
        <v>0</v>
      </c>
    </row>
    <row r="281" spans="1:2">
      <c r="A281" t="str">
        <f t="shared" ca="1" si="8"/>
        <v/>
      </c>
      <c r="B281">
        <f t="shared" ca="1" si="9"/>
        <v>0</v>
      </c>
    </row>
    <row r="282" spans="1:2">
      <c r="A282" t="str">
        <f t="shared" ca="1" si="8"/>
        <v/>
      </c>
      <c r="B282">
        <f t="shared" ca="1" si="9"/>
        <v>0</v>
      </c>
    </row>
    <row r="283" spans="1:2">
      <c r="A283" t="str">
        <f t="shared" ca="1" si="8"/>
        <v/>
      </c>
      <c r="B283">
        <f t="shared" ca="1" si="9"/>
        <v>0</v>
      </c>
    </row>
    <row r="284" spans="1:2">
      <c r="A284" t="str">
        <f t="shared" ca="1" si="8"/>
        <v/>
      </c>
      <c r="B284">
        <f t="shared" ca="1" si="9"/>
        <v>0</v>
      </c>
    </row>
    <row r="285" spans="1:2">
      <c r="A285" t="str">
        <f t="shared" ca="1" si="8"/>
        <v/>
      </c>
      <c r="B285">
        <f t="shared" ca="1" si="9"/>
        <v>0</v>
      </c>
    </row>
    <row r="286" spans="1:2">
      <c r="A286" t="str">
        <f t="shared" ca="1" si="8"/>
        <v/>
      </c>
      <c r="B286">
        <f t="shared" ca="1" si="9"/>
        <v>0</v>
      </c>
    </row>
    <row r="287" spans="1:2">
      <c r="A287" t="str">
        <f t="shared" ca="1" si="8"/>
        <v/>
      </c>
      <c r="B287">
        <f t="shared" ca="1" si="9"/>
        <v>0</v>
      </c>
    </row>
    <row r="288" spans="1:2">
      <c r="A288" t="str">
        <f t="shared" ca="1" si="8"/>
        <v/>
      </c>
      <c r="B288">
        <f t="shared" ca="1" si="9"/>
        <v>0</v>
      </c>
    </row>
    <row r="289" spans="1:2">
      <c r="A289" t="str">
        <f t="shared" ca="1" si="8"/>
        <v/>
      </c>
      <c r="B289">
        <f t="shared" ca="1" si="9"/>
        <v>0</v>
      </c>
    </row>
    <row r="290" spans="1:2">
      <c r="A290" t="str">
        <f t="shared" ca="1" si="8"/>
        <v/>
      </c>
      <c r="B290">
        <f t="shared" ca="1" si="9"/>
        <v>0</v>
      </c>
    </row>
    <row r="291" spans="1:2">
      <c r="A291" t="str">
        <f t="shared" ca="1" si="8"/>
        <v/>
      </c>
      <c r="B291">
        <f t="shared" ca="1" si="9"/>
        <v>0</v>
      </c>
    </row>
    <row r="292" spans="1:2">
      <c r="A292" t="str">
        <f t="shared" ca="1" si="8"/>
        <v/>
      </c>
      <c r="B292">
        <f t="shared" ca="1" si="9"/>
        <v>0</v>
      </c>
    </row>
    <row r="293" spans="1:2">
      <c r="A293" t="str">
        <f t="shared" ca="1" si="8"/>
        <v/>
      </c>
      <c r="B293">
        <f t="shared" ca="1" si="9"/>
        <v>0</v>
      </c>
    </row>
    <row r="294" spans="1:2">
      <c r="A294" t="str">
        <f t="shared" ca="1" si="8"/>
        <v/>
      </c>
      <c r="B294">
        <f t="shared" ca="1" si="9"/>
        <v>0</v>
      </c>
    </row>
    <row r="295" spans="1:2">
      <c r="A295" t="str">
        <f t="shared" ca="1" si="8"/>
        <v/>
      </c>
      <c r="B295">
        <f t="shared" ca="1" si="9"/>
        <v>0</v>
      </c>
    </row>
    <row r="296" spans="1:2">
      <c r="A296" t="str">
        <f t="shared" ca="1" si="8"/>
        <v/>
      </c>
      <c r="B296">
        <f t="shared" ca="1" si="9"/>
        <v>0</v>
      </c>
    </row>
    <row r="297" spans="1:2">
      <c r="A297" t="str">
        <f t="shared" ca="1" si="8"/>
        <v/>
      </c>
      <c r="B297">
        <f t="shared" ca="1" si="9"/>
        <v>0</v>
      </c>
    </row>
    <row r="298" spans="1:2">
      <c r="A298" t="str">
        <f t="shared" ca="1" si="8"/>
        <v/>
      </c>
      <c r="B298">
        <f t="shared" ca="1" si="9"/>
        <v>0</v>
      </c>
    </row>
    <row r="299" spans="1:2">
      <c r="A299" t="str">
        <f t="shared" ca="1" si="8"/>
        <v/>
      </c>
      <c r="B299">
        <f t="shared" ca="1" si="9"/>
        <v>0</v>
      </c>
    </row>
    <row r="300" spans="1:2">
      <c r="A300" t="str">
        <f t="shared" ca="1" si="8"/>
        <v/>
      </c>
      <c r="B300">
        <f t="shared" ca="1" si="9"/>
        <v>0</v>
      </c>
    </row>
    <row r="301" spans="1:2">
      <c r="A301" t="str">
        <f t="shared" ca="1" si="8"/>
        <v/>
      </c>
      <c r="B301">
        <f t="shared" ca="1" si="9"/>
        <v>0</v>
      </c>
    </row>
    <row r="302" spans="1:2">
      <c r="A302" t="str">
        <f t="shared" ca="1" si="8"/>
        <v/>
      </c>
      <c r="B302">
        <f t="shared" ca="1" si="9"/>
        <v>0</v>
      </c>
    </row>
    <row r="303" spans="1:2">
      <c r="A303" t="str">
        <f t="shared" ca="1" si="8"/>
        <v/>
      </c>
      <c r="B303">
        <f t="shared" ca="1" si="9"/>
        <v>0</v>
      </c>
    </row>
    <row r="304" spans="1:2">
      <c r="A304" t="str">
        <f t="shared" ca="1" si="8"/>
        <v/>
      </c>
      <c r="B304">
        <f t="shared" ca="1" si="9"/>
        <v>0</v>
      </c>
    </row>
    <row r="305" spans="1:2">
      <c r="A305" t="str">
        <f t="shared" ca="1" si="8"/>
        <v/>
      </c>
      <c r="B305">
        <f t="shared" ca="1" si="9"/>
        <v>0</v>
      </c>
    </row>
    <row r="306" spans="1:2">
      <c r="A306" t="str">
        <f t="shared" ca="1" si="8"/>
        <v/>
      </c>
      <c r="B306">
        <f t="shared" ca="1" si="9"/>
        <v>0</v>
      </c>
    </row>
    <row r="307" spans="1:2">
      <c r="A307" t="str">
        <f t="shared" ca="1" si="8"/>
        <v/>
      </c>
      <c r="B307">
        <f t="shared" ca="1" si="9"/>
        <v>0</v>
      </c>
    </row>
    <row r="308" spans="1:2">
      <c r="A308" t="str">
        <f t="shared" ca="1" si="8"/>
        <v/>
      </c>
      <c r="B308">
        <f t="shared" ca="1" si="9"/>
        <v>0</v>
      </c>
    </row>
    <row r="309" spans="1:2">
      <c r="A309" t="str">
        <f t="shared" ca="1" si="8"/>
        <v/>
      </c>
      <c r="B309">
        <f t="shared" ca="1" si="9"/>
        <v>0</v>
      </c>
    </row>
    <row r="310" spans="1:2">
      <c r="A310" t="str">
        <f t="shared" ca="1" si="8"/>
        <v/>
      </c>
      <c r="B310">
        <f t="shared" ca="1" si="9"/>
        <v>0</v>
      </c>
    </row>
    <row r="311" spans="1:2">
      <c r="A311" t="str">
        <f t="shared" ca="1" si="8"/>
        <v/>
      </c>
      <c r="B311">
        <f t="shared" ca="1" si="9"/>
        <v>0</v>
      </c>
    </row>
    <row r="312" spans="1:2">
      <c r="A312" t="str">
        <f t="shared" ca="1" si="8"/>
        <v/>
      </c>
      <c r="B312">
        <f t="shared" ca="1" si="9"/>
        <v>0</v>
      </c>
    </row>
    <row r="313" spans="1:2">
      <c r="A313" t="str">
        <f t="shared" ca="1" si="8"/>
        <v/>
      </c>
      <c r="B313">
        <f t="shared" ca="1" si="9"/>
        <v>0</v>
      </c>
    </row>
    <row r="314" spans="1:2">
      <c r="A314" t="str">
        <f t="shared" ca="1" si="8"/>
        <v/>
      </c>
      <c r="B314">
        <f t="shared" ca="1" si="9"/>
        <v>0</v>
      </c>
    </row>
    <row r="315" spans="1:2">
      <c r="A315" t="str">
        <f t="shared" ca="1" si="8"/>
        <v/>
      </c>
      <c r="B315">
        <f t="shared" ca="1" si="9"/>
        <v>0</v>
      </c>
    </row>
    <row r="316" spans="1:2">
      <c r="A316" t="str">
        <f t="shared" ca="1" si="8"/>
        <v/>
      </c>
      <c r="B316">
        <f t="shared" ca="1" si="9"/>
        <v>0</v>
      </c>
    </row>
    <row r="317" spans="1:2">
      <c r="A317" t="str">
        <f t="shared" ca="1" si="8"/>
        <v/>
      </c>
      <c r="B317">
        <f t="shared" ca="1" si="9"/>
        <v>0</v>
      </c>
    </row>
    <row r="318" spans="1:2">
      <c r="A318" t="str">
        <f t="shared" ca="1" si="8"/>
        <v/>
      </c>
      <c r="B318">
        <f t="shared" ca="1" si="9"/>
        <v>0</v>
      </c>
    </row>
    <row r="319" spans="1:2">
      <c r="A319" t="str">
        <f t="shared" ca="1" si="8"/>
        <v/>
      </c>
      <c r="B319">
        <f t="shared" ca="1" si="9"/>
        <v>0</v>
      </c>
    </row>
    <row r="320" spans="1:2">
      <c r="A320" t="str">
        <f t="shared" ca="1" si="8"/>
        <v/>
      </c>
      <c r="B320">
        <f t="shared" ca="1" si="9"/>
        <v>0</v>
      </c>
    </row>
    <row r="321" spans="1:2">
      <c r="A321" t="str">
        <f t="shared" ca="1" si="8"/>
        <v/>
      </c>
      <c r="B321">
        <f t="shared" ca="1" si="9"/>
        <v>0</v>
      </c>
    </row>
    <row r="322" spans="1:2">
      <c r="A322" t="str">
        <f t="shared" ref="A322:A385" ca="1" si="10">CONCATENATE(INDIRECT(ADDRESS(ROW(),3)))</f>
        <v/>
      </c>
      <c r="B322">
        <f t="shared" ref="B322:B385" ca="1" si="11">IF(IF(INDIRECT(ADDRESS(ROW(),1))&lt;&gt;"",IF(ISNA(MATCH(LEFT(INDIRECT(ADDRESS(ROW(),1)),2),PCNG_MN,0))=TRUE,1,0),0)+IF(INDIRECT(ADDRESS(ROW(),1))&lt;&gt;"",IF(ISNA(MATCH(LEFT(INDIRECT(ADDRESS(ROW(),1)),3),PCNG_MN,0))=TRUE,1,0),0)+IF(INDIRECT(ADDRESS(ROW(),1))&lt;&gt;"",IF(ISNA(MATCH(LEFT(INDIRECT(ADDRESS(ROW(),1)),4),PCNG_MN,0))=TRUE,1,0),0)&gt;=3,1,0)</f>
        <v>0</v>
      </c>
    </row>
    <row r="323" spans="1:2">
      <c r="A323" t="str">
        <f t="shared" ca="1" si="10"/>
        <v/>
      </c>
      <c r="B323">
        <f t="shared" ca="1" si="11"/>
        <v>0</v>
      </c>
    </row>
    <row r="324" spans="1:2">
      <c r="A324" t="str">
        <f t="shared" ca="1" si="10"/>
        <v/>
      </c>
      <c r="B324">
        <f t="shared" ca="1" si="11"/>
        <v>0</v>
      </c>
    </row>
    <row r="325" spans="1:2">
      <c r="A325" t="str">
        <f t="shared" ca="1" si="10"/>
        <v/>
      </c>
      <c r="B325">
        <f t="shared" ca="1" si="11"/>
        <v>0</v>
      </c>
    </row>
    <row r="326" spans="1:2">
      <c r="A326" t="str">
        <f t="shared" ca="1" si="10"/>
        <v/>
      </c>
      <c r="B326">
        <f t="shared" ca="1" si="11"/>
        <v>0</v>
      </c>
    </row>
    <row r="327" spans="1:2">
      <c r="A327" t="str">
        <f t="shared" ca="1" si="10"/>
        <v/>
      </c>
      <c r="B327">
        <f t="shared" ca="1" si="11"/>
        <v>0</v>
      </c>
    </row>
    <row r="328" spans="1:2">
      <c r="A328" t="str">
        <f t="shared" ca="1" si="10"/>
        <v/>
      </c>
      <c r="B328">
        <f t="shared" ca="1" si="11"/>
        <v>0</v>
      </c>
    </row>
    <row r="329" spans="1:2">
      <c r="A329" t="str">
        <f t="shared" ca="1" si="10"/>
        <v/>
      </c>
      <c r="B329">
        <f t="shared" ca="1" si="11"/>
        <v>0</v>
      </c>
    </row>
    <row r="330" spans="1:2">
      <c r="A330" t="str">
        <f t="shared" ca="1" si="10"/>
        <v/>
      </c>
      <c r="B330">
        <f t="shared" ca="1" si="11"/>
        <v>0</v>
      </c>
    </row>
    <row r="331" spans="1:2">
      <c r="A331" t="str">
        <f t="shared" ca="1" si="10"/>
        <v/>
      </c>
      <c r="B331">
        <f t="shared" ca="1" si="11"/>
        <v>0</v>
      </c>
    </row>
    <row r="332" spans="1:2">
      <c r="A332" t="str">
        <f t="shared" ca="1" si="10"/>
        <v/>
      </c>
      <c r="B332">
        <f t="shared" ca="1" si="11"/>
        <v>0</v>
      </c>
    </row>
    <row r="333" spans="1:2">
      <c r="A333" t="str">
        <f t="shared" ca="1" si="10"/>
        <v/>
      </c>
      <c r="B333">
        <f t="shared" ca="1" si="11"/>
        <v>0</v>
      </c>
    </row>
    <row r="334" spans="1:2">
      <c r="A334" t="str">
        <f t="shared" ca="1" si="10"/>
        <v/>
      </c>
      <c r="B334">
        <f t="shared" ca="1" si="11"/>
        <v>0</v>
      </c>
    </row>
    <row r="335" spans="1:2">
      <c r="A335" t="str">
        <f t="shared" ca="1" si="10"/>
        <v/>
      </c>
      <c r="B335">
        <f t="shared" ca="1" si="11"/>
        <v>0</v>
      </c>
    </row>
    <row r="336" spans="1:2">
      <c r="A336" t="str">
        <f t="shared" ca="1" si="10"/>
        <v/>
      </c>
      <c r="B336">
        <f t="shared" ca="1" si="11"/>
        <v>0</v>
      </c>
    </row>
    <row r="337" spans="1:2">
      <c r="A337" t="str">
        <f t="shared" ca="1" si="10"/>
        <v/>
      </c>
      <c r="B337">
        <f t="shared" ca="1" si="11"/>
        <v>0</v>
      </c>
    </row>
    <row r="338" spans="1:2">
      <c r="A338" t="str">
        <f t="shared" ca="1" si="10"/>
        <v/>
      </c>
      <c r="B338">
        <f t="shared" ca="1" si="11"/>
        <v>0</v>
      </c>
    </row>
    <row r="339" spans="1:2">
      <c r="A339" t="str">
        <f t="shared" ca="1" si="10"/>
        <v/>
      </c>
      <c r="B339">
        <f t="shared" ca="1" si="11"/>
        <v>0</v>
      </c>
    </row>
    <row r="340" spans="1:2">
      <c r="A340" t="str">
        <f t="shared" ca="1" si="10"/>
        <v/>
      </c>
      <c r="B340">
        <f t="shared" ca="1" si="11"/>
        <v>0</v>
      </c>
    </row>
    <row r="341" spans="1:2">
      <c r="A341" t="str">
        <f t="shared" ca="1" si="10"/>
        <v/>
      </c>
      <c r="B341">
        <f t="shared" ca="1" si="11"/>
        <v>0</v>
      </c>
    </row>
    <row r="342" spans="1:2">
      <c r="A342" t="str">
        <f t="shared" ca="1" si="10"/>
        <v/>
      </c>
      <c r="B342">
        <f t="shared" ca="1" si="11"/>
        <v>0</v>
      </c>
    </row>
    <row r="343" spans="1:2">
      <c r="A343" t="str">
        <f t="shared" ca="1" si="10"/>
        <v/>
      </c>
      <c r="B343">
        <f t="shared" ca="1" si="11"/>
        <v>0</v>
      </c>
    </row>
    <row r="344" spans="1:2">
      <c r="A344" t="str">
        <f t="shared" ca="1" si="10"/>
        <v/>
      </c>
      <c r="B344">
        <f t="shared" ca="1" si="11"/>
        <v>0</v>
      </c>
    </row>
    <row r="345" spans="1:2">
      <c r="A345" t="str">
        <f t="shared" ca="1" si="10"/>
        <v/>
      </c>
      <c r="B345">
        <f t="shared" ca="1" si="11"/>
        <v>0</v>
      </c>
    </row>
    <row r="346" spans="1:2">
      <c r="A346" t="str">
        <f t="shared" ca="1" si="10"/>
        <v/>
      </c>
      <c r="B346">
        <f t="shared" ca="1" si="11"/>
        <v>0</v>
      </c>
    </row>
    <row r="347" spans="1:2">
      <c r="A347" t="str">
        <f t="shared" ca="1" si="10"/>
        <v/>
      </c>
      <c r="B347">
        <f t="shared" ca="1" si="11"/>
        <v>0</v>
      </c>
    </row>
    <row r="348" spans="1:2">
      <c r="A348" t="str">
        <f t="shared" ca="1" si="10"/>
        <v/>
      </c>
      <c r="B348">
        <f t="shared" ca="1" si="11"/>
        <v>0</v>
      </c>
    </row>
    <row r="349" spans="1:2">
      <c r="A349" t="str">
        <f t="shared" ca="1" si="10"/>
        <v/>
      </c>
      <c r="B349">
        <f t="shared" ca="1" si="11"/>
        <v>0</v>
      </c>
    </row>
    <row r="350" spans="1:2">
      <c r="A350" t="str">
        <f t="shared" ca="1" si="10"/>
        <v/>
      </c>
      <c r="B350">
        <f t="shared" ca="1" si="11"/>
        <v>0</v>
      </c>
    </row>
    <row r="351" spans="1:2">
      <c r="A351" t="str">
        <f t="shared" ca="1" si="10"/>
        <v/>
      </c>
      <c r="B351">
        <f t="shared" ca="1" si="11"/>
        <v>0</v>
      </c>
    </row>
    <row r="352" spans="1:2">
      <c r="A352" t="str">
        <f t="shared" ca="1" si="10"/>
        <v/>
      </c>
      <c r="B352">
        <f t="shared" ca="1" si="11"/>
        <v>0</v>
      </c>
    </row>
    <row r="353" spans="1:2">
      <c r="A353" t="str">
        <f t="shared" ca="1" si="10"/>
        <v/>
      </c>
      <c r="B353">
        <f t="shared" ca="1" si="11"/>
        <v>0</v>
      </c>
    </row>
    <row r="354" spans="1:2">
      <c r="A354" t="str">
        <f t="shared" ca="1" si="10"/>
        <v/>
      </c>
      <c r="B354">
        <f t="shared" ca="1" si="11"/>
        <v>0</v>
      </c>
    </row>
    <row r="355" spans="1:2">
      <c r="A355" t="str">
        <f t="shared" ca="1" si="10"/>
        <v/>
      </c>
      <c r="B355">
        <f t="shared" ca="1" si="11"/>
        <v>0</v>
      </c>
    </row>
    <row r="356" spans="1:2">
      <c r="A356" t="str">
        <f t="shared" ca="1" si="10"/>
        <v/>
      </c>
      <c r="B356">
        <f t="shared" ca="1" si="11"/>
        <v>0</v>
      </c>
    </row>
    <row r="357" spans="1:2">
      <c r="A357" t="str">
        <f t="shared" ca="1" si="10"/>
        <v/>
      </c>
      <c r="B357">
        <f t="shared" ca="1" si="11"/>
        <v>0</v>
      </c>
    </row>
    <row r="358" spans="1:2">
      <c r="A358" t="str">
        <f t="shared" ca="1" si="10"/>
        <v/>
      </c>
      <c r="B358">
        <f t="shared" ca="1" si="11"/>
        <v>0</v>
      </c>
    </row>
    <row r="359" spans="1:2">
      <c r="A359" t="str">
        <f t="shared" ca="1" si="10"/>
        <v/>
      </c>
      <c r="B359">
        <f t="shared" ca="1" si="11"/>
        <v>0</v>
      </c>
    </row>
    <row r="360" spans="1:2">
      <c r="A360" t="str">
        <f t="shared" ca="1" si="10"/>
        <v/>
      </c>
      <c r="B360">
        <f t="shared" ca="1" si="11"/>
        <v>0</v>
      </c>
    </row>
    <row r="361" spans="1:2">
      <c r="A361" t="str">
        <f t="shared" ca="1" si="10"/>
        <v/>
      </c>
      <c r="B361">
        <f t="shared" ca="1" si="11"/>
        <v>0</v>
      </c>
    </row>
    <row r="362" spans="1:2">
      <c r="A362" t="str">
        <f t="shared" ca="1" si="10"/>
        <v/>
      </c>
      <c r="B362">
        <f t="shared" ca="1" si="11"/>
        <v>0</v>
      </c>
    </row>
    <row r="363" spans="1:2">
      <c r="A363" t="str">
        <f t="shared" ca="1" si="10"/>
        <v/>
      </c>
      <c r="B363">
        <f t="shared" ca="1" si="11"/>
        <v>0</v>
      </c>
    </row>
    <row r="364" spans="1:2">
      <c r="A364" t="str">
        <f t="shared" ca="1" si="10"/>
        <v/>
      </c>
      <c r="B364">
        <f t="shared" ca="1" si="11"/>
        <v>0</v>
      </c>
    </row>
    <row r="365" spans="1:2">
      <c r="A365" t="str">
        <f t="shared" ca="1" si="10"/>
        <v/>
      </c>
      <c r="B365">
        <f t="shared" ca="1" si="11"/>
        <v>0</v>
      </c>
    </row>
    <row r="366" spans="1:2">
      <c r="A366" t="str">
        <f t="shared" ca="1" si="10"/>
        <v/>
      </c>
      <c r="B366">
        <f t="shared" ca="1" si="11"/>
        <v>0</v>
      </c>
    </row>
    <row r="367" spans="1:2">
      <c r="A367" t="str">
        <f t="shared" ca="1" si="10"/>
        <v/>
      </c>
      <c r="B367">
        <f t="shared" ca="1" si="11"/>
        <v>0</v>
      </c>
    </row>
    <row r="368" spans="1:2">
      <c r="A368" t="str">
        <f t="shared" ca="1" si="10"/>
        <v/>
      </c>
      <c r="B368">
        <f t="shared" ca="1" si="11"/>
        <v>0</v>
      </c>
    </row>
    <row r="369" spans="1:2">
      <c r="A369" t="str">
        <f t="shared" ca="1" si="10"/>
        <v/>
      </c>
      <c r="B369">
        <f t="shared" ca="1" si="11"/>
        <v>0</v>
      </c>
    </row>
    <row r="370" spans="1:2">
      <c r="A370" t="str">
        <f t="shared" ca="1" si="10"/>
        <v/>
      </c>
      <c r="B370">
        <f t="shared" ca="1" si="11"/>
        <v>0</v>
      </c>
    </row>
    <row r="371" spans="1:2">
      <c r="A371" t="str">
        <f t="shared" ca="1" si="10"/>
        <v/>
      </c>
      <c r="B371">
        <f t="shared" ca="1" si="11"/>
        <v>0</v>
      </c>
    </row>
    <row r="372" spans="1:2">
      <c r="A372" t="str">
        <f t="shared" ca="1" si="10"/>
        <v/>
      </c>
      <c r="B372">
        <f t="shared" ca="1" si="11"/>
        <v>0</v>
      </c>
    </row>
    <row r="373" spans="1:2">
      <c r="A373" t="str">
        <f t="shared" ca="1" si="10"/>
        <v/>
      </c>
      <c r="B373">
        <f t="shared" ca="1" si="11"/>
        <v>0</v>
      </c>
    </row>
    <row r="374" spans="1:2">
      <c r="A374" t="str">
        <f t="shared" ca="1" si="10"/>
        <v/>
      </c>
      <c r="B374">
        <f t="shared" ca="1" si="11"/>
        <v>0</v>
      </c>
    </row>
    <row r="375" spans="1:2">
      <c r="A375" t="str">
        <f t="shared" ca="1" si="10"/>
        <v/>
      </c>
      <c r="B375">
        <f t="shared" ca="1" si="11"/>
        <v>0</v>
      </c>
    </row>
    <row r="376" spans="1:2">
      <c r="A376" t="str">
        <f t="shared" ca="1" si="10"/>
        <v/>
      </c>
      <c r="B376">
        <f t="shared" ca="1" si="11"/>
        <v>0</v>
      </c>
    </row>
    <row r="377" spans="1:2">
      <c r="A377" t="str">
        <f t="shared" ca="1" si="10"/>
        <v/>
      </c>
      <c r="B377">
        <f t="shared" ca="1" si="11"/>
        <v>0</v>
      </c>
    </row>
    <row r="378" spans="1:2">
      <c r="A378" t="str">
        <f t="shared" ca="1" si="10"/>
        <v/>
      </c>
      <c r="B378">
        <f t="shared" ca="1" si="11"/>
        <v>0</v>
      </c>
    </row>
    <row r="379" spans="1:2">
      <c r="A379" t="str">
        <f t="shared" ca="1" si="10"/>
        <v/>
      </c>
      <c r="B379">
        <f t="shared" ca="1" si="11"/>
        <v>0</v>
      </c>
    </row>
    <row r="380" spans="1:2">
      <c r="A380" t="str">
        <f t="shared" ca="1" si="10"/>
        <v/>
      </c>
      <c r="B380">
        <f t="shared" ca="1" si="11"/>
        <v>0</v>
      </c>
    </row>
    <row r="381" spans="1:2">
      <c r="A381" t="str">
        <f t="shared" ca="1" si="10"/>
        <v/>
      </c>
      <c r="B381">
        <f t="shared" ca="1" si="11"/>
        <v>0</v>
      </c>
    </row>
    <row r="382" spans="1:2">
      <c r="A382" t="str">
        <f t="shared" ca="1" si="10"/>
        <v/>
      </c>
      <c r="B382">
        <f t="shared" ca="1" si="11"/>
        <v>0</v>
      </c>
    </row>
    <row r="383" spans="1:2">
      <c r="A383" t="str">
        <f t="shared" ca="1" si="10"/>
        <v/>
      </c>
      <c r="B383">
        <f t="shared" ca="1" si="11"/>
        <v>0</v>
      </c>
    </row>
    <row r="384" spans="1:2">
      <c r="A384" t="str">
        <f t="shared" ca="1" si="10"/>
        <v/>
      </c>
      <c r="B384">
        <f t="shared" ca="1" si="11"/>
        <v>0</v>
      </c>
    </row>
    <row r="385" spans="1:2">
      <c r="A385" t="str">
        <f t="shared" ca="1" si="10"/>
        <v/>
      </c>
      <c r="B385">
        <f t="shared" ca="1" si="11"/>
        <v>0</v>
      </c>
    </row>
    <row r="386" spans="1:2">
      <c r="A386" t="str">
        <f t="shared" ref="A386:A449" ca="1" si="12">CONCATENATE(INDIRECT(ADDRESS(ROW(),3)))</f>
        <v/>
      </c>
      <c r="B386">
        <f t="shared" ref="B386:B449" ca="1" si="13">IF(IF(INDIRECT(ADDRESS(ROW(),1))&lt;&gt;"",IF(ISNA(MATCH(LEFT(INDIRECT(ADDRESS(ROW(),1)),2),PCNG_MN,0))=TRUE,1,0),0)+IF(INDIRECT(ADDRESS(ROW(),1))&lt;&gt;"",IF(ISNA(MATCH(LEFT(INDIRECT(ADDRESS(ROW(),1)),3),PCNG_MN,0))=TRUE,1,0),0)+IF(INDIRECT(ADDRESS(ROW(),1))&lt;&gt;"",IF(ISNA(MATCH(LEFT(INDIRECT(ADDRESS(ROW(),1)),4),PCNG_MN,0))=TRUE,1,0),0)&gt;=3,1,0)</f>
        <v>0</v>
      </c>
    </row>
    <row r="387" spans="1:2">
      <c r="A387" t="str">
        <f t="shared" ca="1" si="12"/>
        <v/>
      </c>
      <c r="B387">
        <f t="shared" ca="1" si="13"/>
        <v>0</v>
      </c>
    </row>
    <row r="388" spans="1:2">
      <c r="A388" t="str">
        <f t="shared" ca="1" si="12"/>
        <v/>
      </c>
      <c r="B388">
        <f t="shared" ca="1" si="13"/>
        <v>0</v>
      </c>
    </row>
    <row r="389" spans="1:2">
      <c r="A389" t="str">
        <f t="shared" ca="1" si="12"/>
        <v/>
      </c>
      <c r="B389">
        <f t="shared" ca="1" si="13"/>
        <v>0</v>
      </c>
    </row>
    <row r="390" spans="1:2">
      <c r="A390" t="str">
        <f t="shared" ca="1" si="12"/>
        <v/>
      </c>
      <c r="B390">
        <f t="shared" ca="1" si="13"/>
        <v>0</v>
      </c>
    </row>
    <row r="391" spans="1:2">
      <c r="A391" t="str">
        <f t="shared" ca="1" si="12"/>
        <v/>
      </c>
      <c r="B391">
        <f t="shared" ca="1" si="13"/>
        <v>0</v>
      </c>
    </row>
    <row r="392" spans="1:2">
      <c r="A392" t="str">
        <f t="shared" ca="1" si="12"/>
        <v/>
      </c>
      <c r="B392">
        <f t="shared" ca="1" si="13"/>
        <v>0</v>
      </c>
    </row>
    <row r="393" spans="1:2">
      <c r="A393" t="str">
        <f t="shared" ca="1" si="12"/>
        <v/>
      </c>
      <c r="B393">
        <f t="shared" ca="1" si="13"/>
        <v>0</v>
      </c>
    </row>
    <row r="394" spans="1:2">
      <c r="A394" t="str">
        <f t="shared" ca="1" si="12"/>
        <v/>
      </c>
      <c r="B394">
        <f t="shared" ca="1" si="13"/>
        <v>0</v>
      </c>
    </row>
    <row r="395" spans="1:2">
      <c r="A395" t="str">
        <f t="shared" ca="1" si="12"/>
        <v/>
      </c>
      <c r="B395">
        <f t="shared" ca="1" si="13"/>
        <v>0</v>
      </c>
    </row>
    <row r="396" spans="1:2">
      <c r="A396" t="str">
        <f t="shared" ca="1" si="12"/>
        <v/>
      </c>
      <c r="B396">
        <f t="shared" ca="1" si="13"/>
        <v>0</v>
      </c>
    </row>
    <row r="397" spans="1:2">
      <c r="A397" t="str">
        <f t="shared" ca="1" si="12"/>
        <v/>
      </c>
      <c r="B397">
        <f t="shared" ca="1" si="13"/>
        <v>0</v>
      </c>
    </row>
    <row r="398" spans="1:2">
      <c r="A398" t="str">
        <f t="shared" ca="1" si="12"/>
        <v/>
      </c>
      <c r="B398">
        <f t="shared" ca="1" si="13"/>
        <v>0</v>
      </c>
    </row>
    <row r="399" spans="1:2">
      <c r="A399" t="str">
        <f t="shared" ca="1" si="12"/>
        <v/>
      </c>
      <c r="B399">
        <f t="shared" ca="1" si="13"/>
        <v>0</v>
      </c>
    </row>
    <row r="400" spans="1:2">
      <c r="A400" t="str">
        <f t="shared" ca="1" si="12"/>
        <v/>
      </c>
      <c r="B400">
        <f t="shared" ca="1" si="13"/>
        <v>0</v>
      </c>
    </row>
    <row r="401" spans="1:2">
      <c r="A401" t="str">
        <f t="shared" ca="1" si="12"/>
        <v/>
      </c>
      <c r="B401">
        <f t="shared" ca="1" si="13"/>
        <v>0</v>
      </c>
    </row>
    <row r="402" spans="1:2">
      <c r="A402" t="str">
        <f t="shared" ca="1" si="12"/>
        <v/>
      </c>
      <c r="B402">
        <f t="shared" ca="1" si="13"/>
        <v>0</v>
      </c>
    </row>
    <row r="403" spans="1:2">
      <c r="A403" t="str">
        <f t="shared" ca="1" si="12"/>
        <v/>
      </c>
      <c r="B403">
        <f t="shared" ca="1" si="13"/>
        <v>0</v>
      </c>
    </row>
    <row r="404" spans="1:2">
      <c r="A404" t="str">
        <f t="shared" ca="1" si="12"/>
        <v/>
      </c>
      <c r="B404">
        <f t="shared" ca="1" si="13"/>
        <v>0</v>
      </c>
    </row>
    <row r="405" spans="1:2">
      <c r="A405" t="str">
        <f t="shared" ca="1" si="12"/>
        <v/>
      </c>
      <c r="B405">
        <f t="shared" ca="1" si="13"/>
        <v>0</v>
      </c>
    </row>
    <row r="406" spans="1:2">
      <c r="A406" t="str">
        <f t="shared" ca="1" si="12"/>
        <v/>
      </c>
      <c r="B406">
        <f t="shared" ca="1" si="13"/>
        <v>0</v>
      </c>
    </row>
    <row r="407" spans="1:2">
      <c r="A407" t="str">
        <f t="shared" ca="1" si="12"/>
        <v/>
      </c>
      <c r="B407">
        <f t="shared" ca="1" si="13"/>
        <v>0</v>
      </c>
    </row>
    <row r="408" spans="1:2">
      <c r="A408" t="str">
        <f t="shared" ca="1" si="12"/>
        <v/>
      </c>
      <c r="B408">
        <f t="shared" ca="1" si="13"/>
        <v>0</v>
      </c>
    </row>
    <row r="409" spans="1:2">
      <c r="A409" t="str">
        <f t="shared" ca="1" si="12"/>
        <v/>
      </c>
      <c r="B409">
        <f t="shared" ca="1" si="13"/>
        <v>0</v>
      </c>
    </row>
    <row r="410" spans="1:2">
      <c r="A410" t="str">
        <f t="shared" ca="1" si="12"/>
        <v/>
      </c>
      <c r="B410">
        <f t="shared" ca="1" si="13"/>
        <v>0</v>
      </c>
    </row>
    <row r="411" spans="1:2">
      <c r="A411" t="str">
        <f t="shared" ca="1" si="12"/>
        <v/>
      </c>
      <c r="B411">
        <f t="shared" ca="1" si="13"/>
        <v>0</v>
      </c>
    </row>
    <row r="412" spans="1:2">
      <c r="A412" t="str">
        <f t="shared" ca="1" si="12"/>
        <v/>
      </c>
      <c r="B412">
        <f t="shared" ca="1" si="13"/>
        <v>0</v>
      </c>
    </row>
    <row r="413" spans="1:2">
      <c r="A413" t="str">
        <f t="shared" ca="1" si="12"/>
        <v/>
      </c>
      <c r="B413">
        <f t="shared" ca="1" si="13"/>
        <v>0</v>
      </c>
    </row>
    <row r="414" spans="1:2">
      <c r="A414" t="str">
        <f t="shared" ca="1" si="12"/>
        <v/>
      </c>
      <c r="B414">
        <f t="shared" ca="1" si="13"/>
        <v>0</v>
      </c>
    </row>
    <row r="415" spans="1:2">
      <c r="A415" t="str">
        <f t="shared" ca="1" si="12"/>
        <v/>
      </c>
      <c r="B415">
        <f t="shared" ca="1" si="13"/>
        <v>0</v>
      </c>
    </row>
    <row r="416" spans="1:2">
      <c r="A416" t="str">
        <f t="shared" ca="1" si="12"/>
        <v/>
      </c>
      <c r="B416">
        <f t="shared" ca="1" si="13"/>
        <v>0</v>
      </c>
    </row>
    <row r="417" spans="1:2">
      <c r="A417" t="str">
        <f t="shared" ca="1" si="12"/>
        <v/>
      </c>
      <c r="B417">
        <f t="shared" ca="1" si="13"/>
        <v>0</v>
      </c>
    </row>
    <row r="418" spans="1:2">
      <c r="A418" t="str">
        <f t="shared" ca="1" si="12"/>
        <v/>
      </c>
      <c r="B418">
        <f t="shared" ca="1" si="13"/>
        <v>0</v>
      </c>
    </row>
    <row r="419" spans="1:2">
      <c r="A419" t="str">
        <f t="shared" ca="1" si="12"/>
        <v/>
      </c>
      <c r="B419">
        <f t="shared" ca="1" si="13"/>
        <v>0</v>
      </c>
    </row>
    <row r="420" spans="1:2">
      <c r="A420" t="str">
        <f t="shared" ca="1" si="12"/>
        <v/>
      </c>
      <c r="B420">
        <f t="shared" ca="1" si="13"/>
        <v>0</v>
      </c>
    </row>
    <row r="421" spans="1:2">
      <c r="A421" t="str">
        <f t="shared" ca="1" si="12"/>
        <v/>
      </c>
      <c r="B421">
        <f t="shared" ca="1" si="13"/>
        <v>0</v>
      </c>
    </row>
    <row r="422" spans="1:2">
      <c r="A422" t="str">
        <f t="shared" ca="1" si="12"/>
        <v/>
      </c>
      <c r="B422">
        <f t="shared" ca="1" si="13"/>
        <v>0</v>
      </c>
    </row>
    <row r="423" spans="1:2">
      <c r="A423" t="str">
        <f t="shared" ca="1" si="12"/>
        <v/>
      </c>
      <c r="B423">
        <f t="shared" ca="1" si="13"/>
        <v>0</v>
      </c>
    </row>
    <row r="424" spans="1:2">
      <c r="A424" t="str">
        <f t="shared" ca="1" si="12"/>
        <v/>
      </c>
      <c r="B424">
        <f t="shared" ca="1" si="13"/>
        <v>0</v>
      </c>
    </row>
    <row r="425" spans="1:2">
      <c r="A425" t="str">
        <f t="shared" ca="1" si="12"/>
        <v/>
      </c>
      <c r="B425">
        <f t="shared" ca="1" si="13"/>
        <v>0</v>
      </c>
    </row>
    <row r="426" spans="1:2">
      <c r="A426" t="str">
        <f t="shared" ca="1" si="12"/>
        <v/>
      </c>
      <c r="B426">
        <f t="shared" ca="1" si="13"/>
        <v>0</v>
      </c>
    </row>
    <row r="427" spans="1:2">
      <c r="A427" t="str">
        <f t="shared" ca="1" si="12"/>
        <v/>
      </c>
      <c r="B427">
        <f t="shared" ca="1" si="13"/>
        <v>0</v>
      </c>
    </row>
    <row r="428" spans="1:2">
      <c r="A428" t="str">
        <f t="shared" ca="1" si="12"/>
        <v/>
      </c>
      <c r="B428">
        <f t="shared" ca="1" si="13"/>
        <v>0</v>
      </c>
    </row>
    <row r="429" spans="1:2">
      <c r="A429" t="str">
        <f t="shared" ca="1" si="12"/>
        <v/>
      </c>
      <c r="B429">
        <f t="shared" ca="1" si="13"/>
        <v>0</v>
      </c>
    </row>
    <row r="430" spans="1:2">
      <c r="A430" t="str">
        <f t="shared" ca="1" si="12"/>
        <v/>
      </c>
      <c r="B430">
        <f t="shared" ca="1" si="13"/>
        <v>0</v>
      </c>
    </row>
    <row r="431" spans="1:2">
      <c r="A431" t="str">
        <f t="shared" ca="1" si="12"/>
        <v/>
      </c>
      <c r="B431">
        <f t="shared" ca="1" si="13"/>
        <v>0</v>
      </c>
    </row>
    <row r="432" spans="1:2">
      <c r="A432" t="str">
        <f t="shared" ca="1" si="12"/>
        <v/>
      </c>
      <c r="B432">
        <f t="shared" ca="1" si="13"/>
        <v>0</v>
      </c>
    </row>
    <row r="433" spans="1:2">
      <c r="A433" t="str">
        <f t="shared" ca="1" si="12"/>
        <v/>
      </c>
      <c r="B433">
        <f t="shared" ca="1" si="13"/>
        <v>0</v>
      </c>
    </row>
    <row r="434" spans="1:2">
      <c r="A434" t="str">
        <f t="shared" ca="1" si="12"/>
        <v/>
      </c>
      <c r="B434">
        <f t="shared" ca="1" si="13"/>
        <v>0</v>
      </c>
    </row>
    <row r="435" spans="1:2">
      <c r="A435" t="str">
        <f t="shared" ca="1" si="12"/>
        <v/>
      </c>
      <c r="B435">
        <f t="shared" ca="1" si="13"/>
        <v>0</v>
      </c>
    </row>
    <row r="436" spans="1:2">
      <c r="A436" t="str">
        <f t="shared" ca="1" si="12"/>
        <v/>
      </c>
      <c r="B436">
        <f t="shared" ca="1" si="13"/>
        <v>0</v>
      </c>
    </row>
    <row r="437" spans="1:2">
      <c r="A437" t="str">
        <f t="shared" ca="1" si="12"/>
        <v/>
      </c>
      <c r="B437">
        <f t="shared" ca="1" si="13"/>
        <v>0</v>
      </c>
    </row>
    <row r="438" spans="1:2">
      <c r="A438" t="str">
        <f t="shared" ca="1" si="12"/>
        <v/>
      </c>
      <c r="B438">
        <f t="shared" ca="1" si="13"/>
        <v>0</v>
      </c>
    </row>
    <row r="439" spans="1:2">
      <c r="A439" t="str">
        <f t="shared" ca="1" si="12"/>
        <v/>
      </c>
      <c r="B439">
        <f t="shared" ca="1" si="13"/>
        <v>0</v>
      </c>
    </row>
    <row r="440" spans="1:2">
      <c r="A440" t="str">
        <f t="shared" ca="1" si="12"/>
        <v/>
      </c>
      <c r="B440">
        <f t="shared" ca="1" si="13"/>
        <v>0</v>
      </c>
    </row>
    <row r="441" spans="1:2">
      <c r="A441" t="str">
        <f t="shared" ca="1" si="12"/>
        <v/>
      </c>
      <c r="B441">
        <f t="shared" ca="1" si="13"/>
        <v>0</v>
      </c>
    </row>
    <row r="442" spans="1:2">
      <c r="A442" t="str">
        <f t="shared" ca="1" si="12"/>
        <v/>
      </c>
      <c r="B442">
        <f t="shared" ca="1" si="13"/>
        <v>0</v>
      </c>
    </row>
    <row r="443" spans="1:2">
      <c r="A443" t="str">
        <f t="shared" ca="1" si="12"/>
        <v/>
      </c>
      <c r="B443">
        <f t="shared" ca="1" si="13"/>
        <v>0</v>
      </c>
    </row>
    <row r="444" spans="1:2">
      <c r="A444" t="str">
        <f t="shared" ca="1" si="12"/>
        <v/>
      </c>
      <c r="B444">
        <f t="shared" ca="1" si="13"/>
        <v>0</v>
      </c>
    </row>
    <row r="445" spans="1:2">
      <c r="A445" t="str">
        <f t="shared" ca="1" si="12"/>
        <v/>
      </c>
      <c r="B445">
        <f t="shared" ca="1" si="13"/>
        <v>0</v>
      </c>
    </row>
    <row r="446" spans="1:2">
      <c r="A446" t="str">
        <f t="shared" ca="1" si="12"/>
        <v/>
      </c>
      <c r="B446">
        <f t="shared" ca="1" si="13"/>
        <v>0</v>
      </c>
    </row>
    <row r="447" spans="1:2">
      <c r="A447" t="str">
        <f t="shared" ca="1" si="12"/>
        <v/>
      </c>
      <c r="B447">
        <f t="shared" ca="1" si="13"/>
        <v>0</v>
      </c>
    </row>
    <row r="448" spans="1:2">
      <c r="A448" t="str">
        <f t="shared" ca="1" si="12"/>
        <v/>
      </c>
      <c r="B448">
        <f t="shared" ca="1" si="13"/>
        <v>0</v>
      </c>
    </row>
    <row r="449" spans="1:2">
      <c r="A449" t="str">
        <f t="shared" ca="1" si="12"/>
        <v/>
      </c>
      <c r="B449">
        <f t="shared" ca="1" si="13"/>
        <v>0</v>
      </c>
    </row>
    <row r="450" spans="1:2">
      <c r="A450" t="str">
        <f t="shared" ref="A450:A513" ca="1" si="14">CONCATENATE(INDIRECT(ADDRESS(ROW(),3)))</f>
        <v/>
      </c>
      <c r="B450">
        <f t="shared" ref="B450:B513" ca="1" si="15">IF(IF(INDIRECT(ADDRESS(ROW(),1))&lt;&gt;"",IF(ISNA(MATCH(LEFT(INDIRECT(ADDRESS(ROW(),1)),2),PCNG_MN,0))=TRUE,1,0),0)+IF(INDIRECT(ADDRESS(ROW(),1))&lt;&gt;"",IF(ISNA(MATCH(LEFT(INDIRECT(ADDRESS(ROW(),1)),3),PCNG_MN,0))=TRUE,1,0),0)+IF(INDIRECT(ADDRESS(ROW(),1))&lt;&gt;"",IF(ISNA(MATCH(LEFT(INDIRECT(ADDRESS(ROW(),1)),4),PCNG_MN,0))=TRUE,1,0),0)&gt;=3,1,0)</f>
        <v>0</v>
      </c>
    </row>
    <row r="451" spans="1:2">
      <c r="A451" t="str">
        <f t="shared" ca="1" si="14"/>
        <v/>
      </c>
      <c r="B451">
        <f t="shared" ca="1" si="15"/>
        <v>0</v>
      </c>
    </row>
    <row r="452" spans="1:2">
      <c r="A452" t="str">
        <f t="shared" ca="1" si="14"/>
        <v/>
      </c>
      <c r="B452">
        <f t="shared" ca="1" si="15"/>
        <v>0</v>
      </c>
    </row>
    <row r="453" spans="1:2">
      <c r="A453" t="str">
        <f t="shared" ca="1" si="14"/>
        <v/>
      </c>
      <c r="B453">
        <f t="shared" ca="1" si="15"/>
        <v>0</v>
      </c>
    </row>
    <row r="454" spans="1:2">
      <c r="A454" t="str">
        <f t="shared" ca="1" si="14"/>
        <v/>
      </c>
      <c r="B454">
        <f t="shared" ca="1" si="15"/>
        <v>0</v>
      </c>
    </row>
    <row r="455" spans="1:2">
      <c r="A455" t="str">
        <f t="shared" ca="1" si="14"/>
        <v/>
      </c>
      <c r="B455">
        <f t="shared" ca="1" si="15"/>
        <v>0</v>
      </c>
    </row>
    <row r="456" spans="1:2">
      <c r="A456" t="str">
        <f t="shared" ca="1" si="14"/>
        <v/>
      </c>
      <c r="B456">
        <f t="shared" ca="1" si="15"/>
        <v>0</v>
      </c>
    </row>
    <row r="457" spans="1:2">
      <c r="A457" t="str">
        <f t="shared" ca="1" si="14"/>
        <v/>
      </c>
      <c r="B457">
        <f t="shared" ca="1" si="15"/>
        <v>0</v>
      </c>
    </row>
    <row r="458" spans="1:2">
      <c r="A458" t="str">
        <f t="shared" ca="1" si="14"/>
        <v/>
      </c>
      <c r="B458">
        <f t="shared" ca="1" si="15"/>
        <v>0</v>
      </c>
    </row>
    <row r="459" spans="1:2">
      <c r="A459" t="str">
        <f t="shared" ca="1" si="14"/>
        <v/>
      </c>
      <c r="B459">
        <f t="shared" ca="1" si="15"/>
        <v>0</v>
      </c>
    </row>
    <row r="460" spans="1:2">
      <c r="A460" t="str">
        <f t="shared" ca="1" si="14"/>
        <v/>
      </c>
      <c r="B460">
        <f t="shared" ca="1" si="15"/>
        <v>0</v>
      </c>
    </row>
    <row r="461" spans="1:2">
      <c r="A461" t="str">
        <f t="shared" ca="1" si="14"/>
        <v/>
      </c>
      <c r="B461">
        <f t="shared" ca="1" si="15"/>
        <v>0</v>
      </c>
    </row>
    <row r="462" spans="1:2">
      <c r="A462" t="str">
        <f t="shared" ca="1" si="14"/>
        <v/>
      </c>
      <c r="B462">
        <f t="shared" ca="1" si="15"/>
        <v>0</v>
      </c>
    </row>
    <row r="463" spans="1:2">
      <c r="A463" t="str">
        <f t="shared" ca="1" si="14"/>
        <v/>
      </c>
      <c r="B463">
        <f t="shared" ca="1" si="15"/>
        <v>0</v>
      </c>
    </row>
    <row r="464" spans="1:2">
      <c r="A464" t="str">
        <f t="shared" ca="1" si="14"/>
        <v/>
      </c>
      <c r="B464">
        <f t="shared" ca="1" si="15"/>
        <v>0</v>
      </c>
    </row>
    <row r="465" spans="1:2">
      <c r="A465" t="str">
        <f t="shared" ca="1" si="14"/>
        <v/>
      </c>
      <c r="B465">
        <f t="shared" ca="1" si="15"/>
        <v>0</v>
      </c>
    </row>
    <row r="466" spans="1:2">
      <c r="A466" t="str">
        <f t="shared" ca="1" si="14"/>
        <v/>
      </c>
      <c r="B466">
        <f t="shared" ca="1" si="15"/>
        <v>0</v>
      </c>
    </row>
    <row r="467" spans="1:2">
      <c r="A467" t="str">
        <f t="shared" ca="1" si="14"/>
        <v/>
      </c>
      <c r="B467">
        <f t="shared" ca="1" si="15"/>
        <v>0</v>
      </c>
    </row>
    <row r="468" spans="1:2">
      <c r="A468" t="str">
        <f t="shared" ca="1" si="14"/>
        <v/>
      </c>
      <c r="B468">
        <f t="shared" ca="1" si="15"/>
        <v>0</v>
      </c>
    </row>
    <row r="469" spans="1:2">
      <c r="A469" t="str">
        <f t="shared" ca="1" si="14"/>
        <v/>
      </c>
      <c r="B469">
        <f t="shared" ca="1" si="15"/>
        <v>0</v>
      </c>
    </row>
    <row r="470" spans="1:2">
      <c r="A470" t="str">
        <f t="shared" ca="1" si="14"/>
        <v/>
      </c>
      <c r="B470">
        <f t="shared" ca="1" si="15"/>
        <v>0</v>
      </c>
    </row>
    <row r="471" spans="1:2">
      <c r="A471" t="str">
        <f t="shared" ca="1" si="14"/>
        <v/>
      </c>
      <c r="B471">
        <f t="shared" ca="1" si="15"/>
        <v>0</v>
      </c>
    </row>
    <row r="472" spans="1:2">
      <c r="A472" t="str">
        <f t="shared" ca="1" si="14"/>
        <v/>
      </c>
      <c r="B472">
        <f t="shared" ca="1" si="15"/>
        <v>0</v>
      </c>
    </row>
    <row r="473" spans="1:2">
      <c r="A473" t="str">
        <f t="shared" ca="1" si="14"/>
        <v/>
      </c>
      <c r="B473">
        <f t="shared" ca="1" si="15"/>
        <v>0</v>
      </c>
    </row>
    <row r="474" spans="1:2">
      <c r="A474" t="str">
        <f t="shared" ca="1" si="14"/>
        <v/>
      </c>
      <c r="B474">
        <f t="shared" ca="1" si="15"/>
        <v>0</v>
      </c>
    </row>
    <row r="475" spans="1:2">
      <c r="A475" t="str">
        <f t="shared" ca="1" si="14"/>
        <v/>
      </c>
      <c r="B475">
        <f t="shared" ca="1" si="15"/>
        <v>0</v>
      </c>
    </row>
    <row r="476" spans="1:2">
      <c r="A476" t="str">
        <f t="shared" ca="1" si="14"/>
        <v/>
      </c>
      <c r="B476">
        <f t="shared" ca="1" si="15"/>
        <v>0</v>
      </c>
    </row>
    <row r="477" spans="1:2">
      <c r="A477" t="str">
        <f t="shared" ca="1" si="14"/>
        <v/>
      </c>
      <c r="B477">
        <f t="shared" ca="1" si="15"/>
        <v>0</v>
      </c>
    </row>
    <row r="478" spans="1:2">
      <c r="A478" t="str">
        <f t="shared" ca="1" si="14"/>
        <v/>
      </c>
      <c r="B478">
        <f t="shared" ca="1" si="15"/>
        <v>0</v>
      </c>
    </row>
    <row r="479" spans="1:2">
      <c r="A479" t="str">
        <f t="shared" ca="1" si="14"/>
        <v/>
      </c>
      <c r="B479">
        <f t="shared" ca="1" si="15"/>
        <v>0</v>
      </c>
    </row>
    <row r="480" spans="1:2">
      <c r="A480" t="str">
        <f t="shared" ca="1" si="14"/>
        <v/>
      </c>
      <c r="B480">
        <f t="shared" ca="1" si="15"/>
        <v>0</v>
      </c>
    </row>
    <row r="481" spans="1:2">
      <c r="A481" t="str">
        <f t="shared" ca="1" si="14"/>
        <v/>
      </c>
      <c r="B481">
        <f t="shared" ca="1" si="15"/>
        <v>0</v>
      </c>
    </row>
    <row r="482" spans="1:2">
      <c r="A482" t="str">
        <f t="shared" ca="1" si="14"/>
        <v/>
      </c>
      <c r="B482">
        <f t="shared" ca="1" si="15"/>
        <v>0</v>
      </c>
    </row>
    <row r="483" spans="1:2">
      <c r="A483" t="str">
        <f t="shared" ca="1" si="14"/>
        <v/>
      </c>
      <c r="B483">
        <f t="shared" ca="1" si="15"/>
        <v>0</v>
      </c>
    </row>
    <row r="484" spans="1:2">
      <c r="A484" t="str">
        <f t="shared" ca="1" si="14"/>
        <v/>
      </c>
      <c r="B484">
        <f t="shared" ca="1" si="15"/>
        <v>0</v>
      </c>
    </row>
    <row r="485" spans="1:2">
      <c r="A485" t="str">
        <f t="shared" ca="1" si="14"/>
        <v/>
      </c>
      <c r="B485">
        <f t="shared" ca="1" si="15"/>
        <v>0</v>
      </c>
    </row>
    <row r="486" spans="1:2">
      <c r="A486" t="str">
        <f t="shared" ca="1" si="14"/>
        <v/>
      </c>
      <c r="B486">
        <f t="shared" ca="1" si="15"/>
        <v>0</v>
      </c>
    </row>
    <row r="487" spans="1:2">
      <c r="A487" t="str">
        <f t="shared" ca="1" si="14"/>
        <v/>
      </c>
      <c r="B487">
        <f t="shared" ca="1" si="15"/>
        <v>0</v>
      </c>
    </row>
    <row r="488" spans="1:2">
      <c r="A488" t="str">
        <f t="shared" ca="1" si="14"/>
        <v/>
      </c>
      <c r="B488">
        <f t="shared" ca="1" si="15"/>
        <v>0</v>
      </c>
    </row>
    <row r="489" spans="1:2">
      <c r="A489" t="str">
        <f t="shared" ca="1" si="14"/>
        <v/>
      </c>
      <c r="B489">
        <f t="shared" ca="1" si="15"/>
        <v>0</v>
      </c>
    </row>
    <row r="490" spans="1:2">
      <c r="A490" t="str">
        <f t="shared" ca="1" si="14"/>
        <v/>
      </c>
      <c r="B490">
        <f t="shared" ca="1" si="15"/>
        <v>0</v>
      </c>
    </row>
    <row r="491" spans="1:2">
      <c r="A491" t="str">
        <f t="shared" ca="1" si="14"/>
        <v/>
      </c>
      <c r="B491">
        <f t="shared" ca="1" si="15"/>
        <v>0</v>
      </c>
    </row>
    <row r="492" spans="1:2">
      <c r="A492" t="str">
        <f t="shared" ca="1" si="14"/>
        <v/>
      </c>
      <c r="B492">
        <f t="shared" ca="1" si="15"/>
        <v>0</v>
      </c>
    </row>
    <row r="493" spans="1:2">
      <c r="A493" t="str">
        <f t="shared" ca="1" si="14"/>
        <v/>
      </c>
      <c r="B493">
        <f t="shared" ca="1" si="15"/>
        <v>0</v>
      </c>
    </row>
    <row r="494" spans="1:2">
      <c r="A494" t="str">
        <f t="shared" ca="1" si="14"/>
        <v/>
      </c>
      <c r="B494">
        <f t="shared" ca="1" si="15"/>
        <v>0</v>
      </c>
    </row>
    <row r="495" spans="1:2">
      <c r="A495" t="str">
        <f t="shared" ca="1" si="14"/>
        <v/>
      </c>
      <c r="B495">
        <f t="shared" ca="1" si="15"/>
        <v>0</v>
      </c>
    </row>
    <row r="496" spans="1:2">
      <c r="A496" t="str">
        <f t="shared" ca="1" si="14"/>
        <v/>
      </c>
      <c r="B496">
        <f t="shared" ca="1" si="15"/>
        <v>0</v>
      </c>
    </row>
    <row r="497" spans="1:2">
      <c r="A497" t="str">
        <f t="shared" ca="1" si="14"/>
        <v/>
      </c>
      <c r="B497">
        <f t="shared" ca="1" si="15"/>
        <v>0</v>
      </c>
    </row>
    <row r="498" spans="1:2">
      <c r="A498" t="str">
        <f t="shared" ca="1" si="14"/>
        <v/>
      </c>
      <c r="B498">
        <f t="shared" ca="1" si="15"/>
        <v>0</v>
      </c>
    </row>
    <row r="499" spans="1:2">
      <c r="A499" t="str">
        <f t="shared" ca="1" si="14"/>
        <v/>
      </c>
      <c r="B499">
        <f t="shared" ca="1" si="15"/>
        <v>0</v>
      </c>
    </row>
    <row r="500" spans="1:2">
      <c r="A500" t="str">
        <f t="shared" ca="1" si="14"/>
        <v/>
      </c>
      <c r="B500">
        <f t="shared" ca="1" si="15"/>
        <v>0</v>
      </c>
    </row>
    <row r="501" spans="1:2">
      <c r="A501" t="str">
        <f t="shared" ca="1" si="14"/>
        <v/>
      </c>
      <c r="B501">
        <f t="shared" ca="1" si="15"/>
        <v>0</v>
      </c>
    </row>
    <row r="502" spans="1:2">
      <c r="A502" t="str">
        <f t="shared" ca="1" si="14"/>
        <v/>
      </c>
      <c r="B502">
        <f t="shared" ca="1" si="15"/>
        <v>0</v>
      </c>
    </row>
    <row r="503" spans="1:2">
      <c r="A503" t="str">
        <f t="shared" ca="1" si="14"/>
        <v/>
      </c>
      <c r="B503">
        <f t="shared" ca="1" si="15"/>
        <v>0</v>
      </c>
    </row>
    <row r="504" spans="1:2">
      <c r="A504" t="str">
        <f t="shared" ca="1" si="14"/>
        <v/>
      </c>
      <c r="B504">
        <f t="shared" ca="1" si="15"/>
        <v>0</v>
      </c>
    </row>
    <row r="505" spans="1:2">
      <c r="A505" t="str">
        <f t="shared" ca="1" si="14"/>
        <v/>
      </c>
      <c r="B505">
        <f t="shared" ca="1" si="15"/>
        <v>0</v>
      </c>
    </row>
    <row r="506" spans="1:2">
      <c r="A506" t="str">
        <f t="shared" ca="1" si="14"/>
        <v/>
      </c>
      <c r="B506">
        <f t="shared" ca="1" si="15"/>
        <v>0</v>
      </c>
    </row>
    <row r="507" spans="1:2">
      <c r="A507" t="str">
        <f t="shared" ca="1" si="14"/>
        <v/>
      </c>
      <c r="B507">
        <f t="shared" ca="1" si="15"/>
        <v>0</v>
      </c>
    </row>
    <row r="508" spans="1:2">
      <c r="A508" t="str">
        <f t="shared" ca="1" si="14"/>
        <v/>
      </c>
      <c r="B508">
        <f t="shared" ca="1" si="15"/>
        <v>0</v>
      </c>
    </row>
    <row r="509" spans="1:2">
      <c r="A509" t="str">
        <f t="shared" ca="1" si="14"/>
        <v/>
      </c>
      <c r="B509">
        <f t="shared" ca="1" si="15"/>
        <v>0</v>
      </c>
    </row>
    <row r="510" spans="1:2">
      <c r="A510" t="str">
        <f t="shared" ca="1" si="14"/>
        <v/>
      </c>
      <c r="B510">
        <f t="shared" ca="1" si="15"/>
        <v>0</v>
      </c>
    </row>
    <row r="511" spans="1:2">
      <c r="A511" t="str">
        <f t="shared" ca="1" si="14"/>
        <v/>
      </c>
      <c r="B511">
        <f t="shared" ca="1" si="15"/>
        <v>0</v>
      </c>
    </row>
    <row r="512" spans="1:2">
      <c r="A512" t="str">
        <f t="shared" ca="1" si="14"/>
        <v/>
      </c>
      <c r="B512">
        <f t="shared" ca="1" si="15"/>
        <v>0</v>
      </c>
    </row>
    <row r="513" spans="1:2">
      <c r="A513" t="str">
        <f t="shared" ca="1" si="14"/>
        <v/>
      </c>
      <c r="B513">
        <f t="shared" ca="1" si="15"/>
        <v>0</v>
      </c>
    </row>
    <row r="514" spans="1:2">
      <c r="A514" t="str">
        <f t="shared" ref="A514:A577" ca="1" si="16">CONCATENATE(INDIRECT(ADDRESS(ROW(),3)))</f>
        <v/>
      </c>
      <c r="B514">
        <f t="shared" ref="B514:B577" ca="1" si="17">IF(IF(INDIRECT(ADDRESS(ROW(),1))&lt;&gt;"",IF(ISNA(MATCH(LEFT(INDIRECT(ADDRESS(ROW(),1)),2),PCNG_MN,0))=TRUE,1,0),0)+IF(INDIRECT(ADDRESS(ROW(),1))&lt;&gt;"",IF(ISNA(MATCH(LEFT(INDIRECT(ADDRESS(ROW(),1)),3),PCNG_MN,0))=TRUE,1,0),0)+IF(INDIRECT(ADDRESS(ROW(),1))&lt;&gt;"",IF(ISNA(MATCH(LEFT(INDIRECT(ADDRESS(ROW(),1)),4),PCNG_MN,0))=TRUE,1,0),0)&gt;=3,1,0)</f>
        <v>0</v>
      </c>
    </row>
    <row r="515" spans="1:2">
      <c r="A515" t="str">
        <f t="shared" ca="1" si="16"/>
        <v/>
      </c>
      <c r="B515">
        <f t="shared" ca="1" si="17"/>
        <v>0</v>
      </c>
    </row>
    <row r="516" spans="1:2">
      <c r="A516" t="str">
        <f t="shared" ca="1" si="16"/>
        <v/>
      </c>
      <c r="B516">
        <f t="shared" ca="1" si="17"/>
        <v>0</v>
      </c>
    </row>
    <row r="517" spans="1:2">
      <c r="A517" t="str">
        <f t="shared" ca="1" si="16"/>
        <v/>
      </c>
      <c r="B517">
        <f t="shared" ca="1" si="17"/>
        <v>0</v>
      </c>
    </row>
    <row r="518" spans="1:2">
      <c r="A518" t="str">
        <f t="shared" ca="1" si="16"/>
        <v/>
      </c>
      <c r="B518">
        <f t="shared" ca="1" si="17"/>
        <v>0</v>
      </c>
    </row>
    <row r="519" spans="1:2">
      <c r="A519" t="str">
        <f t="shared" ca="1" si="16"/>
        <v/>
      </c>
      <c r="B519">
        <f t="shared" ca="1" si="17"/>
        <v>0</v>
      </c>
    </row>
    <row r="520" spans="1:2">
      <c r="A520" t="str">
        <f t="shared" ca="1" si="16"/>
        <v/>
      </c>
      <c r="B520">
        <f t="shared" ca="1" si="17"/>
        <v>0</v>
      </c>
    </row>
    <row r="521" spans="1:2">
      <c r="A521" t="str">
        <f t="shared" ca="1" si="16"/>
        <v/>
      </c>
      <c r="B521">
        <f t="shared" ca="1" si="17"/>
        <v>0</v>
      </c>
    </row>
    <row r="522" spans="1:2">
      <c r="A522" t="str">
        <f t="shared" ca="1" si="16"/>
        <v/>
      </c>
      <c r="B522">
        <f t="shared" ca="1" si="17"/>
        <v>0</v>
      </c>
    </row>
    <row r="523" spans="1:2">
      <c r="A523" t="str">
        <f t="shared" ca="1" si="16"/>
        <v/>
      </c>
      <c r="B523">
        <f t="shared" ca="1" si="17"/>
        <v>0</v>
      </c>
    </row>
    <row r="524" spans="1:2">
      <c r="A524" t="str">
        <f t="shared" ca="1" si="16"/>
        <v/>
      </c>
      <c r="B524">
        <f t="shared" ca="1" si="17"/>
        <v>0</v>
      </c>
    </row>
    <row r="525" spans="1:2">
      <c r="A525" t="str">
        <f t="shared" ca="1" si="16"/>
        <v/>
      </c>
      <c r="B525">
        <f t="shared" ca="1" si="17"/>
        <v>0</v>
      </c>
    </row>
    <row r="526" spans="1:2">
      <c r="A526" t="str">
        <f t="shared" ca="1" si="16"/>
        <v/>
      </c>
      <c r="B526">
        <f t="shared" ca="1" si="17"/>
        <v>0</v>
      </c>
    </row>
    <row r="527" spans="1:2">
      <c r="A527" t="str">
        <f t="shared" ca="1" si="16"/>
        <v/>
      </c>
      <c r="B527">
        <f t="shared" ca="1" si="17"/>
        <v>0</v>
      </c>
    </row>
    <row r="528" spans="1:2">
      <c r="A528" t="str">
        <f t="shared" ca="1" si="16"/>
        <v/>
      </c>
      <c r="B528">
        <f t="shared" ca="1" si="17"/>
        <v>0</v>
      </c>
    </row>
    <row r="529" spans="1:2">
      <c r="A529" t="str">
        <f t="shared" ca="1" si="16"/>
        <v/>
      </c>
      <c r="B529">
        <f t="shared" ca="1" si="17"/>
        <v>0</v>
      </c>
    </row>
    <row r="530" spans="1:2">
      <c r="A530" t="str">
        <f t="shared" ca="1" si="16"/>
        <v/>
      </c>
      <c r="B530">
        <f t="shared" ca="1" si="17"/>
        <v>0</v>
      </c>
    </row>
    <row r="531" spans="1:2">
      <c r="A531" t="str">
        <f t="shared" ca="1" si="16"/>
        <v/>
      </c>
      <c r="B531">
        <f t="shared" ca="1" si="17"/>
        <v>0</v>
      </c>
    </row>
    <row r="532" spans="1:2">
      <c r="A532" t="str">
        <f t="shared" ca="1" si="16"/>
        <v/>
      </c>
      <c r="B532">
        <f t="shared" ca="1" si="17"/>
        <v>0</v>
      </c>
    </row>
    <row r="533" spans="1:2">
      <c r="A533" t="str">
        <f t="shared" ca="1" si="16"/>
        <v/>
      </c>
      <c r="B533">
        <f t="shared" ca="1" si="17"/>
        <v>0</v>
      </c>
    </row>
    <row r="534" spans="1:2">
      <c r="A534" t="str">
        <f t="shared" ca="1" si="16"/>
        <v/>
      </c>
      <c r="B534">
        <f t="shared" ca="1" si="17"/>
        <v>0</v>
      </c>
    </row>
    <row r="535" spans="1:2">
      <c r="A535" t="str">
        <f t="shared" ca="1" si="16"/>
        <v/>
      </c>
      <c r="B535">
        <f t="shared" ca="1" si="17"/>
        <v>0</v>
      </c>
    </row>
    <row r="536" spans="1:2">
      <c r="A536" t="str">
        <f t="shared" ca="1" si="16"/>
        <v/>
      </c>
      <c r="B536">
        <f t="shared" ca="1" si="17"/>
        <v>0</v>
      </c>
    </row>
    <row r="537" spans="1:2">
      <c r="A537" t="str">
        <f t="shared" ca="1" si="16"/>
        <v/>
      </c>
      <c r="B537">
        <f t="shared" ca="1" si="17"/>
        <v>0</v>
      </c>
    </row>
    <row r="538" spans="1:2">
      <c r="A538" t="str">
        <f t="shared" ca="1" si="16"/>
        <v/>
      </c>
      <c r="B538">
        <f t="shared" ca="1" si="17"/>
        <v>0</v>
      </c>
    </row>
    <row r="539" spans="1:2">
      <c r="A539" t="str">
        <f t="shared" ca="1" si="16"/>
        <v/>
      </c>
      <c r="B539">
        <f t="shared" ca="1" si="17"/>
        <v>0</v>
      </c>
    </row>
    <row r="540" spans="1:2">
      <c r="A540" t="str">
        <f t="shared" ca="1" si="16"/>
        <v/>
      </c>
      <c r="B540">
        <f t="shared" ca="1" si="17"/>
        <v>0</v>
      </c>
    </row>
    <row r="541" spans="1:2">
      <c r="A541" t="str">
        <f t="shared" ca="1" si="16"/>
        <v/>
      </c>
      <c r="B541">
        <f t="shared" ca="1" si="17"/>
        <v>0</v>
      </c>
    </row>
    <row r="542" spans="1:2">
      <c r="A542" t="str">
        <f t="shared" ca="1" si="16"/>
        <v/>
      </c>
      <c r="B542">
        <f t="shared" ca="1" si="17"/>
        <v>0</v>
      </c>
    </row>
    <row r="543" spans="1:2">
      <c r="A543" t="str">
        <f t="shared" ca="1" si="16"/>
        <v/>
      </c>
      <c r="B543">
        <f t="shared" ca="1" si="17"/>
        <v>0</v>
      </c>
    </row>
    <row r="544" spans="1:2">
      <c r="A544" t="str">
        <f t="shared" ca="1" si="16"/>
        <v/>
      </c>
      <c r="B544">
        <f t="shared" ca="1" si="17"/>
        <v>0</v>
      </c>
    </row>
    <row r="545" spans="1:2">
      <c r="A545" t="str">
        <f t="shared" ca="1" si="16"/>
        <v/>
      </c>
      <c r="B545">
        <f t="shared" ca="1" si="17"/>
        <v>0</v>
      </c>
    </row>
    <row r="546" spans="1:2">
      <c r="A546" t="str">
        <f t="shared" ca="1" si="16"/>
        <v/>
      </c>
      <c r="B546">
        <f t="shared" ca="1" si="17"/>
        <v>0</v>
      </c>
    </row>
    <row r="547" spans="1:2">
      <c r="A547" t="str">
        <f t="shared" ca="1" si="16"/>
        <v/>
      </c>
      <c r="B547">
        <f t="shared" ca="1" si="17"/>
        <v>0</v>
      </c>
    </row>
    <row r="548" spans="1:2">
      <c r="A548" t="str">
        <f t="shared" ca="1" si="16"/>
        <v/>
      </c>
      <c r="B548">
        <f t="shared" ca="1" si="17"/>
        <v>0</v>
      </c>
    </row>
    <row r="549" spans="1:2">
      <c r="A549" t="str">
        <f t="shared" ca="1" si="16"/>
        <v/>
      </c>
      <c r="B549">
        <f t="shared" ca="1" si="17"/>
        <v>0</v>
      </c>
    </row>
    <row r="550" spans="1:2">
      <c r="A550" t="str">
        <f t="shared" ca="1" si="16"/>
        <v/>
      </c>
      <c r="B550">
        <f t="shared" ca="1" si="17"/>
        <v>0</v>
      </c>
    </row>
    <row r="551" spans="1:2">
      <c r="A551" t="str">
        <f t="shared" ca="1" si="16"/>
        <v/>
      </c>
      <c r="B551">
        <f t="shared" ca="1" si="17"/>
        <v>0</v>
      </c>
    </row>
    <row r="552" spans="1:2">
      <c r="A552" t="str">
        <f t="shared" ca="1" si="16"/>
        <v/>
      </c>
      <c r="B552">
        <f t="shared" ca="1" si="17"/>
        <v>0</v>
      </c>
    </row>
    <row r="553" spans="1:2">
      <c r="A553" t="str">
        <f t="shared" ca="1" si="16"/>
        <v/>
      </c>
      <c r="B553">
        <f t="shared" ca="1" si="17"/>
        <v>0</v>
      </c>
    </row>
    <row r="554" spans="1:2">
      <c r="A554" t="str">
        <f t="shared" ca="1" si="16"/>
        <v/>
      </c>
      <c r="B554">
        <f t="shared" ca="1" si="17"/>
        <v>0</v>
      </c>
    </row>
    <row r="555" spans="1:2">
      <c r="A555" t="str">
        <f t="shared" ca="1" si="16"/>
        <v/>
      </c>
      <c r="B555">
        <f t="shared" ca="1" si="17"/>
        <v>0</v>
      </c>
    </row>
    <row r="556" spans="1:2">
      <c r="A556" t="str">
        <f t="shared" ca="1" si="16"/>
        <v/>
      </c>
      <c r="B556">
        <f t="shared" ca="1" si="17"/>
        <v>0</v>
      </c>
    </row>
    <row r="557" spans="1:2">
      <c r="A557" t="str">
        <f t="shared" ca="1" si="16"/>
        <v/>
      </c>
      <c r="B557">
        <f t="shared" ca="1" si="17"/>
        <v>0</v>
      </c>
    </row>
    <row r="558" spans="1:2">
      <c r="A558" t="str">
        <f t="shared" ca="1" si="16"/>
        <v/>
      </c>
      <c r="B558">
        <f t="shared" ca="1" si="17"/>
        <v>0</v>
      </c>
    </row>
    <row r="559" spans="1:2">
      <c r="A559" t="str">
        <f t="shared" ca="1" si="16"/>
        <v/>
      </c>
      <c r="B559">
        <f t="shared" ca="1" si="17"/>
        <v>0</v>
      </c>
    </row>
    <row r="560" spans="1:2">
      <c r="A560" t="str">
        <f t="shared" ca="1" si="16"/>
        <v/>
      </c>
      <c r="B560">
        <f t="shared" ca="1" si="17"/>
        <v>0</v>
      </c>
    </row>
    <row r="561" spans="1:2">
      <c r="A561" t="str">
        <f t="shared" ca="1" si="16"/>
        <v/>
      </c>
      <c r="B561">
        <f t="shared" ca="1" si="17"/>
        <v>0</v>
      </c>
    </row>
    <row r="562" spans="1:2">
      <c r="A562" t="str">
        <f t="shared" ca="1" si="16"/>
        <v/>
      </c>
      <c r="B562">
        <f t="shared" ca="1" si="17"/>
        <v>0</v>
      </c>
    </row>
    <row r="563" spans="1:2">
      <c r="A563" t="str">
        <f t="shared" ca="1" si="16"/>
        <v/>
      </c>
      <c r="B563">
        <f t="shared" ca="1" si="17"/>
        <v>0</v>
      </c>
    </row>
    <row r="564" spans="1:2">
      <c r="A564" t="str">
        <f t="shared" ca="1" si="16"/>
        <v/>
      </c>
      <c r="B564">
        <f t="shared" ca="1" si="17"/>
        <v>0</v>
      </c>
    </row>
    <row r="565" spans="1:2">
      <c r="A565" t="str">
        <f t="shared" ca="1" si="16"/>
        <v/>
      </c>
      <c r="B565">
        <f t="shared" ca="1" si="17"/>
        <v>0</v>
      </c>
    </row>
    <row r="566" spans="1:2">
      <c r="A566" t="str">
        <f t="shared" ca="1" si="16"/>
        <v/>
      </c>
      <c r="B566">
        <f t="shared" ca="1" si="17"/>
        <v>0</v>
      </c>
    </row>
    <row r="567" spans="1:2">
      <c r="A567" t="str">
        <f t="shared" ca="1" si="16"/>
        <v/>
      </c>
      <c r="B567">
        <f t="shared" ca="1" si="17"/>
        <v>0</v>
      </c>
    </row>
    <row r="568" spans="1:2">
      <c r="A568" t="str">
        <f t="shared" ca="1" si="16"/>
        <v/>
      </c>
      <c r="B568">
        <f t="shared" ca="1" si="17"/>
        <v>0</v>
      </c>
    </row>
    <row r="569" spans="1:2">
      <c r="A569" t="str">
        <f t="shared" ca="1" si="16"/>
        <v/>
      </c>
      <c r="B569">
        <f t="shared" ca="1" si="17"/>
        <v>0</v>
      </c>
    </row>
    <row r="570" spans="1:2">
      <c r="A570" t="str">
        <f t="shared" ca="1" si="16"/>
        <v/>
      </c>
      <c r="B570">
        <f t="shared" ca="1" si="17"/>
        <v>0</v>
      </c>
    </row>
    <row r="571" spans="1:2">
      <c r="A571" t="str">
        <f t="shared" ca="1" si="16"/>
        <v/>
      </c>
      <c r="B571">
        <f t="shared" ca="1" si="17"/>
        <v>0</v>
      </c>
    </row>
    <row r="572" spans="1:2">
      <c r="A572" t="str">
        <f t="shared" ca="1" si="16"/>
        <v/>
      </c>
      <c r="B572">
        <f t="shared" ca="1" si="17"/>
        <v>0</v>
      </c>
    </row>
    <row r="573" spans="1:2">
      <c r="A573" t="str">
        <f t="shared" ca="1" si="16"/>
        <v/>
      </c>
      <c r="B573">
        <f t="shared" ca="1" si="17"/>
        <v>0</v>
      </c>
    </row>
    <row r="574" spans="1:2">
      <c r="A574" t="str">
        <f t="shared" ca="1" si="16"/>
        <v/>
      </c>
      <c r="B574">
        <f t="shared" ca="1" si="17"/>
        <v>0</v>
      </c>
    </row>
    <row r="575" spans="1:2">
      <c r="A575" t="str">
        <f t="shared" ca="1" si="16"/>
        <v/>
      </c>
      <c r="B575">
        <f t="shared" ca="1" si="17"/>
        <v>0</v>
      </c>
    </row>
    <row r="576" spans="1:2">
      <c r="A576" t="str">
        <f t="shared" ca="1" si="16"/>
        <v/>
      </c>
      <c r="B576">
        <f t="shared" ca="1" si="17"/>
        <v>0</v>
      </c>
    </row>
    <row r="577" spans="1:2">
      <c r="A577" t="str">
        <f t="shared" ca="1" si="16"/>
        <v/>
      </c>
      <c r="B577">
        <f t="shared" ca="1" si="17"/>
        <v>0</v>
      </c>
    </row>
    <row r="578" spans="1:2">
      <c r="A578" t="str">
        <f t="shared" ref="A578:A641" ca="1" si="18">CONCATENATE(INDIRECT(ADDRESS(ROW(),3)))</f>
        <v/>
      </c>
      <c r="B578">
        <f t="shared" ref="B578:B641" ca="1" si="19">IF(IF(INDIRECT(ADDRESS(ROW(),1))&lt;&gt;"",IF(ISNA(MATCH(LEFT(INDIRECT(ADDRESS(ROW(),1)),2),PCNG_MN,0))=TRUE,1,0),0)+IF(INDIRECT(ADDRESS(ROW(),1))&lt;&gt;"",IF(ISNA(MATCH(LEFT(INDIRECT(ADDRESS(ROW(),1)),3),PCNG_MN,0))=TRUE,1,0),0)+IF(INDIRECT(ADDRESS(ROW(),1))&lt;&gt;"",IF(ISNA(MATCH(LEFT(INDIRECT(ADDRESS(ROW(),1)),4),PCNG_MN,0))=TRUE,1,0),0)&gt;=3,1,0)</f>
        <v>0</v>
      </c>
    </row>
    <row r="579" spans="1:2">
      <c r="A579" t="str">
        <f t="shared" ca="1" si="18"/>
        <v/>
      </c>
      <c r="B579">
        <f t="shared" ca="1" si="19"/>
        <v>0</v>
      </c>
    </row>
    <row r="580" spans="1:2">
      <c r="A580" t="str">
        <f t="shared" ca="1" si="18"/>
        <v/>
      </c>
      <c r="B580">
        <f t="shared" ca="1" si="19"/>
        <v>0</v>
      </c>
    </row>
    <row r="581" spans="1:2">
      <c r="A581" t="str">
        <f t="shared" ca="1" si="18"/>
        <v/>
      </c>
      <c r="B581">
        <f t="shared" ca="1" si="19"/>
        <v>0</v>
      </c>
    </row>
    <row r="582" spans="1:2">
      <c r="A582" t="str">
        <f t="shared" ca="1" si="18"/>
        <v/>
      </c>
      <c r="B582">
        <f t="shared" ca="1" si="19"/>
        <v>0</v>
      </c>
    </row>
    <row r="583" spans="1:2">
      <c r="A583" t="str">
        <f t="shared" ca="1" si="18"/>
        <v/>
      </c>
      <c r="B583">
        <f t="shared" ca="1" si="19"/>
        <v>0</v>
      </c>
    </row>
    <row r="584" spans="1:2">
      <c r="A584" t="str">
        <f t="shared" ca="1" si="18"/>
        <v/>
      </c>
      <c r="B584">
        <f t="shared" ca="1" si="19"/>
        <v>0</v>
      </c>
    </row>
    <row r="585" spans="1:2">
      <c r="A585" t="str">
        <f t="shared" ca="1" si="18"/>
        <v/>
      </c>
      <c r="B585">
        <f t="shared" ca="1" si="19"/>
        <v>0</v>
      </c>
    </row>
    <row r="586" spans="1:2">
      <c r="A586" t="str">
        <f t="shared" ca="1" si="18"/>
        <v/>
      </c>
      <c r="B586">
        <f t="shared" ca="1" si="19"/>
        <v>0</v>
      </c>
    </row>
    <row r="587" spans="1:2">
      <c r="A587" t="str">
        <f t="shared" ca="1" si="18"/>
        <v/>
      </c>
      <c r="B587">
        <f t="shared" ca="1" si="19"/>
        <v>0</v>
      </c>
    </row>
    <row r="588" spans="1:2">
      <c r="A588" t="str">
        <f t="shared" ca="1" si="18"/>
        <v/>
      </c>
      <c r="B588">
        <f t="shared" ca="1" si="19"/>
        <v>0</v>
      </c>
    </row>
    <row r="589" spans="1:2">
      <c r="A589" t="str">
        <f t="shared" ca="1" si="18"/>
        <v/>
      </c>
      <c r="B589">
        <f t="shared" ca="1" si="19"/>
        <v>0</v>
      </c>
    </row>
    <row r="590" spans="1:2">
      <c r="A590" t="str">
        <f t="shared" ca="1" si="18"/>
        <v/>
      </c>
      <c r="B590">
        <f t="shared" ca="1" si="19"/>
        <v>0</v>
      </c>
    </row>
    <row r="591" spans="1:2">
      <c r="A591" t="str">
        <f t="shared" ca="1" si="18"/>
        <v/>
      </c>
      <c r="B591">
        <f t="shared" ca="1" si="19"/>
        <v>0</v>
      </c>
    </row>
    <row r="592" spans="1:2">
      <c r="A592" t="str">
        <f t="shared" ca="1" si="18"/>
        <v/>
      </c>
      <c r="B592">
        <f t="shared" ca="1" si="19"/>
        <v>0</v>
      </c>
    </row>
    <row r="593" spans="1:2">
      <c r="A593" t="str">
        <f t="shared" ca="1" si="18"/>
        <v/>
      </c>
      <c r="B593">
        <f t="shared" ca="1" si="19"/>
        <v>0</v>
      </c>
    </row>
    <row r="594" spans="1:2">
      <c r="A594" t="str">
        <f t="shared" ca="1" si="18"/>
        <v/>
      </c>
      <c r="B594">
        <f t="shared" ca="1" si="19"/>
        <v>0</v>
      </c>
    </row>
    <row r="595" spans="1:2">
      <c r="A595" t="str">
        <f t="shared" ca="1" si="18"/>
        <v/>
      </c>
      <c r="B595">
        <f t="shared" ca="1" si="19"/>
        <v>0</v>
      </c>
    </row>
    <row r="596" spans="1:2">
      <c r="A596" t="str">
        <f t="shared" ca="1" si="18"/>
        <v/>
      </c>
      <c r="B596">
        <f t="shared" ca="1" si="19"/>
        <v>0</v>
      </c>
    </row>
    <row r="597" spans="1:2">
      <c r="A597" t="str">
        <f t="shared" ca="1" si="18"/>
        <v/>
      </c>
      <c r="B597">
        <f t="shared" ca="1" si="19"/>
        <v>0</v>
      </c>
    </row>
    <row r="598" spans="1:2">
      <c r="A598" t="str">
        <f t="shared" ca="1" si="18"/>
        <v/>
      </c>
      <c r="B598">
        <f t="shared" ca="1" si="19"/>
        <v>0</v>
      </c>
    </row>
    <row r="599" spans="1:2">
      <c r="A599" t="str">
        <f t="shared" ca="1" si="18"/>
        <v/>
      </c>
      <c r="B599">
        <f t="shared" ca="1" si="19"/>
        <v>0</v>
      </c>
    </row>
    <row r="600" spans="1:2">
      <c r="A600" t="str">
        <f t="shared" ca="1" si="18"/>
        <v/>
      </c>
      <c r="B600">
        <f t="shared" ca="1" si="19"/>
        <v>0</v>
      </c>
    </row>
    <row r="601" spans="1:2">
      <c r="A601" t="str">
        <f t="shared" ca="1" si="18"/>
        <v/>
      </c>
      <c r="B601">
        <f t="shared" ca="1" si="19"/>
        <v>0</v>
      </c>
    </row>
    <row r="602" spans="1:2">
      <c r="A602" t="str">
        <f t="shared" ca="1" si="18"/>
        <v/>
      </c>
      <c r="B602">
        <f t="shared" ca="1" si="19"/>
        <v>0</v>
      </c>
    </row>
    <row r="603" spans="1:2">
      <c r="A603" t="str">
        <f t="shared" ca="1" si="18"/>
        <v/>
      </c>
      <c r="B603">
        <f t="shared" ca="1" si="19"/>
        <v>0</v>
      </c>
    </row>
    <row r="604" spans="1:2">
      <c r="A604" t="str">
        <f t="shared" ca="1" si="18"/>
        <v/>
      </c>
      <c r="B604">
        <f t="shared" ca="1" si="19"/>
        <v>0</v>
      </c>
    </row>
    <row r="605" spans="1:2">
      <c r="A605" t="str">
        <f t="shared" ca="1" si="18"/>
        <v/>
      </c>
      <c r="B605">
        <f t="shared" ca="1" si="19"/>
        <v>0</v>
      </c>
    </row>
    <row r="606" spans="1:2">
      <c r="A606" t="str">
        <f t="shared" ca="1" si="18"/>
        <v/>
      </c>
      <c r="B606">
        <f t="shared" ca="1" si="19"/>
        <v>0</v>
      </c>
    </row>
    <row r="607" spans="1:2">
      <c r="A607" t="str">
        <f t="shared" ca="1" si="18"/>
        <v/>
      </c>
      <c r="B607">
        <f t="shared" ca="1" si="19"/>
        <v>0</v>
      </c>
    </row>
    <row r="608" spans="1:2">
      <c r="A608" t="str">
        <f t="shared" ca="1" si="18"/>
        <v/>
      </c>
      <c r="B608">
        <f t="shared" ca="1" si="19"/>
        <v>0</v>
      </c>
    </row>
    <row r="609" spans="1:2">
      <c r="A609" t="str">
        <f t="shared" ca="1" si="18"/>
        <v/>
      </c>
      <c r="B609">
        <f t="shared" ca="1" si="19"/>
        <v>0</v>
      </c>
    </row>
    <row r="610" spans="1:2">
      <c r="A610" t="str">
        <f t="shared" ca="1" si="18"/>
        <v/>
      </c>
      <c r="B610">
        <f t="shared" ca="1" si="19"/>
        <v>0</v>
      </c>
    </row>
    <row r="611" spans="1:2">
      <c r="A611" t="str">
        <f t="shared" ca="1" si="18"/>
        <v/>
      </c>
      <c r="B611">
        <f t="shared" ca="1" si="19"/>
        <v>0</v>
      </c>
    </row>
    <row r="612" spans="1:2">
      <c r="A612" t="str">
        <f t="shared" ca="1" si="18"/>
        <v/>
      </c>
      <c r="B612">
        <f t="shared" ca="1" si="19"/>
        <v>0</v>
      </c>
    </row>
    <row r="613" spans="1:2">
      <c r="A613" t="str">
        <f t="shared" ca="1" si="18"/>
        <v/>
      </c>
      <c r="B613">
        <f t="shared" ca="1" si="19"/>
        <v>0</v>
      </c>
    </row>
    <row r="614" spans="1:2">
      <c r="A614" t="str">
        <f t="shared" ca="1" si="18"/>
        <v/>
      </c>
      <c r="B614">
        <f t="shared" ca="1" si="19"/>
        <v>0</v>
      </c>
    </row>
    <row r="615" spans="1:2">
      <c r="A615" t="str">
        <f t="shared" ca="1" si="18"/>
        <v/>
      </c>
      <c r="B615">
        <f t="shared" ca="1" si="19"/>
        <v>0</v>
      </c>
    </row>
    <row r="616" spans="1:2">
      <c r="A616" t="str">
        <f t="shared" ca="1" si="18"/>
        <v/>
      </c>
      <c r="B616">
        <f t="shared" ca="1" si="19"/>
        <v>0</v>
      </c>
    </row>
    <row r="617" spans="1:2">
      <c r="A617" t="str">
        <f t="shared" ca="1" si="18"/>
        <v/>
      </c>
      <c r="B617">
        <f t="shared" ca="1" si="19"/>
        <v>0</v>
      </c>
    </row>
    <row r="618" spans="1:2">
      <c r="A618" t="str">
        <f t="shared" ca="1" si="18"/>
        <v/>
      </c>
      <c r="B618">
        <f t="shared" ca="1" si="19"/>
        <v>0</v>
      </c>
    </row>
    <row r="619" spans="1:2">
      <c r="A619" t="str">
        <f t="shared" ca="1" si="18"/>
        <v/>
      </c>
      <c r="B619">
        <f t="shared" ca="1" si="19"/>
        <v>0</v>
      </c>
    </row>
    <row r="620" spans="1:2">
      <c r="A620" t="str">
        <f t="shared" ca="1" si="18"/>
        <v/>
      </c>
      <c r="B620">
        <f t="shared" ca="1" si="19"/>
        <v>0</v>
      </c>
    </row>
    <row r="621" spans="1:2">
      <c r="A621" t="str">
        <f t="shared" ca="1" si="18"/>
        <v/>
      </c>
      <c r="B621">
        <f t="shared" ca="1" si="19"/>
        <v>0</v>
      </c>
    </row>
    <row r="622" spans="1:2">
      <c r="A622" t="str">
        <f t="shared" ca="1" si="18"/>
        <v/>
      </c>
      <c r="B622">
        <f t="shared" ca="1" si="19"/>
        <v>0</v>
      </c>
    </row>
    <row r="623" spans="1:2">
      <c r="A623" t="str">
        <f t="shared" ca="1" si="18"/>
        <v/>
      </c>
      <c r="B623">
        <f t="shared" ca="1" si="19"/>
        <v>0</v>
      </c>
    </row>
    <row r="624" spans="1:2">
      <c r="A624" t="str">
        <f t="shared" ca="1" si="18"/>
        <v/>
      </c>
      <c r="B624">
        <f t="shared" ca="1" si="19"/>
        <v>0</v>
      </c>
    </row>
    <row r="625" spans="1:2">
      <c r="A625" t="str">
        <f t="shared" ca="1" si="18"/>
        <v/>
      </c>
      <c r="B625">
        <f t="shared" ca="1" si="19"/>
        <v>0</v>
      </c>
    </row>
    <row r="626" spans="1:2">
      <c r="A626" t="str">
        <f t="shared" ca="1" si="18"/>
        <v/>
      </c>
      <c r="B626">
        <f t="shared" ca="1" si="19"/>
        <v>0</v>
      </c>
    </row>
    <row r="627" spans="1:2">
      <c r="A627" t="str">
        <f t="shared" ca="1" si="18"/>
        <v/>
      </c>
      <c r="B627">
        <f t="shared" ca="1" si="19"/>
        <v>0</v>
      </c>
    </row>
    <row r="628" spans="1:2">
      <c r="A628" t="str">
        <f t="shared" ca="1" si="18"/>
        <v/>
      </c>
      <c r="B628">
        <f t="shared" ca="1" si="19"/>
        <v>0</v>
      </c>
    </row>
    <row r="629" spans="1:2">
      <c r="A629" t="str">
        <f t="shared" ca="1" si="18"/>
        <v/>
      </c>
      <c r="B629">
        <f t="shared" ca="1" si="19"/>
        <v>0</v>
      </c>
    </row>
    <row r="630" spans="1:2">
      <c r="A630" t="str">
        <f t="shared" ca="1" si="18"/>
        <v/>
      </c>
      <c r="B630">
        <f t="shared" ca="1" si="19"/>
        <v>0</v>
      </c>
    </row>
    <row r="631" spans="1:2">
      <c r="A631" t="str">
        <f t="shared" ca="1" si="18"/>
        <v/>
      </c>
      <c r="B631">
        <f t="shared" ca="1" si="19"/>
        <v>0</v>
      </c>
    </row>
    <row r="632" spans="1:2">
      <c r="A632" t="str">
        <f t="shared" ca="1" si="18"/>
        <v/>
      </c>
      <c r="B632">
        <f t="shared" ca="1" si="19"/>
        <v>0</v>
      </c>
    </row>
    <row r="633" spans="1:2">
      <c r="A633" t="str">
        <f t="shared" ca="1" si="18"/>
        <v/>
      </c>
      <c r="B633">
        <f t="shared" ca="1" si="19"/>
        <v>0</v>
      </c>
    </row>
    <row r="634" spans="1:2">
      <c r="A634" t="str">
        <f t="shared" ca="1" si="18"/>
        <v/>
      </c>
      <c r="B634">
        <f t="shared" ca="1" si="19"/>
        <v>0</v>
      </c>
    </row>
    <row r="635" spans="1:2">
      <c r="A635" t="str">
        <f t="shared" ca="1" si="18"/>
        <v/>
      </c>
      <c r="B635">
        <f t="shared" ca="1" si="19"/>
        <v>0</v>
      </c>
    </row>
    <row r="636" spans="1:2">
      <c r="A636" t="str">
        <f t="shared" ca="1" si="18"/>
        <v/>
      </c>
      <c r="B636">
        <f t="shared" ca="1" si="19"/>
        <v>0</v>
      </c>
    </row>
    <row r="637" spans="1:2">
      <c r="A637" t="str">
        <f t="shared" ca="1" si="18"/>
        <v/>
      </c>
      <c r="B637">
        <f t="shared" ca="1" si="19"/>
        <v>0</v>
      </c>
    </row>
    <row r="638" spans="1:2">
      <c r="A638" t="str">
        <f t="shared" ca="1" si="18"/>
        <v/>
      </c>
      <c r="B638">
        <f t="shared" ca="1" si="19"/>
        <v>0</v>
      </c>
    </row>
    <row r="639" spans="1:2">
      <c r="A639" t="str">
        <f t="shared" ca="1" si="18"/>
        <v/>
      </c>
      <c r="B639">
        <f t="shared" ca="1" si="19"/>
        <v>0</v>
      </c>
    </row>
    <row r="640" spans="1:2">
      <c r="A640" t="str">
        <f t="shared" ca="1" si="18"/>
        <v/>
      </c>
      <c r="B640">
        <f t="shared" ca="1" si="19"/>
        <v>0</v>
      </c>
    </row>
    <row r="641" spans="1:2">
      <c r="A641" t="str">
        <f t="shared" ca="1" si="18"/>
        <v/>
      </c>
      <c r="B641">
        <f t="shared" ca="1" si="19"/>
        <v>0</v>
      </c>
    </row>
    <row r="642" spans="1:2">
      <c r="A642" t="str">
        <f t="shared" ref="A642:A705" ca="1" si="20">CONCATENATE(INDIRECT(ADDRESS(ROW(),3)))</f>
        <v/>
      </c>
      <c r="B642">
        <f t="shared" ref="B642:B705" ca="1" si="21">IF(IF(INDIRECT(ADDRESS(ROW(),1))&lt;&gt;"",IF(ISNA(MATCH(LEFT(INDIRECT(ADDRESS(ROW(),1)),2),PCNG_MN,0))=TRUE,1,0),0)+IF(INDIRECT(ADDRESS(ROW(),1))&lt;&gt;"",IF(ISNA(MATCH(LEFT(INDIRECT(ADDRESS(ROW(),1)),3),PCNG_MN,0))=TRUE,1,0),0)+IF(INDIRECT(ADDRESS(ROW(),1))&lt;&gt;"",IF(ISNA(MATCH(LEFT(INDIRECT(ADDRESS(ROW(),1)),4),PCNG_MN,0))=TRUE,1,0),0)&gt;=3,1,0)</f>
        <v>0</v>
      </c>
    </row>
    <row r="643" spans="1:2">
      <c r="A643" t="str">
        <f t="shared" ca="1" si="20"/>
        <v/>
      </c>
      <c r="B643">
        <f t="shared" ca="1" si="21"/>
        <v>0</v>
      </c>
    </row>
    <row r="644" spans="1:2">
      <c r="A644" t="str">
        <f t="shared" ca="1" si="20"/>
        <v/>
      </c>
      <c r="B644">
        <f t="shared" ca="1" si="21"/>
        <v>0</v>
      </c>
    </row>
    <row r="645" spans="1:2">
      <c r="A645" t="str">
        <f t="shared" ca="1" si="20"/>
        <v/>
      </c>
      <c r="B645">
        <f t="shared" ca="1" si="21"/>
        <v>0</v>
      </c>
    </row>
    <row r="646" spans="1:2">
      <c r="A646" t="str">
        <f t="shared" ca="1" si="20"/>
        <v/>
      </c>
      <c r="B646">
        <f t="shared" ca="1" si="21"/>
        <v>0</v>
      </c>
    </row>
    <row r="647" spans="1:2">
      <c r="A647" t="str">
        <f t="shared" ca="1" si="20"/>
        <v/>
      </c>
      <c r="B647">
        <f t="shared" ca="1" si="21"/>
        <v>0</v>
      </c>
    </row>
    <row r="648" spans="1:2">
      <c r="A648" t="str">
        <f t="shared" ca="1" si="20"/>
        <v/>
      </c>
      <c r="B648">
        <f t="shared" ca="1" si="21"/>
        <v>0</v>
      </c>
    </row>
    <row r="649" spans="1:2">
      <c r="A649" t="str">
        <f t="shared" ca="1" si="20"/>
        <v/>
      </c>
      <c r="B649">
        <f t="shared" ca="1" si="21"/>
        <v>0</v>
      </c>
    </row>
    <row r="650" spans="1:2">
      <c r="A650" t="str">
        <f t="shared" ca="1" si="20"/>
        <v/>
      </c>
      <c r="B650">
        <f t="shared" ca="1" si="21"/>
        <v>0</v>
      </c>
    </row>
    <row r="651" spans="1:2">
      <c r="A651" t="str">
        <f t="shared" ca="1" si="20"/>
        <v/>
      </c>
      <c r="B651">
        <f t="shared" ca="1" si="21"/>
        <v>0</v>
      </c>
    </row>
    <row r="652" spans="1:2">
      <c r="A652" t="str">
        <f t="shared" ca="1" si="20"/>
        <v/>
      </c>
      <c r="B652">
        <f t="shared" ca="1" si="21"/>
        <v>0</v>
      </c>
    </row>
    <row r="653" spans="1:2">
      <c r="A653" t="str">
        <f t="shared" ca="1" si="20"/>
        <v/>
      </c>
      <c r="B653">
        <f t="shared" ca="1" si="21"/>
        <v>0</v>
      </c>
    </row>
    <row r="654" spans="1:2">
      <c r="A654" t="str">
        <f t="shared" ca="1" si="20"/>
        <v/>
      </c>
      <c r="B654">
        <f t="shared" ca="1" si="21"/>
        <v>0</v>
      </c>
    </row>
    <row r="655" spans="1:2">
      <c r="A655" t="str">
        <f t="shared" ca="1" si="20"/>
        <v/>
      </c>
      <c r="B655">
        <f t="shared" ca="1" si="21"/>
        <v>0</v>
      </c>
    </row>
    <row r="656" spans="1:2">
      <c r="A656" t="str">
        <f t="shared" ca="1" si="20"/>
        <v/>
      </c>
      <c r="B656">
        <f t="shared" ca="1" si="21"/>
        <v>0</v>
      </c>
    </row>
    <row r="657" spans="1:2">
      <c r="A657" t="str">
        <f t="shared" ca="1" si="20"/>
        <v/>
      </c>
      <c r="B657">
        <f t="shared" ca="1" si="21"/>
        <v>0</v>
      </c>
    </row>
    <row r="658" spans="1:2">
      <c r="A658" t="str">
        <f t="shared" ca="1" si="20"/>
        <v/>
      </c>
      <c r="B658">
        <f t="shared" ca="1" si="21"/>
        <v>0</v>
      </c>
    </row>
    <row r="659" spans="1:2">
      <c r="A659" t="str">
        <f t="shared" ca="1" si="20"/>
        <v/>
      </c>
      <c r="B659">
        <f t="shared" ca="1" si="21"/>
        <v>0</v>
      </c>
    </row>
    <row r="660" spans="1:2">
      <c r="A660" t="str">
        <f t="shared" ca="1" si="20"/>
        <v/>
      </c>
      <c r="B660">
        <f t="shared" ca="1" si="21"/>
        <v>0</v>
      </c>
    </row>
    <row r="661" spans="1:2">
      <c r="A661" t="str">
        <f t="shared" ca="1" si="20"/>
        <v/>
      </c>
      <c r="B661">
        <f t="shared" ca="1" si="21"/>
        <v>0</v>
      </c>
    </row>
    <row r="662" spans="1:2">
      <c r="A662" t="str">
        <f t="shared" ca="1" si="20"/>
        <v/>
      </c>
      <c r="B662">
        <f t="shared" ca="1" si="21"/>
        <v>0</v>
      </c>
    </row>
    <row r="663" spans="1:2">
      <c r="A663" t="str">
        <f t="shared" ca="1" si="20"/>
        <v/>
      </c>
      <c r="B663">
        <f t="shared" ca="1" si="21"/>
        <v>0</v>
      </c>
    </row>
    <row r="664" spans="1:2">
      <c r="A664" t="str">
        <f t="shared" ca="1" si="20"/>
        <v/>
      </c>
      <c r="B664">
        <f t="shared" ca="1" si="21"/>
        <v>0</v>
      </c>
    </row>
    <row r="665" spans="1:2">
      <c r="A665" t="str">
        <f t="shared" ca="1" si="20"/>
        <v/>
      </c>
      <c r="B665">
        <f t="shared" ca="1" si="21"/>
        <v>0</v>
      </c>
    </row>
    <row r="666" spans="1:2">
      <c r="A666" t="str">
        <f t="shared" ca="1" si="20"/>
        <v/>
      </c>
      <c r="B666">
        <f t="shared" ca="1" si="21"/>
        <v>0</v>
      </c>
    </row>
    <row r="667" spans="1:2">
      <c r="A667" t="str">
        <f t="shared" ca="1" si="20"/>
        <v/>
      </c>
      <c r="B667">
        <f t="shared" ca="1" si="21"/>
        <v>0</v>
      </c>
    </row>
    <row r="668" spans="1:2">
      <c r="A668" t="str">
        <f t="shared" ca="1" si="20"/>
        <v/>
      </c>
      <c r="B668">
        <f t="shared" ca="1" si="21"/>
        <v>0</v>
      </c>
    </row>
    <row r="669" spans="1:2">
      <c r="A669" t="str">
        <f t="shared" ca="1" si="20"/>
        <v/>
      </c>
      <c r="B669">
        <f t="shared" ca="1" si="21"/>
        <v>0</v>
      </c>
    </row>
    <row r="670" spans="1:2">
      <c r="A670" t="str">
        <f t="shared" ca="1" si="20"/>
        <v/>
      </c>
      <c r="B670">
        <f t="shared" ca="1" si="21"/>
        <v>0</v>
      </c>
    </row>
    <row r="671" spans="1:2">
      <c r="A671" t="str">
        <f t="shared" ca="1" si="20"/>
        <v/>
      </c>
      <c r="B671">
        <f t="shared" ca="1" si="21"/>
        <v>0</v>
      </c>
    </row>
    <row r="672" spans="1:2">
      <c r="A672" t="str">
        <f t="shared" ca="1" si="20"/>
        <v/>
      </c>
      <c r="B672">
        <f t="shared" ca="1" si="21"/>
        <v>0</v>
      </c>
    </row>
    <row r="673" spans="1:2">
      <c r="A673" t="str">
        <f t="shared" ca="1" si="20"/>
        <v/>
      </c>
      <c r="B673">
        <f t="shared" ca="1" si="21"/>
        <v>0</v>
      </c>
    </row>
    <row r="674" spans="1:2">
      <c r="A674" t="str">
        <f t="shared" ca="1" si="20"/>
        <v/>
      </c>
      <c r="B674">
        <f t="shared" ca="1" si="21"/>
        <v>0</v>
      </c>
    </row>
    <row r="675" spans="1:2">
      <c r="A675" t="str">
        <f t="shared" ca="1" si="20"/>
        <v/>
      </c>
      <c r="B675">
        <f t="shared" ca="1" si="21"/>
        <v>0</v>
      </c>
    </row>
    <row r="676" spans="1:2">
      <c r="A676" t="str">
        <f t="shared" ca="1" si="20"/>
        <v/>
      </c>
      <c r="B676">
        <f t="shared" ca="1" si="21"/>
        <v>0</v>
      </c>
    </row>
    <row r="677" spans="1:2">
      <c r="A677" t="str">
        <f t="shared" ca="1" si="20"/>
        <v/>
      </c>
      <c r="B677">
        <f t="shared" ca="1" si="21"/>
        <v>0</v>
      </c>
    </row>
    <row r="678" spans="1:2">
      <c r="A678" t="str">
        <f t="shared" ca="1" si="20"/>
        <v/>
      </c>
      <c r="B678">
        <f t="shared" ca="1" si="21"/>
        <v>0</v>
      </c>
    </row>
    <row r="679" spans="1:2">
      <c r="A679" t="str">
        <f t="shared" ca="1" si="20"/>
        <v/>
      </c>
      <c r="B679">
        <f t="shared" ca="1" si="21"/>
        <v>0</v>
      </c>
    </row>
    <row r="680" spans="1:2">
      <c r="A680" t="str">
        <f t="shared" ca="1" si="20"/>
        <v/>
      </c>
      <c r="B680">
        <f t="shared" ca="1" si="21"/>
        <v>0</v>
      </c>
    </row>
    <row r="681" spans="1:2">
      <c r="A681" t="str">
        <f t="shared" ca="1" si="20"/>
        <v/>
      </c>
      <c r="B681">
        <f t="shared" ca="1" si="21"/>
        <v>0</v>
      </c>
    </row>
    <row r="682" spans="1:2">
      <c r="A682" t="str">
        <f t="shared" ca="1" si="20"/>
        <v/>
      </c>
      <c r="B682">
        <f t="shared" ca="1" si="21"/>
        <v>0</v>
      </c>
    </row>
    <row r="683" spans="1:2">
      <c r="A683" t="str">
        <f t="shared" ca="1" si="20"/>
        <v/>
      </c>
      <c r="B683">
        <f t="shared" ca="1" si="21"/>
        <v>0</v>
      </c>
    </row>
    <row r="684" spans="1:2">
      <c r="A684" t="str">
        <f t="shared" ca="1" si="20"/>
        <v/>
      </c>
      <c r="B684">
        <f t="shared" ca="1" si="21"/>
        <v>0</v>
      </c>
    </row>
    <row r="685" spans="1:2">
      <c r="A685" t="str">
        <f t="shared" ca="1" si="20"/>
        <v/>
      </c>
      <c r="B685">
        <f t="shared" ca="1" si="21"/>
        <v>0</v>
      </c>
    </row>
    <row r="686" spans="1:2">
      <c r="A686" t="str">
        <f t="shared" ca="1" si="20"/>
        <v/>
      </c>
      <c r="B686">
        <f t="shared" ca="1" si="21"/>
        <v>0</v>
      </c>
    </row>
    <row r="687" spans="1:2">
      <c r="A687" t="str">
        <f t="shared" ca="1" si="20"/>
        <v/>
      </c>
      <c r="B687">
        <f t="shared" ca="1" si="21"/>
        <v>0</v>
      </c>
    </row>
    <row r="688" spans="1:2">
      <c r="A688" t="str">
        <f t="shared" ca="1" si="20"/>
        <v/>
      </c>
      <c r="B688">
        <f t="shared" ca="1" si="21"/>
        <v>0</v>
      </c>
    </row>
    <row r="689" spans="1:2">
      <c r="A689" t="str">
        <f t="shared" ca="1" si="20"/>
        <v/>
      </c>
      <c r="B689">
        <f t="shared" ca="1" si="21"/>
        <v>0</v>
      </c>
    </row>
    <row r="690" spans="1:2">
      <c r="A690" t="str">
        <f t="shared" ca="1" si="20"/>
        <v/>
      </c>
      <c r="B690">
        <f t="shared" ca="1" si="21"/>
        <v>0</v>
      </c>
    </row>
    <row r="691" spans="1:2">
      <c r="A691" t="str">
        <f t="shared" ca="1" si="20"/>
        <v/>
      </c>
      <c r="B691">
        <f t="shared" ca="1" si="21"/>
        <v>0</v>
      </c>
    </row>
    <row r="692" spans="1:2">
      <c r="A692" t="str">
        <f t="shared" ca="1" si="20"/>
        <v/>
      </c>
      <c r="B692">
        <f t="shared" ca="1" si="21"/>
        <v>0</v>
      </c>
    </row>
    <row r="693" spans="1:2">
      <c r="A693" t="str">
        <f t="shared" ca="1" si="20"/>
        <v/>
      </c>
      <c r="B693">
        <f t="shared" ca="1" si="21"/>
        <v>0</v>
      </c>
    </row>
    <row r="694" spans="1:2">
      <c r="A694" t="str">
        <f t="shared" ca="1" si="20"/>
        <v/>
      </c>
      <c r="B694">
        <f t="shared" ca="1" si="21"/>
        <v>0</v>
      </c>
    </row>
    <row r="695" spans="1:2">
      <c r="A695" t="str">
        <f t="shared" ca="1" si="20"/>
        <v/>
      </c>
      <c r="B695">
        <f t="shared" ca="1" si="21"/>
        <v>0</v>
      </c>
    </row>
    <row r="696" spans="1:2">
      <c r="A696" t="str">
        <f t="shared" ca="1" si="20"/>
        <v/>
      </c>
      <c r="B696">
        <f t="shared" ca="1" si="21"/>
        <v>0</v>
      </c>
    </row>
    <row r="697" spans="1:2">
      <c r="A697" t="str">
        <f t="shared" ca="1" si="20"/>
        <v/>
      </c>
      <c r="B697">
        <f t="shared" ca="1" si="21"/>
        <v>0</v>
      </c>
    </row>
    <row r="698" spans="1:2">
      <c r="A698" t="str">
        <f t="shared" ca="1" si="20"/>
        <v/>
      </c>
      <c r="B698">
        <f t="shared" ca="1" si="21"/>
        <v>0</v>
      </c>
    </row>
    <row r="699" spans="1:2">
      <c r="A699" t="str">
        <f t="shared" ca="1" si="20"/>
        <v/>
      </c>
      <c r="B699">
        <f t="shared" ca="1" si="21"/>
        <v>0</v>
      </c>
    </row>
    <row r="700" spans="1:2">
      <c r="A700" t="str">
        <f t="shared" ca="1" si="20"/>
        <v/>
      </c>
      <c r="B700">
        <f t="shared" ca="1" si="21"/>
        <v>0</v>
      </c>
    </row>
    <row r="701" spans="1:2">
      <c r="A701" t="str">
        <f t="shared" ca="1" si="20"/>
        <v/>
      </c>
      <c r="B701">
        <f t="shared" ca="1" si="21"/>
        <v>0</v>
      </c>
    </row>
    <row r="702" spans="1:2">
      <c r="A702" t="str">
        <f t="shared" ca="1" si="20"/>
        <v/>
      </c>
      <c r="B702">
        <f t="shared" ca="1" si="21"/>
        <v>0</v>
      </c>
    </row>
    <row r="703" spans="1:2">
      <c r="A703" t="str">
        <f t="shared" ca="1" si="20"/>
        <v/>
      </c>
      <c r="B703">
        <f t="shared" ca="1" si="21"/>
        <v>0</v>
      </c>
    </row>
    <row r="704" spans="1:2">
      <c r="A704" t="str">
        <f t="shared" ca="1" si="20"/>
        <v/>
      </c>
      <c r="B704">
        <f t="shared" ca="1" si="21"/>
        <v>0</v>
      </c>
    </row>
    <row r="705" spans="1:2">
      <c r="A705" t="str">
        <f t="shared" ca="1" si="20"/>
        <v/>
      </c>
      <c r="B705">
        <f t="shared" ca="1" si="21"/>
        <v>0</v>
      </c>
    </row>
    <row r="706" spans="1:2">
      <c r="A706" t="str">
        <f t="shared" ref="A706:A769" ca="1" si="22">CONCATENATE(INDIRECT(ADDRESS(ROW(),3)))</f>
        <v/>
      </c>
      <c r="B706">
        <f t="shared" ref="B706:B769" ca="1" si="23">IF(IF(INDIRECT(ADDRESS(ROW(),1))&lt;&gt;"",IF(ISNA(MATCH(LEFT(INDIRECT(ADDRESS(ROW(),1)),2),PCNG_MN,0))=TRUE,1,0),0)+IF(INDIRECT(ADDRESS(ROW(),1))&lt;&gt;"",IF(ISNA(MATCH(LEFT(INDIRECT(ADDRESS(ROW(),1)),3),PCNG_MN,0))=TRUE,1,0),0)+IF(INDIRECT(ADDRESS(ROW(),1))&lt;&gt;"",IF(ISNA(MATCH(LEFT(INDIRECT(ADDRESS(ROW(),1)),4),PCNG_MN,0))=TRUE,1,0),0)&gt;=3,1,0)</f>
        <v>0</v>
      </c>
    </row>
    <row r="707" spans="1:2">
      <c r="A707" t="str">
        <f t="shared" ca="1" si="22"/>
        <v/>
      </c>
      <c r="B707">
        <f t="shared" ca="1" si="23"/>
        <v>0</v>
      </c>
    </row>
    <row r="708" spans="1:2">
      <c r="A708" t="str">
        <f t="shared" ca="1" si="22"/>
        <v/>
      </c>
      <c r="B708">
        <f t="shared" ca="1" si="23"/>
        <v>0</v>
      </c>
    </row>
    <row r="709" spans="1:2">
      <c r="A709" t="str">
        <f t="shared" ca="1" si="22"/>
        <v/>
      </c>
      <c r="B709">
        <f t="shared" ca="1" si="23"/>
        <v>0</v>
      </c>
    </row>
    <row r="710" spans="1:2">
      <c r="A710" t="str">
        <f t="shared" ca="1" si="22"/>
        <v/>
      </c>
      <c r="B710">
        <f t="shared" ca="1" si="23"/>
        <v>0</v>
      </c>
    </row>
    <row r="711" spans="1:2">
      <c r="A711" t="str">
        <f t="shared" ca="1" si="22"/>
        <v/>
      </c>
      <c r="B711">
        <f t="shared" ca="1" si="23"/>
        <v>0</v>
      </c>
    </row>
    <row r="712" spans="1:2">
      <c r="A712" t="str">
        <f t="shared" ca="1" si="22"/>
        <v/>
      </c>
      <c r="B712">
        <f t="shared" ca="1" si="23"/>
        <v>0</v>
      </c>
    </row>
    <row r="713" spans="1:2">
      <c r="A713" t="str">
        <f t="shared" ca="1" si="22"/>
        <v/>
      </c>
      <c r="B713">
        <f t="shared" ca="1" si="23"/>
        <v>0</v>
      </c>
    </row>
    <row r="714" spans="1:2">
      <c r="A714" t="str">
        <f t="shared" ca="1" si="22"/>
        <v/>
      </c>
      <c r="B714">
        <f t="shared" ca="1" si="23"/>
        <v>0</v>
      </c>
    </row>
    <row r="715" spans="1:2">
      <c r="A715" t="str">
        <f t="shared" ca="1" si="22"/>
        <v/>
      </c>
      <c r="B715">
        <f t="shared" ca="1" si="23"/>
        <v>0</v>
      </c>
    </row>
    <row r="716" spans="1:2">
      <c r="A716" t="str">
        <f t="shared" ca="1" si="22"/>
        <v/>
      </c>
      <c r="B716">
        <f t="shared" ca="1" si="23"/>
        <v>0</v>
      </c>
    </row>
    <row r="717" spans="1:2">
      <c r="A717" t="str">
        <f t="shared" ca="1" si="22"/>
        <v/>
      </c>
      <c r="B717">
        <f t="shared" ca="1" si="23"/>
        <v>0</v>
      </c>
    </row>
    <row r="718" spans="1:2">
      <c r="A718" t="str">
        <f t="shared" ca="1" si="22"/>
        <v/>
      </c>
      <c r="B718">
        <f t="shared" ca="1" si="23"/>
        <v>0</v>
      </c>
    </row>
    <row r="719" spans="1:2">
      <c r="A719" t="str">
        <f t="shared" ca="1" si="22"/>
        <v/>
      </c>
      <c r="B719">
        <f t="shared" ca="1" si="23"/>
        <v>0</v>
      </c>
    </row>
    <row r="720" spans="1:2">
      <c r="A720" t="str">
        <f t="shared" ca="1" si="22"/>
        <v/>
      </c>
      <c r="B720">
        <f t="shared" ca="1" si="23"/>
        <v>0</v>
      </c>
    </row>
    <row r="721" spans="1:2">
      <c r="A721" t="str">
        <f t="shared" ca="1" si="22"/>
        <v/>
      </c>
      <c r="B721">
        <f t="shared" ca="1" si="23"/>
        <v>0</v>
      </c>
    </row>
    <row r="722" spans="1:2">
      <c r="A722" t="str">
        <f t="shared" ca="1" si="22"/>
        <v/>
      </c>
      <c r="B722">
        <f t="shared" ca="1" si="23"/>
        <v>0</v>
      </c>
    </row>
    <row r="723" spans="1:2">
      <c r="A723" t="str">
        <f t="shared" ca="1" si="22"/>
        <v/>
      </c>
      <c r="B723">
        <f t="shared" ca="1" si="23"/>
        <v>0</v>
      </c>
    </row>
    <row r="724" spans="1:2">
      <c r="A724" t="str">
        <f t="shared" ca="1" si="22"/>
        <v/>
      </c>
      <c r="B724">
        <f t="shared" ca="1" si="23"/>
        <v>0</v>
      </c>
    </row>
    <row r="725" spans="1:2">
      <c r="A725" t="str">
        <f t="shared" ca="1" si="22"/>
        <v/>
      </c>
      <c r="B725">
        <f t="shared" ca="1" si="23"/>
        <v>0</v>
      </c>
    </row>
    <row r="726" spans="1:2">
      <c r="A726" t="str">
        <f t="shared" ca="1" si="22"/>
        <v/>
      </c>
      <c r="B726">
        <f t="shared" ca="1" si="23"/>
        <v>0</v>
      </c>
    </row>
    <row r="727" spans="1:2">
      <c r="A727" t="str">
        <f t="shared" ca="1" si="22"/>
        <v/>
      </c>
      <c r="B727">
        <f t="shared" ca="1" si="23"/>
        <v>0</v>
      </c>
    </row>
    <row r="728" spans="1:2">
      <c r="A728" t="str">
        <f t="shared" ca="1" si="22"/>
        <v/>
      </c>
      <c r="B728">
        <f t="shared" ca="1" si="23"/>
        <v>0</v>
      </c>
    </row>
    <row r="729" spans="1:2">
      <c r="A729" t="str">
        <f t="shared" ca="1" si="22"/>
        <v/>
      </c>
      <c r="B729">
        <f t="shared" ca="1" si="23"/>
        <v>0</v>
      </c>
    </row>
    <row r="730" spans="1:2">
      <c r="A730" t="str">
        <f t="shared" ca="1" si="22"/>
        <v/>
      </c>
      <c r="B730">
        <f t="shared" ca="1" si="23"/>
        <v>0</v>
      </c>
    </row>
    <row r="731" spans="1:2">
      <c r="A731" t="str">
        <f t="shared" ca="1" si="22"/>
        <v/>
      </c>
      <c r="B731">
        <f t="shared" ca="1" si="23"/>
        <v>0</v>
      </c>
    </row>
    <row r="732" spans="1:2">
      <c r="A732" t="str">
        <f t="shared" ca="1" si="22"/>
        <v/>
      </c>
      <c r="B732">
        <f t="shared" ca="1" si="23"/>
        <v>0</v>
      </c>
    </row>
    <row r="733" spans="1:2">
      <c r="A733" t="str">
        <f t="shared" ca="1" si="22"/>
        <v/>
      </c>
      <c r="B733">
        <f t="shared" ca="1" si="23"/>
        <v>0</v>
      </c>
    </row>
    <row r="734" spans="1:2">
      <c r="A734" t="str">
        <f t="shared" ca="1" si="22"/>
        <v/>
      </c>
      <c r="B734">
        <f t="shared" ca="1" si="23"/>
        <v>0</v>
      </c>
    </row>
    <row r="735" spans="1:2">
      <c r="A735" t="str">
        <f t="shared" ca="1" si="22"/>
        <v/>
      </c>
      <c r="B735">
        <f t="shared" ca="1" si="23"/>
        <v>0</v>
      </c>
    </row>
    <row r="736" spans="1:2">
      <c r="A736" t="str">
        <f t="shared" ca="1" si="22"/>
        <v/>
      </c>
      <c r="B736">
        <f t="shared" ca="1" si="23"/>
        <v>0</v>
      </c>
    </row>
    <row r="737" spans="1:2">
      <c r="A737" t="str">
        <f t="shared" ca="1" si="22"/>
        <v/>
      </c>
      <c r="B737">
        <f t="shared" ca="1" si="23"/>
        <v>0</v>
      </c>
    </row>
    <row r="738" spans="1:2">
      <c r="A738" t="str">
        <f t="shared" ca="1" si="22"/>
        <v/>
      </c>
      <c r="B738">
        <f t="shared" ca="1" si="23"/>
        <v>0</v>
      </c>
    </row>
    <row r="739" spans="1:2">
      <c r="A739" t="str">
        <f t="shared" ca="1" si="22"/>
        <v/>
      </c>
      <c r="B739">
        <f t="shared" ca="1" si="23"/>
        <v>0</v>
      </c>
    </row>
    <row r="740" spans="1:2">
      <c r="A740" t="str">
        <f t="shared" ca="1" si="22"/>
        <v/>
      </c>
      <c r="B740">
        <f t="shared" ca="1" si="23"/>
        <v>0</v>
      </c>
    </row>
    <row r="741" spans="1:2">
      <c r="A741" t="str">
        <f t="shared" ca="1" si="22"/>
        <v/>
      </c>
      <c r="B741">
        <f t="shared" ca="1" si="23"/>
        <v>0</v>
      </c>
    </row>
    <row r="742" spans="1:2">
      <c r="A742" t="str">
        <f t="shared" ca="1" si="22"/>
        <v/>
      </c>
      <c r="B742">
        <f t="shared" ca="1" si="23"/>
        <v>0</v>
      </c>
    </row>
    <row r="743" spans="1:2">
      <c r="A743" t="str">
        <f t="shared" ca="1" si="22"/>
        <v/>
      </c>
      <c r="B743">
        <f t="shared" ca="1" si="23"/>
        <v>0</v>
      </c>
    </row>
    <row r="744" spans="1:2">
      <c r="A744" t="str">
        <f t="shared" ca="1" si="22"/>
        <v/>
      </c>
      <c r="B744">
        <f t="shared" ca="1" si="23"/>
        <v>0</v>
      </c>
    </row>
    <row r="745" spans="1:2">
      <c r="A745" t="str">
        <f t="shared" ca="1" si="22"/>
        <v/>
      </c>
      <c r="B745">
        <f t="shared" ca="1" si="23"/>
        <v>0</v>
      </c>
    </row>
    <row r="746" spans="1:2">
      <c r="A746" t="str">
        <f t="shared" ca="1" si="22"/>
        <v/>
      </c>
      <c r="B746">
        <f t="shared" ca="1" si="23"/>
        <v>0</v>
      </c>
    </row>
    <row r="747" spans="1:2">
      <c r="A747" t="str">
        <f t="shared" ca="1" si="22"/>
        <v/>
      </c>
      <c r="B747">
        <f t="shared" ca="1" si="23"/>
        <v>0</v>
      </c>
    </row>
    <row r="748" spans="1:2">
      <c r="A748" t="str">
        <f t="shared" ca="1" si="22"/>
        <v/>
      </c>
      <c r="B748">
        <f t="shared" ca="1" si="23"/>
        <v>0</v>
      </c>
    </row>
    <row r="749" spans="1:2">
      <c r="A749" t="str">
        <f t="shared" ca="1" si="22"/>
        <v/>
      </c>
      <c r="B749">
        <f t="shared" ca="1" si="23"/>
        <v>0</v>
      </c>
    </row>
    <row r="750" spans="1:2">
      <c r="A750" t="str">
        <f t="shared" ca="1" si="22"/>
        <v/>
      </c>
      <c r="B750">
        <f t="shared" ca="1" si="23"/>
        <v>0</v>
      </c>
    </row>
    <row r="751" spans="1:2">
      <c r="A751" t="str">
        <f t="shared" ca="1" si="22"/>
        <v/>
      </c>
      <c r="B751">
        <f t="shared" ca="1" si="23"/>
        <v>0</v>
      </c>
    </row>
    <row r="752" spans="1:2">
      <c r="A752" t="str">
        <f t="shared" ca="1" si="22"/>
        <v/>
      </c>
      <c r="B752">
        <f t="shared" ca="1" si="23"/>
        <v>0</v>
      </c>
    </row>
    <row r="753" spans="1:2">
      <c r="A753" t="str">
        <f t="shared" ca="1" si="22"/>
        <v/>
      </c>
      <c r="B753">
        <f t="shared" ca="1" si="23"/>
        <v>0</v>
      </c>
    </row>
    <row r="754" spans="1:2">
      <c r="A754" t="str">
        <f t="shared" ca="1" si="22"/>
        <v/>
      </c>
      <c r="B754">
        <f t="shared" ca="1" si="23"/>
        <v>0</v>
      </c>
    </row>
    <row r="755" spans="1:2">
      <c r="A755" t="str">
        <f t="shared" ca="1" si="22"/>
        <v/>
      </c>
      <c r="B755">
        <f t="shared" ca="1" si="23"/>
        <v>0</v>
      </c>
    </row>
    <row r="756" spans="1:2">
      <c r="A756" t="str">
        <f t="shared" ca="1" si="22"/>
        <v/>
      </c>
      <c r="B756">
        <f t="shared" ca="1" si="23"/>
        <v>0</v>
      </c>
    </row>
    <row r="757" spans="1:2">
      <c r="A757" t="str">
        <f t="shared" ca="1" si="22"/>
        <v/>
      </c>
      <c r="B757">
        <f t="shared" ca="1" si="23"/>
        <v>0</v>
      </c>
    </row>
    <row r="758" spans="1:2">
      <c r="A758" t="str">
        <f t="shared" ca="1" si="22"/>
        <v/>
      </c>
      <c r="B758">
        <f t="shared" ca="1" si="23"/>
        <v>0</v>
      </c>
    </row>
    <row r="759" spans="1:2">
      <c r="A759" t="str">
        <f t="shared" ca="1" si="22"/>
        <v/>
      </c>
      <c r="B759">
        <f t="shared" ca="1" si="23"/>
        <v>0</v>
      </c>
    </row>
    <row r="760" spans="1:2">
      <c r="A760" t="str">
        <f t="shared" ca="1" si="22"/>
        <v/>
      </c>
      <c r="B760">
        <f t="shared" ca="1" si="23"/>
        <v>0</v>
      </c>
    </row>
    <row r="761" spans="1:2">
      <c r="A761" t="str">
        <f t="shared" ca="1" si="22"/>
        <v/>
      </c>
      <c r="B761">
        <f t="shared" ca="1" si="23"/>
        <v>0</v>
      </c>
    </row>
    <row r="762" spans="1:2">
      <c r="A762" t="str">
        <f t="shared" ca="1" si="22"/>
        <v/>
      </c>
      <c r="B762">
        <f t="shared" ca="1" si="23"/>
        <v>0</v>
      </c>
    </row>
    <row r="763" spans="1:2">
      <c r="A763" t="str">
        <f t="shared" ca="1" si="22"/>
        <v/>
      </c>
      <c r="B763">
        <f t="shared" ca="1" si="23"/>
        <v>0</v>
      </c>
    </row>
    <row r="764" spans="1:2">
      <c r="A764" t="str">
        <f t="shared" ca="1" si="22"/>
        <v/>
      </c>
      <c r="B764">
        <f t="shared" ca="1" si="23"/>
        <v>0</v>
      </c>
    </row>
    <row r="765" spans="1:2">
      <c r="A765" t="str">
        <f t="shared" ca="1" si="22"/>
        <v/>
      </c>
      <c r="B765">
        <f t="shared" ca="1" si="23"/>
        <v>0</v>
      </c>
    </row>
    <row r="766" spans="1:2">
      <c r="A766" t="str">
        <f t="shared" ca="1" si="22"/>
        <v/>
      </c>
      <c r="B766">
        <f t="shared" ca="1" si="23"/>
        <v>0</v>
      </c>
    </row>
    <row r="767" spans="1:2">
      <c r="A767" t="str">
        <f t="shared" ca="1" si="22"/>
        <v/>
      </c>
      <c r="B767">
        <f t="shared" ca="1" si="23"/>
        <v>0</v>
      </c>
    </row>
    <row r="768" spans="1:2">
      <c r="A768" t="str">
        <f t="shared" ca="1" si="22"/>
        <v/>
      </c>
      <c r="B768">
        <f t="shared" ca="1" si="23"/>
        <v>0</v>
      </c>
    </row>
    <row r="769" spans="1:2">
      <c r="A769" t="str">
        <f t="shared" ca="1" si="22"/>
        <v/>
      </c>
      <c r="B769">
        <f t="shared" ca="1" si="23"/>
        <v>0</v>
      </c>
    </row>
    <row r="770" spans="1:2">
      <c r="A770" t="str">
        <f t="shared" ref="A770:A833" ca="1" si="24">CONCATENATE(INDIRECT(ADDRESS(ROW(),3)))</f>
        <v/>
      </c>
      <c r="B770">
        <f t="shared" ref="B770:B833" ca="1" si="25">IF(IF(INDIRECT(ADDRESS(ROW(),1))&lt;&gt;"",IF(ISNA(MATCH(LEFT(INDIRECT(ADDRESS(ROW(),1)),2),PCNG_MN,0))=TRUE,1,0),0)+IF(INDIRECT(ADDRESS(ROW(),1))&lt;&gt;"",IF(ISNA(MATCH(LEFT(INDIRECT(ADDRESS(ROW(),1)),3),PCNG_MN,0))=TRUE,1,0),0)+IF(INDIRECT(ADDRESS(ROW(),1))&lt;&gt;"",IF(ISNA(MATCH(LEFT(INDIRECT(ADDRESS(ROW(),1)),4),PCNG_MN,0))=TRUE,1,0),0)&gt;=3,1,0)</f>
        <v>0</v>
      </c>
    </row>
    <row r="771" spans="1:2">
      <c r="A771" t="str">
        <f t="shared" ca="1" si="24"/>
        <v/>
      </c>
      <c r="B771">
        <f t="shared" ca="1" si="25"/>
        <v>0</v>
      </c>
    </row>
    <row r="772" spans="1:2">
      <c r="A772" t="str">
        <f t="shared" ca="1" si="24"/>
        <v/>
      </c>
      <c r="B772">
        <f t="shared" ca="1" si="25"/>
        <v>0</v>
      </c>
    </row>
    <row r="773" spans="1:2">
      <c r="A773" t="str">
        <f t="shared" ca="1" si="24"/>
        <v/>
      </c>
      <c r="B773">
        <f t="shared" ca="1" si="25"/>
        <v>0</v>
      </c>
    </row>
    <row r="774" spans="1:2">
      <c r="A774" t="str">
        <f t="shared" ca="1" si="24"/>
        <v/>
      </c>
      <c r="B774">
        <f t="shared" ca="1" si="25"/>
        <v>0</v>
      </c>
    </row>
    <row r="775" spans="1:2">
      <c r="A775" t="str">
        <f t="shared" ca="1" si="24"/>
        <v/>
      </c>
      <c r="B775">
        <f t="shared" ca="1" si="25"/>
        <v>0</v>
      </c>
    </row>
    <row r="776" spans="1:2">
      <c r="A776" t="str">
        <f t="shared" ca="1" si="24"/>
        <v/>
      </c>
      <c r="B776">
        <f t="shared" ca="1" si="25"/>
        <v>0</v>
      </c>
    </row>
    <row r="777" spans="1:2">
      <c r="A777" t="str">
        <f t="shared" ca="1" si="24"/>
        <v/>
      </c>
      <c r="B777">
        <f t="shared" ca="1" si="25"/>
        <v>0</v>
      </c>
    </row>
    <row r="778" spans="1:2">
      <c r="A778" t="str">
        <f t="shared" ca="1" si="24"/>
        <v/>
      </c>
      <c r="B778">
        <f t="shared" ca="1" si="25"/>
        <v>0</v>
      </c>
    </row>
    <row r="779" spans="1:2">
      <c r="A779" t="str">
        <f t="shared" ca="1" si="24"/>
        <v/>
      </c>
      <c r="B779">
        <f t="shared" ca="1" si="25"/>
        <v>0</v>
      </c>
    </row>
    <row r="780" spans="1:2">
      <c r="A780" t="str">
        <f t="shared" ca="1" si="24"/>
        <v/>
      </c>
      <c r="B780">
        <f t="shared" ca="1" si="25"/>
        <v>0</v>
      </c>
    </row>
    <row r="781" spans="1:2">
      <c r="A781" t="str">
        <f t="shared" ca="1" si="24"/>
        <v/>
      </c>
      <c r="B781">
        <f t="shared" ca="1" si="25"/>
        <v>0</v>
      </c>
    </row>
    <row r="782" spans="1:2">
      <c r="A782" t="str">
        <f t="shared" ca="1" si="24"/>
        <v/>
      </c>
      <c r="B782">
        <f t="shared" ca="1" si="25"/>
        <v>0</v>
      </c>
    </row>
    <row r="783" spans="1:2">
      <c r="A783" t="str">
        <f t="shared" ca="1" si="24"/>
        <v/>
      </c>
      <c r="B783">
        <f t="shared" ca="1" si="25"/>
        <v>0</v>
      </c>
    </row>
    <row r="784" spans="1:2">
      <c r="A784" t="str">
        <f t="shared" ca="1" si="24"/>
        <v/>
      </c>
      <c r="B784">
        <f t="shared" ca="1" si="25"/>
        <v>0</v>
      </c>
    </row>
    <row r="785" spans="1:2">
      <c r="A785" t="str">
        <f t="shared" ca="1" si="24"/>
        <v/>
      </c>
      <c r="B785">
        <f t="shared" ca="1" si="25"/>
        <v>0</v>
      </c>
    </row>
    <row r="786" spans="1:2">
      <c r="A786" t="str">
        <f t="shared" ca="1" si="24"/>
        <v/>
      </c>
      <c r="B786">
        <f t="shared" ca="1" si="25"/>
        <v>0</v>
      </c>
    </row>
    <row r="787" spans="1:2">
      <c r="A787" t="str">
        <f t="shared" ca="1" si="24"/>
        <v/>
      </c>
      <c r="B787">
        <f t="shared" ca="1" si="25"/>
        <v>0</v>
      </c>
    </row>
    <row r="788" spans="1:2">
      <c r="A788" t="str">
        <f t="shared" ca="1" si="24"/>
        <v/>
      </c>
      <c r="B788">
        <f t="shared" ca="1" si="25"/>
        <v>0</v>
      </c>
    </row>
    <row r="789" spans="1:2">
      <c r="A789" t="str">
        <f t="shared" ca="1" si="24"/>
        <v/>
      </c>
      <c r="B789">
        <f t="shared" ca="1" si="25"/>
        <v>0</v>
      </c>
    </row>
    <row r="790" spans="1:2">
      <c r="A790" t="str">
        <f t="shared" ca="1" si="24"/>
        <v/>
      </c>
      <c r="B790">
        <f t="shared" ca="1" si="25"/>
        <v>0</v>
      </c>
    </row>
    <row r="791" spans="1:2">
      <c r="A791" t="str">
        <f t="shared" ca="1" si="24"/>
        <v/>
      </c>
      <c r="B791">
        <f t="shared" ca="1" si="25"/>
        <v>0</v>
      </c>
    </row>
    <row r="792" spans="1:2">
      <c r="A792" t="str">
        <f t="shared" ca="1" si="24"/>
        <v/>
      </c>
      <c r="B792">
        <f t="shared" ca="1" si="25"/>
        <v>0</v>
      </c>
    </row>
    <row r="793" spans="1:2">
      <c r="A793" t="str">
        <f t="shared" ca="1" si="24"/>
        <v/>
      </c>
      <c r="B793">
        <f t="shared" ca="1" si="25"/>
        <v>0</v>
      </c>
    </row>
    <row r="794" spans="1:2">
      <c r="A794" t="str">
        <f t="shared" ca="1" si="24"/>
        <v/>
      </c>
      <c r="B794">
        <f t="shared" ca="1" si="25"/>
        <v>0</v>
      </c>
    </row>
    <row r="795" spans="1:2">
      <c r="A795" t="str">
        <f t="shared" ca="1" si="24"/>
        <v/>
      </c>
      <c r="B795">
        <f t="shared" ca="1" si="25"/>
        <v>0</v>
      </c>
    </row>
    <row r="796" spans="1:2">
      <c r="A796" t="str">
        <f t="shared" ca="1" si="24"/>
        <v/>
      </c>
      <c r="B796">
        <f t="shared" ca="1" si="25"/>
        <v>0</v>
      </c>
    </row>
    <row r="797" spans="1:2">
      <c r="A797" t="str">
        <f t="shared" ca="1" si="24"/>
        <v/>
      </c>
      <c r="B797">
        <f t="shared" ca="1" si="25"/>
        <v>0</v>
      </c>
    </row>
    <row r="798" spans="1:2">
      <c r="A798" t="str">
        <f t="shared" ca="1" si="24"/>
        <v/>
      </c>
      <c r="B798">
        <f t="shared" ca="1" si="25"/>
        <v>0</v>
      </c>
    </row>
    <row r="799" spans="1:2">
      <c r="A799" t="str">
        <f t="shared" ca="1" si="24"/>
        <v/>
      </c>
      <c r="B799">
        <f t="shared" ca="1" si="25"/>
        <v>0</v>
      </c>
    </row>
    <row r="800" spans="1:2">
      <c r="A800" t="str">
        <f t="shared" ca="1" si="24"/>
        <v/>
      </c>
      <c r="B800">
        <f t="shared" ca="1" si="25"/>
        <v>0</v>
      </c>
    </row>
    <row r="801" spans="1:2">
      <c r="A801" t="str">
        <f t="shared" ca="1" si="24"/>
        <v/>
      </c>
      <c r="B801">
        <f t="shared" ca="1" si="25"/>
        <v>0</v>
      </c>
    </row>
    <row r="802" spans="1:2">
      <c r="A802" t="str">
        <f t="shared" ca="1" si="24"/>
        <v/>
      </c>
      <c r="B802">
        <f t="shared" ca="1" si="25"/>
        <v>0</v>
      </c>
    </row>
    <row r="803" spans="1:2">
      <c r="A803" t="str">
        <f t="shared" ca="1" si="24"/>
        <v/>
      </c>
      <c r="B803">
        <f t="shared" ca="1" si="25"/>
        <v>0</v>
      </c>
    </row>
    <row r="804" spans="1:2">
      <c r="A804" t="str">
        <f t="shared" ca="1" si="24"/>
        <v/>
      </c>
      <c r="B804">
        <f t="shared" ca="1" si="25"/>
        <v>0</v>
      </c>
    </row>
    <row r="805" spans="1:2">
      <c r="A805" t="str">
        <f t="shared" ca="1" si="24"/>
        <v/>
      </c>
      <c r="B805">
        <f t="shared" ca="1" si="25"/>
        <v>0</v>
      </c>
    </row>
    <row r="806" spans="1:2">
      <c r="A806" t="str">
        <f t="shared" ca="1" si="24"/>
        <v/>
      </c>
      <c r="B806">
        <f t="shared" ca="1" si="25"/>
        <v>0</v>
      </c>
    </row>
    <row r="807" spans="1:2">
      <c r="A807" t="str">
        <f t="shared" ca="1" si="24"/>
        <v/>
      </c>
      <c r="B807">
        <f t="shared" ca="1" si="25"/>
        <v>0</v>
      </c>
    </row>
    <row r="808" spans="1:2">
      <c r="A808" t="str">
        <f t="shared" ca="1" si="24"/>
        <v/>
      </c>
      <c r="B808">
        <f t="shared" ca="1" si="25"/>
        <v>0</v>
      </c>
    </row>
    <row r="809" spans="1:2">
      <c r="A809" t="str">
        <f t="shared" ca="1" si="24"/>
        <v/>
      </c>
      <c r="B809">
        <f t="shared" ca="1" si="25"/>
        <v>0</v>
      </c>
    </row>
    <row r="810" spans="1:2">
      <c r="A810" t="str">
        <f t="shared" ca="1" si="24"/>
        <v/>
      </c>
      <c r="B810">
        <f t="shared" ca="1" si="25"/>
        <v>0</v>
      </c>
    </row>
    <row r="811" spans="1:2">
      <c r="A811" t="str">
        <f t="shared" ca="1" si="24"/>
        <v/>
      </c>
      <c r="B811">
        <f t="shared" ca="1" si="25"/>
        <v>0</v>
      </c>
    </row>
    <row r="812" spans="1:2">
      <c r="A812" t="str">
        <f t="shared" ca="1" si="24"/>
        <v/>
      </c>
      <c r="B812">
        <f t="shared" ca="1" si="25"/>
        <v>0</v>
      </c>
    </row>
    <row r="813" spans="1:2">
      <c r="A813" t="str">
        <f t="shared" ca="1" si="24"/>
        <v/>
      </c>
      <c r="B813">
        <f t="shared" ca="1" si="25"/>
        <v>0</v>
      </c>
    </row>
    <row r="814" spans="1:2">
      <c r="A814" t="str">
        <f t="shared" ca="1" si="24"/>
        <v/>
      </c>
      <c r="B814">
        <f t="shared" ca="1" si="25"/>
        <v>0</v>
      </c>
    </row>
    <row r="815" spans="1:2">
      <c r="A815" t="str">
        <f t="shared" ca="1" si="24"/>
        <v/>
      </c>
      <c r="B815">
        <f t="shared" ca="1" si="25"/>
        <v>0</v>
      </c>
    </row>
    <row r="816" spans="1:2">
      <c r="A816" t="str">
        <f t="shared" ca="1" si="24"/>
        <v/>
      </c>
      <c r="B816">
        <f t="shared" ca="1" si="25"/>
        <v>0</v>
      </c>
    </row>
    <row r="817" spans="1:2">
      <c r="A817" t="str">
        <f t="shared" ca="1" si="24"/>
        <v/>
      </c>
      <c r="B817">
        <f t="shared" ca="1" si="25"/>
        <v>0</v>
      </c>
    </row>
    <row r="818" spans="1:2">
      <c r="A818" t="str">
        <f t="shared" ca="1" si="24"/>
        <v/>
      </c>
      <c r="B818">
        <f t="shared" ca="1" si="25"/>
        <v>0</v>
      </c>
    </row>
    <row r="819" spans="1:2">
      <c r="A819" t="str">
        <f t="shared" ca="1" si="24"/>
        <v/>
      </c>
      <c r="B819">
        <f t="shared" ca="1" si="25"/>
        <v>0</v>
      </c>
    </row>
    <row r="820" spans="1:2">
      <c r="A820" t="str">
        <f t="shared" ca="1" si="24"/>
        <v/>
      </c>
      <c r="B820">
        <f t="shared" ca="1" si="25"/>
        <v>0</v>
      </c>
    </row>
    <row r="821" spans="1:2">
      <c r="A821" t="str">
        <f t="shared" ca="1" si="24"/>
        <v/>
      </c>
      <c r="B821">
        <f t="shared" ca="1" si="25"/>
        <v>0</v>
      </c>
    </row>
    <row r="822" spans="1:2">
      <c r="A822" t="str">
        <f t="shared" ca="1" si="24"/>
        <v/>
      </c>
      <c r="B822">
        <f t="shared" ca="1" si="25"/>
        <v>0</v>
      </c>
    </row>
    <row r="823" spans="1:2">
      <c r="A823" t="str">
        <f t="shared" ca="1" si="24"/>
        <v/>
      </c>
      <c r="B823">
        <f t="shared" ca="1" si="25"/>
        <v>0</v>
      </c>
    </row>
    <row r="824" spans="1:2">
      <c r="A824" t="str">
        <f t="shared" ca="1" si="24"/>
        <v/>
      </c>
      <c r="B824">
        <f t="shared" ca="1" si="25"/>
        <v>0</v>
      </c>
    </row>
    <row r="825" spans="1:2">
      <c r="A825" t="str">
        <f t="shared" ca="1" si="24"/>
        <v/>
      </c>
      <c r="B825">
        <f t="shared" ca="1" si="25"/>
        <v>0</v>
      </c>
    </row>
    <row r="826" spans="1:2">
      <c r="A826" t="str">
        <f t="shared" ca="1" si="24"/>
        <v/>
      </c>
      <c r="B826">
        <f t="shared" ca="1" si="25"/>
        <v>0</v>
      </c>
    </row>
    <row r="827" spans="1:2">
      <c r="A827" t="str">
        <f t="shared" ca="1" si="24"/>
        <v/>
      </c>
      <c r="B827">
        <f t="shared" ca="1" si="25"/>
        <v>0</v>
      </c>
    </row>
    <row r="828" spans="1:2">
      <c r="A828" t="str">
        <f t="shared" ca="1" si="24"/>
        <v/>
      </c>
      <c r="B828">
        <f t="shared" ca="1" si="25"/>
        <v>0</v>
      </c>
    </row>
    <row r="829" spans="1:2">
      <c r="A829" t="str">
        <f t="shared" ca="1" si="24"/>
        <v/>
      </c>
      <c r="B829">
        <f t="shared" ca="1" si="25"/>
        <v>0</v>
      </c>
    </row>
    <row r="830" spans="1:2">
      <c r="A830" t="str">
        <f t="shared" ca="1" si="24"/>
        <v/>
      </c>
      <c r="B830">
        <f t="shared" ca="1" si="25"/>
        <v>0</v>
      </c>
    </row>
    <row r="831" spans="1:2">
      <c r="A831" t="str">
        <f t="shared" ca="1" si="24"/>
        <v/>
      </c>
      <c r="B831">
        <f t="shared" ca="1" si="25"/>
        <v>0</v>
      </c>
    </row>
    <row r="832" spans="1:2">
      <c r="A832" t="str">
        <f t="shared" ca="1" si="24"/>
        <v/>
      </c>
      <c r="B832">
        <f t="shared" ca="1" si="25"/>
        <v>0</v>
      </c>
    </row>
    <row r="833" spans="1:2">
      <c r="A833" t="str">
        <f t="shared" ca="1" si="24"/>
        <v/>
      </c>
      <c r="B833">
        <f t="shared" ca="1" si="25"/>
        <v>0</v>
      </c>
    </row>
    <row r="834" spans="1:2">
      <c r="A834" t="str">
        <f t="shared" ref="A834:A897" ca="1" si="26">CONCATENATE(INDIRECT(ADDRESS(ROW(),3)))</f>
        <v/>
      </c>
      <c r="B834">
        <f t="shared" ref="B834:B897" ca="1" si="27">IF(IF(INDIRECT(ADDRESS(ROW(),1))&lt;&gt;"",IF(ISNA(MATCH(LEFT(INDIRECT(ADDRESS(ROW(),1)),2),PCNG_MN,0))=TRUE,1,0),0)+IF(INDIRECT(ADDRESS(ROW(),1))&lt;&gt;"",IF(ISNA(MATCH(LEFT(INDIRECT(ADDRESS(ROW(),1)),3),PCNG_MN,0))=TRUE,1,0),0)+IF(INDIRECT(ADDRESS(ROW(),1))&lt;&gt;"",IF(ISNA(MATCH(LEFT(INDIRECT(ADDRESS(ROW(),1)),4),PCNG_MN,0))=TRUE,1,0),0)&gt;=3,1,0)</f>
        <v>0</v>
      </c>
    </row>
    <row r="835" spans="1:2">
      <c r="A835" t="str">
        <f t="shared" ca="1" si="26"/>
        <v/>
      </c>
      <c r="B835">
        <f t="shared" ca="1" si="27"/>
        <v>0</v>
      </c>
    </row>
    <row r="836" spans="1:2">
      <c r="A836" t="str">
        <f t="shared" ca="1" si="26"/>
        <v/>
      </c>
      <c r="B836">
        <f t="shared" ca="1" si="27"/>
        <v>0</v>
      </c>
    </row>
    <row r="837" spans="1:2">
      <c r="A837" t="str">
        <f t="shared" ca="1" si="26"/>
        <v/>
      </c>
      <c r="B837">
        <f t="shared" ca="1" si="27"/>
        <v>0</v>
      </c>
    </row>
    <row r="838" spans="1:2">
      <c r="A838" t="str">
        <f t="shared" ca="1" si="26"/>
        <v/>
      </c>
      <c r="B838">
        <f t="shared" ca="1" si="27"/>
        <v>0</v>
      </c>
    </row>
    <row r="839" spans="1:2">
      <c r="A839" t="str">
        <f t="shared" ca="1" si="26"/>
        <v/>
      </c>
      <c r="B839">
        <f t="shared" ca="1" si="27"/>
        <v>0</v>
      </c>
    </row>
    <row r="840" spans="1:2">
      <c r="A840" t="str">
        <f t="shared" ca="1" si="26"/>
        <v/>
      </c>
      <c r="B840">
        <f t="shared" ca="1" si="27"/>
        <v>0</v>
      </c>
    </row>
    <row r="841" spans="1:2">
      <c r="A841" t="str">
        <f t="shared" ca="1" si="26"/>
        <v/>
      </c>
      <c r="B841">
        <f t="shared" ca="1" si="27"/>
        <v>0</v>
      </c>
    </row>
    <row r="842" spans="1:2">
      <c r="A842" t="str">
        <f t="shared" ca="1" si="26"/>
        <v/>
      </c>
      <c r="B842">
        <f t="shared" ca="1" si="27"/>
        <v>0</v>
      </c>
    </row>
    <row r="843" spans="1:2">
      <c r="A843" t="str">
        <f t="shared" ca="1" si="26"/>
        <v/>
      </c>
      <c r="B843">
        <f t="shared" ca="1" si="27"/>
        <v>0</v>
      </c>
    </row>
    <row r="844" spans="1:2">
      <c r="A844" t="str">
        <f t="shared" ca="1" si="26"/>
        <v/>
      </c>
      <c r="B844">
        <f t="shared" ca="1" si="27"/>
        <v>0</v>
      </c>
    </row>
    <row r="845" spans="1:2">
      <c r="A845" t="str">
        <f t="shared" ca="1" si="26"/>
        <v/>
      </c>
      <c r="B845">
        <f t="shared" ca="1" si="27"/>
        <v>0</v>
      </c>
    </row>
    <row r="846" spans="1:2">
      <c r="A846" t="str">
        <f t="shared" ca="1" si="26"/>
        <v/>
      </c>
      <c r="B846">
        <f t="shared" ca="1" si="27"/>
        <v>0</v>
      </c>
    </row>
    <row r="847" spans="1:2">
      <c r="A847" t="str">
        <f t="shared" ca="1" si="26"/>
        <v/>
      </c>
      <c r="B847">
        <f t="shared" ca="1" si="27"/>
        <v>0</v>
      </c>
    </row>
    <row r="848" spans="1:2">
      <c r="A848" t="str">
        <f t="shared" ca="1" si="26"/>
        <v/>
      </c>
      <c r="B848">
        <f t="shared" ca="1" si="27"/>
        <v>0</v>
      </c>
    </row>
    <row r="849" spans="1:2">
      <c r="A849" t="str">
        <f t="shared" ca="1" si="26"/>
        <v/>
      </c>
      <c r="B849">
        <f t="shared" ca="1" si="27"/>
        <v>0</v>
      </c>
    </row>
    <row r="850" spans="1:2">
      <c r="A850" t="str">
        <f t="shared" ca="1" si="26"/>
        <v/>
      </c>
      <c r="B850">
        <f t="shared" ca="1" si="27"/>
        <v>0</v>
      </c>
    </row>
    <row r="851" spans="1:2">
      <c r="A851" t="str">
        <f t="shared" ca="1" si="26"/>
        <v/>
      </c>
      <c r="B851">
        <f t="shared" ca="1" si="27"/>
        <v>0</v>
      </c>
    </row>
    <row r="852" spans="1:2">
      <c r="A852" t="str">
        <f t="shared" ca="1" si="26"/>
        <v/>
      </c>
      <c r="B852">
        <f t="shared" ca="1" si="27"/>
        <v>0</v>
      </c>
    </row>
    <row r="853" spans="1:2">
      <c r="A853" t="str">
        <f t="shared" ca="1" si="26"/>
        <v/>
      </c>
      <c r="B853">
        <f t="shared" ca="1" si="27"/>
        <v>0</v>
      </c>
    </row>
    <row r="854" spans="1:2">
      <c r="A854" t="str">
        <f t="shared" ca="1" si="26"/>
        <v/>
      </c>
      <c r="B854">
        <f t="shared" ca="1" si="27"/>
        <v>0</v>
      </c>
    </row>
    <row r="855" spans="1:2">
      <c r="A855" t="str">
        <f t="shared" ca="1" si="26"/>
        <v/>
      </c>
      <c r="B855">
        <f t="shared" ca="1" si="27"/>
        <v>0</v>
      </c>
    </row>
    <row r="856" spans="1:2">
      <c r="A856" t="str">
        <f t="shared" ca="1" si="26"/>
        <v/>
      </c>
      <c r="B856">
        <f t="shared" ca="1" si="27"/>
        <v>0</v>
      </c>
    </row>
    <row r="857" spans="1:2">
      <c r="A857" t="str">
        <f t="shared" ca="1" si="26"/>
        <v/>
      </c>
      <c r="B857">
        <f t="shared" ca="1" si="27"/>
        <v>0</v>
      </c>
    </row>
    <row r="858" spans="1:2">
      <c r="A858" t="str">
        <f t="shared" ca="1" si="26"/>
        <v/>
      </c>
      <c r="B858">
        <f t="shared" ca="1" si="27"/>
        <v>0</v>
      </c>
    </row>
    <row r="859" spans="1:2">
      <c r="A859" t="str">
        <f t="shared" ca="1" si="26"/>
        <v/>
      </c>
      <c r="B859">
        <f t="shared" ca="1" si="27"/>
        <v>0</v>
      </c>
    </row>
    <row r="860" spans="1:2">
      <c r="A860" t="str">
        <f t="shared" ca="1" si="26"/>
        <v/>
      </c>
      <c r="B860">
        <f t="shared" ca="1" si="27"/>
        <v>0</v>
      </c>
    </row>
    <row r="861" spans="1:2">
      <c r="A861" t="str">
        <f t="shared" ca="1" si="26"/>
        <v/>
      </c>
      <c r="B861">
        <f t="shared" ca="1" si="27"/>
        <v>0</v>
      </c>
    </row>
    <row r="862" spans="1:2">
      <c r="A862" t="str">
        <f t="shared" ca="1" si="26"/>
        <v/>
      </c>
      <c r="B862">
        <f t="shared" ca="1" si="27"/>
        <v>0</v>
      </c>
    </row>
    <row r="863" spans="1:2">
      <c r="A863" t="str">
        <f t="shared" ca="1" si="26"/>
        <v/>
      </c>
      <c r="B863">
        <f t="shared" ca="1" si="27"/>
        <v>0</v>
      </c>
    </row>
    <row r="864" spans="1:2">
      <c r="A864" t="str">
        <f t="shared" ca="1" si="26"/>
        <v/>
      </c>
      <c r="B864">
        <f t="shared" ca="1" si="27"/>
        <v>0</v>
      </c>
    </row>
    <row r="865" spans="1:2">
      <c r="A865" t="str">
        <f t="shared" ca="1" si="26"/>
        <v/>
      </c>
      <c r="B865">
        <f t="shared" ca="1" si="27"/>
        <v>0</v>
      </c>
    </row>
    <row r="866" spans="1:2">
      <c r="A866" t="str">
        <f t="shared" ca="1" si="26"/>
        <v/>
      </c>
      <c r="B866">
        <f t="shared" ca="1" si="27"/>
        <v>0</v>
      </c>
    </row>
    <row r="867" spans="1:2">
      <c r="A867" t="str">
        <f t="shared" ca="1" si="26"/>
        <v/>
      </c>
      <c r="B867">
        <f t="shared" ca="1" si="27"/>
        <v>0</v>
      </c>
    </row>
    <row r="868" spans="1:2">
      <c r="A868" t="str">
        <f t="shared" ca="1" si="26"/>
        <v/>
      </c>
      <c r="B868">
        <f t="shared" ca="1" si="27"/>
        <v>0</v>
      </c>
    </row>
    <row r="869" spans="1:2">
      <c r="A869" t="str">
        <f t="shared" ca="1" si="26"/>
        <v/>
      </c>
      <c r="B869">
        <f t="shared" ca="1" si="27"/>
        <v>0</v>
      </c>
    </row>
    <row r="870" spans="1:2">
      <c r="A870" t="str">
        <f t="shared" ca="1" si="26"/>
        <v/>
      </c>
      <c r="B870">
        <f t="shared" ca="1" si="27"/>
        <v>0</v>
      </c>
    </row>
    <row r="871" spans="1:2">
      <c r="A871" t="str">
        <f t="shared" ca="1" si="26"/>
        <v/>
      </c>
      <c r="B871">
        <f t="shared" ca="1" si="27"/>
        <v>0</v>
      </c>
    </row>
    <row r="872" spans="1:2">
      <c r="A872" t="str">
        <f t="shared" ca="1" si="26"/>
        <v/>
      </c>
      <c r="B872">
        <f t="shared" ca="1" si="27"/>
        <v>0</v>
      </c>
    </row>
    <row r="873" spans="1:2">
      <c r="A873" t="str">
        <f t="shared" ca="1" si="26"/>
        <v/>
      </c>
      <c r="B873">
        <f t="shared" ca="1" si="27"/>
        <v>0</v>
      </c>
    </row>
    <row r="874" spans="1:2">
      <c r="A874" t="str">
        <f t="shared" ca="1" si="26"/>
        <v/>
      </c>
      <c r="B874">
        <f t="shared" ca="1" si="27"/>
        <v>0</v>
      </c>
    </row>
    <row r="875" spans="1:2">
      <c r="A875" t="str">
        <f t="shared" ca="1" si="26"/>
        <v/>
      </c>
      <c r="B875">
        <f t="shared" ca="1" si="27"/>
        <v>0</v>
      </c>
    </row>
    <row r="876" spans="1:2">
      <c r="A876" t="str">
        <f t="shared" ca="1" si="26"/>
        <v/>
      </c>
      <c r="B876">
        <f t="shared" ca="1" si="27"/>
        <v>0</v>
      </c>
    </row>
    <row r="877" spans="1:2">
      <c r="A877" t="str">
        <f t="shared" ca="1" si="26"/>
        <v/>
      </c>
      <c r="B877">
        <f t="shared" ca="1" si="27"/>
        <v>0</v>
      </c>
    </row>
    <row r="878" spans="1:2">
      <c r="A878" t="str">
        <f t="shared" ca="1" si="26"/>
        <v/>
      </c>
      <c r="B878">
        <f t="shared" ca="1" si="27"/>
        <v>0</v>
      </c>
    </row>
    <row r="879" spans="1:2">
      <c r="A879" t="str">
        <f t="shared" ca="1" si="26"/>
        <v/>
      </c>
      <c r="B879">
        <f t="shared" ca="1" si="27"/>
        <v>0</v>
      </c>
    </row>
    <row r="880" spans="1:2">
      <c r="A880" t="str">
        <f t="shared" ca="1" si="26"/>
        <v/>
      </c>
      <c r="B880">
        <f t="shared" ca="1" si="27"/>
        <v>0</v>
      </c>
    </row>
    <row r="881" spans="1:2">
      <c r="A881" t="str">
        <f t="shared" ca="1" si="26"/>
        <v/>
      </c>
      <c r="B881">
        <f t="shared" ca="1" si="27"/>
        <v>0</v>
      </c>
    </row>
    <row r="882" spans="1:2">
      <c r="A882" t="str">
        <f t="shared" ca="1" si="26"/>
        <v/>
      </c>
      <c r="B882">
        <f t="shared" ca="1" si="27"/>
        <v>0</v>
      </c>
    </row>
    <row r="883" spans="1:2">
      <c r="A883" t="str">
        <f t="shared" ca="1" si="26"/>
        <v/>
      </c>
      <c r="B883">
        <f t="shared" ca="1" si="27"/>
        <v>0</v>
      </c>
    </row>
    <row r="884" spans="1:2">
      <c r="A884" t="str">
        <f t="shared" ca="1" si="26"/>
        <v/>
      </c>
      <c r="B884">
        <f t="shared" ca="1" si="27"/>
        <v>0</v>
      </c>
    </row>
    <row r="885" spans="1:2">
      <c r="A885" t="str">
        <f t="shared" ca="1" si="26"/>
        <v/>
      </c>
      <c r="B885">
        <f t="shared" ca="1" si="27"/>
        <v>0</v>
      </c>
    </row>
    <row r="886" spans="1:2">
      <c r="A886" t="str">
        <f t="shared" ca="1" si="26"/>
        <v/>
      </c>
      <c r="B886">
        <f t="shared" ca="1" si="27"/>
        <v>0</v>
      </c>
    </row>
    <row r="887" spans="1:2">
      <c r="A887" t="str">
        <f t="shared" ca="1" si="26"/>
        <v/>
      </c>
      <c r="B887">
        <f t="shared" ca="1" si="27"/>
        <v>0</v>
      </c>
    </row>
    <row r="888" spans="1:2">
      <c r="A888" t="str">
        <f t="shared" ca="1" si="26"/>
        <v/>
      </c>
      <c r="B888">
        <f t="shared" ca="1" si="27"/>
        <v>0</v>
      </c>
    </row>
    <row r="889" spans="1:2">
      <c r="A889" t="str">
        <f t="shared" ca="1" si="26"/>
        <v/>
      </c>
      <c r="B889">
        <f t="shared" ca="1" si="27"/>
        <v>0</v>
      </c>
    </row>
    <row r="890" spans="1:2">
      <c r="A890" t="str">
        <f t="shared" ca="1" si="26"/>
        <v/>
      </c>
      <c r="B890">
        <f t="shared" ca="1" si="27"/>
        <v>0</v>
      </c>
    </row>
    <row r="891" spans="1:2">
      <c r="A891" t="str">
        <f t="shared" ca="1" si="26"/>
        <v/>
      </c>
      <c r="B891">
        <f t="shared" ca="1" si="27"/>
        <v>0</v>
      </c>
    </row>
    <row r="892" spans="1:2">
      <c r="A892" t="str">
        <f t="shared" ca="1" si="26"/>
        <v/>
      </c>
      <c r="B892">
        <f t="shared" ca="1" si="27"/>
        <v>0</v>
      </c>
    </row>
    <row r="893" spans="1:2">
      <c r="A893" t="str">
        <f t="shared" ca="1" si="26"/>
        <v/>
      </c>
      <c r="B893">
        <f t="shared" ca="1" si="27"/>
        <v>0</v>
      </c>
    </row>
    <row r="894" spans="1:2">
      <c r="A894" t="str">
        <f t="shared" ca="1" si="26"/>
        <v/>
      </c>
      <c r="B894">
        <f t="shared" ca="1" si="27"/>
        <v>0</v>
      </c>
    </row>
    <row r="895" spans="1:2">
      <c r="A895" t="str">
        <f t="shared" ca="1" si="26"/>
        <v/>
      </c>
      <c r="B895">
        <f t="shared" ca="1" si="27"/>
        <v>0</v>
      </c>
    </row>
    <row r="896" spans="1:2">
      <c r="A896" t="str">
        <f t="shared" ca="1" si="26"/>
        <v/>
      </c>
      <c r="B896">
        <f t="shared" ca="1" si="27"/>
        <v>0</v>
      </c>
    </row>
    <row r="897" spans="1:2">
      <c r="A897" t="str">
        <f t="shared" ca="1" si="26"/>
        <v/>
      </c>
      <c r="B897">
        <f t="shared" ca="1" si="27"/>
        <v>0</v>
      </c>
    </row>
    <row r="898" spans="1:2">
      <c r="A898" t="str">
        <f t="shared" ref="A898:A961" ca="1" si="28">CONCATENATE(INDIRECT(ADDRESS(ROW(),3)))</f>
        <v/>
      </c>
      <c r="B898">
        <f t="shared" ref="B898:B961" ca="1" si="29">IF(IF(INDIRECT(ADDRESS(ROW(),1))&lt;&gt;"",IF(ISNA(MATCH(LEFT(INDIRECT(ADDRESS(ROW(),1)),2),PCNG_MN,0))=TRUE,1,0),0)+IF(INDIRECT(ADDRESS(ROW(),1))&lt;&gt;"",IF(ISNA(MATCH(LEFT(INDIRECT(ADDRESS(ROW(),1)),3),PCNG_MN,0))=TRUE,1,0),0)+IF(INDIRECT(ADDRESS(ROW(),1))&lt;&gt;"",IF(ISNA(MATCH(LEFT(INDIRECT(ADDRESS(ROW(),1)),4),PCNG_MN,0))=TRUE,1,0),0)&gt;=3,1,0)</f>
        <v>0</v>
      </c>
    </row>
    <row r="899" spans="1:2">
      <c r="A899" t="str">
        <f t="shared" ca="1" si="28"/>
        <v/>
      </c>
      <c r="B899">
        <f t="shared" ca="1" si="29"/>
        <v>0</v>
      </c>
    </row>
    <row r="900" spans="1:2">
      <c r="A900" t="str">
        <f t="shared" ca="1" si="28"/>
        <v/>
      </c>
      <c r="B900">
        <f t="shared" ca="1" si="29"/>
        <v>0</v>
      </c>
    </row>
    <row r="901" spans="1:2">
      <c r="A901" t="str">
        <f t="shared" ca="1" si="28"/>
        <v/>
      </c>
      <c r="B901">
        <f t="shared" ca="1" si="29"/>
        <v>0</v>
      </c>
    </row>
    <row r="902" spans="1:2">
      <c r="A902" t="str">
        <f t="shared" ca="1" si="28"/>
        <v/>
      </c>
      <c r="B902">
        <f t="shared" ca="1" si="29"/>
        <v>0</v>
      </c>
    </row>
    <row r="903" spans="1:2">
      <c r="A903" t="str">
        <f t="shared" ca="1" si="28"/>
        <v/>
      </c>
      <c r="B903">
        <f t="shared" ca="1" si="29"/>
        <v>0</v>
      </c>
    </row>
    <row r="904" spans="1:2">
      <c r="A904" t="str">
        <f t="shared" ca="1" si="28"/>
        <v/>
      </c>
      <c r="B904">
        <f t="shared" ca="1" si="29"/>
        <v>0</v>
      </c>
    </row>
    <row r="905" spans="1:2">
      <c r="A905" t="str">
        <f t="shared" ca="1" si="28"/>
        <v/>
      </c>
      <c r="B905">
        <f t="shared" ca="1" si="29"/>
        <v>0</v>
      </c>
    </row>
    <row r="906" spans="1:2">
      <c r="A906" t="str">
        <f t="shared" ca="1" si="28"/>
        <v/>
      </c>
      <c r="B906">
        <f t="shared" ca="1" si="29"/>
        <v>0</v>
      </c>
    </row>
    <row r="907" spans="1:2">
      <c r="A907" t="str">
        <f t="shared" ca="1" si="28"/>
        <v/>
      </c>
      <c r="B907">
        <f t="shared" ca="1" si="29"/>
        <v>0</v>
      </c>
    </row>
    <row r="908" spans="1:2">
      <c r="A908" t="str">
        <f t="shared" ca="1" si="28"/>
        <v/>
      </c>
      <c r="B908">
        <f t="shared" ca="1" si="29"/>
        <v>0</v>
      </c>
    </row>
    <row r="909" spans="1:2">
      <c r="A909" t="str">
        <f t="shared" ca="1" si="28"/>
        <v/>
      </c>
      <c r="B909">
        <f t="shared" ca="1" si="29"/>
        <v>0</v>
      </c>
    </row>
    <row r="910" spans="1:2">
      <c r="A910" t="str">
        <f t="shared" ca="1" si="28"/>
        <v/>
      </c>
      <c r="B910">
        <f t="shared" ca="1" si="29"/>
        <v>0</v>
      </c>
    </row>
    <row r="911" spans="1:2">
      <c r="A911" t="str">
        <f t="shared" ca="1" si="28"/>
        <v/>
      </c>
      <c r="B911">
        <f t="shared" ca="1" si="29"/>
        <v>0</v>
      </c>
    </row>
    <row r="912" spans="1:2">
      <c r="A912" t="str">
        <f t="shared" ca="1" si="28"/>
        <v/>
      </c>
      <c r="B912">
        <f t="shared" ca="1" si="29"/>
        <v>0</v>
      </c>
    </row>
    <row r="913" spans="1:2">
      <c r="A913" t="str">
        <f t="shared" ca="1" si="28"/>
        <v/>
      </c>
      <c r="B913">
        <f t="shared" ca="1" si="29"/>
        <v>0</v>
      </c>
    </row>
    <row r="914" spans="1:2">
      <c r="A914" t="str">
        <f t="shared" ca="1" si="28"/>
        <v/>
      </c>
      <c r="B914">
        <f t="shared" ca="1" si="29"/>
        <v>0</v>
      </c>
    </row>
    <row r="915" spans="1:2">
      <c r="A915" t="str">
        <f t="shared" ca="1" si="28"/>
        <v/>
      </c>
      <c r="B915">
        <f t="shared" ca="1" si="29"/>
        <v>0</v>
      </c>
    </row>
    <row r="916" spans="1:2">
      <c r="A916" t="str">
        <f t="shared" ca="1" si="28"/>
        <v/>
      </c>
      <c r="B916">
        <f t="shared" ca="1" si="29"/>
        <v>0</v>
      </c>
    </row>
    <row r="917" spans="1:2">
      <c r="A917" t="str">
        <f t="shared" ca="1" si="28"/>
        <v/>
      </c>
      <c r="B917">
        <f t="shared" ca="1" si="29"/>
        <v>0</v>
      </c>
    </row>
    <row r="918" spans="1:2">
      <c r="A918" t="str">
        <f t="shared" ca="1" si="28"/>
        <v/>
      </c>
      <c r="B918">
        <f t="shared" ca="1" si="29"/>
        <v>0</v>
      </c>
    </row>
    <row r="919" spans="1:2">
      <c r="A919" t="str">
        <f t="shared" ca="1" si="28"/>
        <v/>
      </c>
      <c r="B919">
        <f t="shared" ca="1" si="29"/>
        <v>0</v>
      </c>
    </row>
    <row r="920" spans="1:2">
      <c r="A920" t="str">
        <f t="shared" ca="1" si="28"/>
        <v/>
      </c>
      <c r="B920">
        <f t="shared" ca="1" si="29"/>
        <v>0</v>
      </c>
    </row>
    <row r="921" spans="1:2">
      <c r="A921" t="str">
        <f t="shared" ca="1" si="28"/>
        <v/>
      </c>
      <c r="B921">
        <f t="shared" ca="1" si="29"/>
        <v>0</v>
      </c>
    </row>
    <row r="922" spans="1:2">
      <c r="A922" t="str">
        <f t="shared" ca="1" si="28"/>
        <v/>
      </c>
      <c r="B922">
        <f t="shared" ca="1" si="29"/>
        <v>0</v>
      </c>
    </row>
    <row r="923" spans="1:2">
      <c r="A923" t="str">
        <f t="shared" ca="1" si="28"/>
        <v/>
      </c>
      <c r="B923">
        <f t="shared" ca="1" si="29"/>
        <v>0</v>
      </c>
    </row>
    <row r="924" spans="1:2">
      <c r="A924" t="str">
        <f t="shared" ca="1" si="28"/>
        <v/>
      </c>
      <c r="B924">
        <f t="shared" ca="1" si="29"/>
        <v>0</v>
      </c>
    </row>
    <row r="925" spans="1:2">
      <c r="A925" t="str">
        <f t="shared" ca="1" si="28"/>
        <v/>
      </c>
      <c r="B925">
        <f t="shared" ca="1" si="29"/>
        <v>0</v>
      </c>
    </row>
    <row r="926" spans="1:2">
      <c r="A926" t="str">
        <f t="shared" ca="1" si="28"/>
        <v/>
      </c>
      <c r="B926">
        <f t="shared" ca="1" si="29"/>
        <v>0</v>
      </c>
    </row>
    <row r="927" spans="1:2">
      <c r="A927" t="str">
        <f t="shared" ca="1" si="28"/>
        <v/>
      </c>
      <c r="B927">
        <f t="shared" ca="1" si="29"/>
        <v>0</v>
      </c>
    </row>
    <row r="928" spans="1:2">
      <c r="A928" t="str">
        <f t="shared" ca="1" si="28"/>
        <v/>
      </c>
      <c r="B928">
        <f t="shared" ca="1" si="29"/>
        <v>0</v>
      </c>
    </row>
    <row r="929" spans="1:2">
      <c r="A929" t="str">
        <f t="shared" ca="1" si="28"/>
        <v/>
      </c>
      <c r="B929">
        <f t="shared" ca="1" si="29"/>
        <v>0</v>
      </c>
    </row>
    <row r="930" spans="1:2">
      <c r="A930" t="str">
        <f t="shared" ca="1" si="28"/>
        <v/>
      </c>
      <c r="B930">
        <f t="shared" ca="1" si="29"/>
        <v>0</v>
      </c>
    </row>
    <row r="931" spans="1:2">
      <c r="A931" t="str">
        <f t="shared" ca="1" si="28"/>
        <v/>
      </c>
      <c r="B931">
        <f t="shared" ca="1" si="29"/>
        <v>0</v>
      </c>
    </row>
    <row r="932" spans="1:2">
      <c r="A932" t="str">
        <f t="shared" ca="1" si="28"/>
        <v/>
      </c>
      <c r="B932">
        <f t="shared" ca="1" si="29"/>
        <v>0</v>
      </c>
    </row>
    <row r="933" spans="1:2">
      <c r="A933" t="str">
        <f t="shared" ca="1" si="28"/>
        <v/>
      </c>
      <c r="B933">
        <f t="shared" ca="1" si="29"/>
        <v>0</v>
      </c>
    </row>
    <row r="934" spans="1:2">
      <c r="A934" t="str">
        <f t="shared" ca="1" si="28"/>
        <v/>
      </c>
      <c r="B934">
        <f t="shared" ca="1" si="29"/>
        <v>0</v>
      </c>
    </row>
    <row r="935" spans="1:2">
      <c r="A935" t="str">
        <f t="shared" ca="1" si="28"/>
        <v/>
      </c>
      <c r="B935">
        <f t="shared" ca="1" si="29"/>
        <v>0</v>
      </c>
    </row>
    <row r="936" spans="1:2">
      <c r="A936" t="str">
        <f t="shared" ca="1" si="28"/>
        <v/>
      </c>
      <c r="B936">
        <f t="shared" ca="1" si="29"/>
        <v>0</v>
      </c>
    </row>
    <row r="937" spans="1:2">
      <c r="A937" t="str">
        <f t="shared" ca="1" si="28"/>
        <v/>
      </c>
      <c r="B937">
        <f t="shared" ca="1" si="29"/>
        <v>0</v>
      </c>
    </row>
    <row r="938" spans="1:2">
      <c r="A938" t="str">
        <f t="shared" ca="1" si="28"/>
        <v/>
      </c>
      <c r="B938">
        <f t="shared" ca="1" si="29"/>
        <v>0</v>
      </c>
    </row>
    <row r="939" spans="1:2">
      <c r="A939" t="str">
        <f t="shared" ca="1" si="28"/>
        <v/>
      </c>
      <c r="B939">
        <f t="shared" ca="1" si="29"/>
        <v>0</v>
      </c>
    </row>
    <row r="940" spans="1:2">
      <c r="A940" t="str">
        <f t="shared" ca="1" si="28"/>
        <v/>
      </c>
      <c r="B940">
        <f t="shared" ca="1" si="29"/>
        <v>0</v>
      </c>
    </row>
    <row r="941" spans="1:2">
      <c r="A941" t="str">
        <f t="shared" ca="1" si="28"/>
        <v/>
      </c>
      <c r="B941">
        <f t="shared" ca="1" si="29"/>
        <v>0</v>
      </c>
    </row>
    <row r="942" spans="1:2">
      <c r="A942" t="str">
        <f t="shared" ca="1" si="28"/>
        <v/>
      </c>
      <c r="B942">
        <f t="shared" ca="1" si="29"/>
        <v>0</v>
      </c>
    </row>
    <row r="943" spans="1:2">
      <c r="A943" t="str">
        <f t="shared" ca="1" si="28"/>
        <v/>
      </c>
      <c r="B943">
        <f t="shared" ca="1" si="29"/>
        <v>0</v>
      </c>
    </row>
    <row r="944" spans="1:2">
      <c r="A944" t="str">
        <f t="shared" ca="1" si="28"/>
        <v/>
      </c>
      <c r="B944">
        <f t="shared" ca="1" si="29"/>
        <v>0</v>
      </c>
    </row>
    <row r="945" spans="1:2">
      <c r="A945" t="str">
        <f t="shared" ca="1" si="28"/>
        <v/>
      </c>
      <c r="B945">
        <f t="shared" ca="1" si="29"/>
        <v>0</v>
      </c>
    </row>
    <row r="946" spans="1:2">
      <c r="A946" t="str">
        <f t="shared" ca="1" si="28"/>
        <v/>
      </c>
      <c r="B946">
        <f t="shared" ca="1" si="29"/>
        <v>0</v>
      </c>
    </row>
    <row r="947" spans="1:2">
      <c r="A947" t="str">
        <f t="shared" ca="1" si="28"/>
        <v/>
      </c>
      <c r="B947">
        <f t="shared" ca="1" si="29"/>
        <v>0</v>
      </c>
    </row>
    <row r="948" spans="1:2">
      <c r="A948" t="str">
        <f t="shared" ca="1" si="28"/>
        <v/>
      </c>
      <c r="B948">
        <f t="shared" ca="1" si="29"/>
        <v>0</v>
      </c>
    </row>
    <row r="949" spans="1:2">
      <c r="A949" t="str">
        <f t="shared" ca="1" si="28"/>
        <v/>
      </c>
      <c r="B949">
        <f t="shared" ca="1" si="29"/>
        <v>0</v>
      </c>
    </row>
    <row r="950" spans="1:2">
      <c r="A950" t="str">
        <f t="shared" ca="1" si="28"/>
        <v/>
      </c>
      <c r="B950">
        <f t="shared" ca="1" si="29"/>
        <v>0</v>
      </c>
    </row>
    <row r="951" spans="1:2">
      <c r="A951" t="str">
        <f t="shared" ca="1" si="28"/>
        <v/>
      </c>
      <c r="B951">
        <f t="shared" ca="1" si="29"/>
        <v>0</v>
      </c>
    </row>
    <row r="952" spans="1:2">
      <c r="A952" t="str">
        <f t="shared" ca="1" si="28"/>
        <v/>
      </c>
      <c r="B952">
        <f t="shared" ca="1" si="29"/>
        <v>0</v>
      </c>
    </row>
    <row r="953" spans="1:2">
      <c r="A953" t="str">
        <f t="shared" ca="1" si="28"/>
        <v/>
      </c>
      <c r="B953">
        <f t="shared" ca="1" si="29"/>
        <v>0</v>
      </c>
    </row>
    <row r="954" spans="1:2">
      <c r="A954" t="str">
        <f t="shared" ca="1" si="28"/>
        <v/>
      </c>
      <c r="B954">
        <f t="shared" ca="1" si="29"/>
        <v>0</v>
      </c>
    </row>
    <row r="955" spans="1:2">
      <c r="A955" t="str">
        <f t="shared" ca="1" si="28"/>
        <v/>
      </c>
      <c r="B955">
        <f t="shared" ca="1" si="29"/>
        <v>0</v>
      </c>
    </row>
    <row r="956" spans="1:2">
      <c r="A956" t="str">
        <f t="shared" ca="1" si="28"/>
        <v/>
      </c>
      <c r="B956">
        <f t="shared" ca="1" si="29"/>
        <v>0</v>
      </c>
    </row>
    <row r="957" spans="1:2">
      <c r="A957" t="str">
        <f t="shared" ca="1" si="28"/>
        <v/>
      </c>
      <c r="B957">
        <f t="shared" ca="1" si="29"/>
        <v>0</v>
      </c>
    </row>
    <row r="958" spans="1:2">
      <c r="A958" t="str">
        <f t="shared" ca="1" si="28"/>
        <v/>
      </c>
      <c r="B958">
        <f t="shared" ca="1" si="29"/>
        <v>0</v>
      </c>
    </row>
    <row r="959" spans="1:2">
      <c r="A959" t="str">
        <f t="shared" ca="1" si="28"/>
        <v/>
      </c>
      <c r="B959">
        <f t="shared" ca="1" si="29"/>
        <v>0</v>
      </c>
    </row>
    <row r="960" spans="1:2">
      <c r="A960" t="str">
        <f t="shared" ca="1" si="28"/>
        <v/>
      </c>
      <c r="B960">
        <f t="shared" ca="1" si="29"/>
        <v>0</v>
      </c>
    </row>
    <row r="961" spans="1:2">
      <c r="A961" t="str">
        <f t="shared" ca="1" si="28"/>
        <v/>
      </c>
      <c r="B961">
        <f t="shared" ca="1" si="29"/>
        <v>0</v>
      </c>
    </row>
    <row r="962" spans="1:2">
      <c r="A962" t="str">
        <f t="shared" ref="A962:A1025" ca="1" si="30">CONCATENATE(INDIRECT(ADDRESS(ROW(),3)))</f>
        <v/>
      </c>
      <c r="B962">
        <f t="shared" ref="B962:B1025" ca="1" si="31">IF(IF(INDIRECT(ADDRESS(ROW(),1))&lt;&gt;"",IF(ISNA(MATCH(LEFT(INDIRECT(ADDRESS(ROW(),1)),2),PCNG_MN,0))=TRUE,1,0),0)+IF(INDIRECT(ADDRESS(ROW(),1))&lt;&gt;"",IF(ISNA(MATCH(LEFT(INDIRECT(ADDRESS(ROW(),1)),3),PCNG_MN,0))=TRUE,1,0),0)+IF(INDIRECT(ADDRESS(ROW(),1))&lt;&gt;"",IF(ISNA(MATCH(LEFT(INDIRECT(ADDRESS(ROW(),1)),4),PCNG_MN,0))=TRUE,1,0),0)&gt;=3,1,0)</f>
        <v>0</v>
      </c>
    </row>
    <row r="963" spans="1:2">
      <c r="A963" t="str">
        <f t="shared" ca="1" si="30"/>
        <v/>
      </c>
      <c r="B963">
        <f t="shared" ca="1" si="31"/>
        <v>0</v>
      </c>
    </row>
    <row r="964" spans="1:2">
      <c r="A964" t="str">
        <f t="shared" ca="1" si="30"/>
        <v/>
      </c>
      <c r="B964">
        <f t="shared" ca="1" si="31"/>
        <v>0</v>
      </c>
    </row>
    <row r="965" spans="1:2">
      <c r="A965" t="str">
        <f t="shared" ca="1" si="30"/>
        <v/>
      </c>
      <c r="B965">
        <f t="shared" ca="1" si="31"/>
        <v>0</v>
      </c>
    </row>
    <row r="966" spans="1:2">
      <c r="A966" t="str">
        <f t="shared" ca="1" si="30"/>
        <v/>
      </c>
      <c r="B966">
        <f t="shared" ca="1" si="31"/>
        <v>0</v>
      </c>
    </row>
    <row r="967" spans="1:2">
      <c r="A967" t="str">
        <f t="shared" ca="1" si="30"/>
        <v/>
      </c>
      <c r="B967">
        <f t="shared" ca="1" si="31"/>
        <v>0</v>
      </c>
    </row>
    <row r="968" spans="1:2">
      <c r="A968" t="str">
        <f t="shared" ca="1" si="30"/>
        <v/>
      </c>
      <c r="B968">
        <f t="shared" ca="1" si="31"/>
        <v>0</v>
      </c>
    </row>
    <row r="969" spans="1:2">
      <c r="A969" t="str">
        <f t="shared" ca="1" si="30"/>
        <v/>
      </c>
      <c r="B969">
        <f t="shared" ca="1" si="31"/>
        <v>0</v>
      </c>
    </row>
    <row r="970" spans="1:2">
      <c r="A970" t="str">
        <f t="shared" ca="1" si="30"/>
        <v/>
      </c>
      <c r="B970">
        <f t="shared" ca="1" si="31"/>
        <v>0</v>
      </c>
    </row>
    <row r="971" spans="1:2">
      <c r="A971" t="str">
        <f t="shared" ca="1" si="30"/>
        <v/>
      </c>
      <c r="B971">
        <f t="shared" ca="1" si="31"/>
        <v>0</v>
      </c>
    </row>
    <row r="972" spans="1:2">
      <c r="A972" t="str">
        <f t="shared" ca="1" si="30"/>
        <v/>
      </c>
      <c r="B972">
        <f t="shared" ca="1" si="31"/>
        <v>0</v>
      </c>
    </row>
    <row r="973" spans="1:2">
      <c r="A973" t="str">
        <f t="shared" ca="1" si="30"/>
        <v/>
      </c>
      <c r="B973">
        <f t="shared" ca="1" si="31"/>
        <v>0</v>
      </c>
    </row>
    <row r="974" spans="1:2">
      <c r="A974" t="str">
        <f t="shared" ca="1" si="30"/>
        <v/>
      </c>
      <c r="B974">
        <f t="shared" ca="1" si="31"/>
        <v>0</v>
      </c>
    </row>
    <row r="975" spans="1:2">
      <c r="A975" t="str">
        <f t="shared" ca="1" si="30"/>
        <v/>
      </c>
      <c r="B975">
        <f t="shared" ca="1" si="31"/>
        <v>0</v>
      </c>
    </row>
    <row r="976" spans="1:2">
      <c r="A976" t="str">
        <f t="shared" ca="1" si="30"/>
        <v/>
      </c>
      <c r="B976">
        <f t="shared" ca="1" si="31"/>
        <v>0</v>
      </c>
    </row>
    <row r="977" spans="1:2">
      <c r="A977" t="str">
        <f t="shared" ca="1" si="30"/>
        <v/>
      </c>
      <c r="B977">
        <f t="shared" ca="1" si="31"/>
        <v>0</v>
      </c>
    </row>
    <row r="978" spans="1:2">
      <c r="A978" t="str">
        <f t="shared" ca="1" si="30"/>
        <v/>
      </c>
      <c r="B978">
        <f t="shared" ca="1" si="31"/>
        <v>0</v>
      </c>
    </row>
    <row r="979" spans="1:2">
      <c r="A979" t="str">
        <f t="shared" ca="1" si="30"/>
        <v/>
      </c>
      <c r="B979">
        <f t="shared" ca="1" si="31"/>
        <v>0</v>
      </c>
    </row>
    <row r="980" spans="1:2">
      <c r="A980" t="str">
        <f t="shared" ca="1" si="30"/>
        <v/>
      </c>
      <c r="B980">
        <f t="shared" ca="1" si="31"/>
        <v>0</v>
      </c>
    </row>
    <row r="981" spans="1:2">
      <c r="A981" t="str">
        <f t="shared" ca="1" si="30"/>
        <v/>
      </c>
      <c r="B981">
        <f t="shared" ca="1" si="31"/>
        <v>0</v>
      </c>
    </row>
    <row r="982" spans="1:2">
      <c r="A982" t="str">
        <f t="shared" ca="1" si="30"/>
        <v/>
      </c>
      <c r="B982">
        <f t="shared" ca="1" si="31"/>
        <v>0</v>
      </c>
    </row>
    <row r="983" spans="1:2">
      <c r="A983" t="str">
        <f t="shared" ca="1" si="30"/>
        <v/>
      </c>
      <c r="B983">
        <f t="shared" ca="1" si="31"/>
        <v>0</v>
      </c>
    </row>
    <row r="984" spans="1:2">
      <c r="A984" t="str">
        <f t="shared" ca="1" si="30"/>
        <v/>
      </c>
      <c r="B984">
        <f t="shared" ca="1" si="31"/>
        <v>0</v>
      </c>
    </row>
    <row r="985" spans="1:2">
      <c r="A985" t="str">
        <f t="shared" ca="1" si="30"/>
        <v/>
      </c>
      <c r="B985">
        <f t="shared" ca="1" si="31"/>
        <v>0</v>
      </c>
    </row>
    <row r="986" spans="1:2">
      <c r="A986" t="str">
        <f t="shared" ca="1" si="30"/>
        <v/>
      </c>
      <c r="B986">
        <f t="shared" ca="1" si="31"/>
        <v>0</v>
      </c>
    </row>
    <row r="987" spans="1:2">
      <c r="A987" t="str">
        <f t="shared" ca="1" si="30"/>
        <v/>
      </c>
      <c r="B987">
        <f t="shared" ca="1" si="31"/>
        <v>0</v>
      </c>
    </row>
    <row r="988" spans="1:2">
      <c r="A988" t="str">
        <f t="shared" ca="1" si="30"/>
        <v/>
      </c>
      <c r="B988">
        <f t="shared" ca="1" si="31"/>
        <v>0</v>
      </c>
    </row>
    <row r="989" spans="1:2">
      <c r="A989" t="str">
        <f t="shared" ca="1" si="30"/>
        <v/>
      </c>
      <c r="B989">
        <f t="shared" ca="1" si="31"/>
        <v>0</v>
      </c>
    </row>
    <row r="990" spans="1:2">
      <c r="A990" t="str">
        <f t="shared" ca="1" si="30"/>
        <v/>
      </c>
      <c r="B990">
        <f t="shared" ca="1" si="31"/>
        <v>0</v>
      </c>
    </row>
    <row r="991" spans="1:2">
      <c r="A991" t="str">
        <f t="shared" ca="1" si="30"/>
        <v/>
      </c>
      <c r="B991">
        <f t="shared" ca="1" si="31"/>
        <v>0</v>
      </c>
    </row>
    <row r="992" spans="1:2">
      <c r="A992" t="str">
        <f t="shared" ca="1" si="30"/>
        <v/>
      </c>
      <c r="B992">
        <f t="shared" ca="1" si="31"/>
        <v>0</v>
      </c>
    </row>
    <row r="993" spans="1:4">
      <c r="A993" t="str">
        <f t="shared" ca="1" si="30"/>
        <v/>
      </c>
      <c r="B993">
        <f t="shared" ca="1" si="31"/>
        <v>0</v>
      </c>
    </row>
    <row r="994" spans="1:4">
      <c r="A994" t="str">
        <f t="shared" ca="1" si="30"/>
        <v/>
      </c>
      <c r="B994">
        <f t="shared" ca="1" si="31"/>
        <v>0</v>
      </c>
    </row>
    <row r="995" spans="1:4">
      <c r="A995" t="str">
        <f t="shared" ca="1" si="30"/>
        <v/>
      </c>
      <c r="B995">
        <f t="shared" ca="1" si="31"/>
        <v>0</v>
      </c>
    </row>
    <row r="996" spans="1:4">
      <c r="A996" t="str">
        <f t="shared" ca="1" si="30"/>
        <v/>
      </c>
      <c r="B996">
        <f t="shared" ca="1" si="31"/>
        <v>0</v>
      </c>
    </row>
    <row r="997" spans="1:4">
      <c r="A997" t="str">
        <f t="shared" ca="1" si="30"/>
        <v/>
      </c>
      <c r="B997">
        <f t="shared" ca="1" si="31"/>
        <v>0</v>
      </c>
    </row>
    <row r="998" spans="1:4">
      <c r="A998" t="str">
        <f t="shared" ca="1" si="30"/>
        <v/>
      </c>
      <c r="B998">
        <f t="shared" ca="1" si="31"/>
        <v>0</v>
      </c>
    </row>
    <row r="999" spans="1:4">
      <c r="A999" t="str">
        <f t="shared" ca="1" si="30"/>
        <v/>
      </c>
      <c r="B999">
        <f t="shared" ca="1" si="31"/>
        <v>0</v>
      </c>
    </row>
    <row r="1000" spans="1:4">
      <c r="A1000" t="str">
        <f t="shared" ca="1" si="30"/>
        <v/>
      </c>
      <c r="B1000">
        <f t="shared" ca="1" si="31"/>
        <v>0</v>
      </c>
    </row>
    <row r="1001" spans="1:4">
      <c r="A1001" t="str">
        <f t="shared" ca="1" si="30"/>
        <v/>
      </c>
      <c r="B1001">
        <f t="shared" ca="1" si="31"/>
        <v>0</v>
      </c>
      <c r="D1001" s="615"/>
    </row>
    <row r="1002" spans="1:4">
      <c r="A1002" t="str">
        <f t="shared" ca="1" si="30"/>
        <v/>
      </c>
      <c r="B1002">
        <f t="shared" ca="1" si="31"/>
        <v>0</v>
      </c>
    </row>
    <row r="1003" spans="1:4">
      <c r="A1003" t="str">
        <f t="shared" ca="1" si="30"/>
        <v/>
      </c>
      <c r="B1003">
        <f t="shared" ca="1" si="31"/>
        <v>0</v>
      </c>
    </row>
    <row r="1004" spans="1:4">
      <c r="A1004" t="str">
        <f t="shared" ca="1" si="30"/>
        <v/>
      </c>
      <c r="B1004">
        <f t="shared" ca="1" si="31"/>
        <v>0</v>
      </c>
    </row>
    <row r="1005" spans="1:4">
      <c r="A1005" t="str">
        <f t="shared" ca="1" si="30"/>
        <v/>
      </c>
      <c r="B1005">
        <f t="shared" ca="1" si="31"/>
        <v>0</v>
      </c>
    </row>
    <row r="1006" spans="1:4">
      <c r="A1006" t="str">
        <f t="shared" ca="1" si="30"/>
        <v/>
      </c>
      <c r="B1006">
        <f t="shared" ca="1" si="31"/>
        <v>0</v>
      </c>
    </row>
    <row r="1007" spans="1:4">
      <c r="A1007" t="str">
        <f t="shared" ca="1" si="30"/>
        <v/>
      </c>
      <c r="B1007">
        <f t="shared" ca="1" si="31"/>
        <v>0</v>
      </c>
    </row>
    <row r="1008" spans="1:4">
      <c r="A1008" t="str">
        <f t="shared" ca="1" si="30"/>
        <v/>
      </c>
      <c r="B1008">
        <f t="shared" ca="1" si="31"/>
        <v>0</v>
      </c>
    </row>
    <row r="1009" spans="1:2">
      <c r="A1009" t="str">
        <f t="shared" ca="1" si="30"/>
        <v/>
      </c>
      <c r="B1009">
        <f t="shared" ca="1" si="31"/>
        <v>0</v>
      </c>
    </row>
    <row r="1010" spans="1:2">
      <c r="A1010" t="str">
        <f t="shared" ca="1" si="30"/>
        <v/>
      </c>
      <c r="B1010">
        <f t="shared" ca="1" si="31"/>
        <v>0</v>
      </c>
    </row>
    <row r="1011" spans="1:2">
      <c r="A1011" t="str">
        <f t="shared" ca="1" si="30"/>
        <v/>
      </c>
      <c r="B1011">
        <f t="shared" ca="1" si="31"/>
        <v>0</v>
      </c>
    </row>
    <row r="1012" spans="1:2">
      <c r="A1012" t="str">
        <f t="shared" ca="1" si="30"/>
        <v/>
      </c>
      <c r="B1012">
        <f t="shared" ca="1" si="31"/>
        <v>0</v>
      </c>
    </row>
    <row r="1013" spans="1:2">
      <c r="A1013" t="str">
        <f t="shared" ca="1" si="30"/>
        <v/>
      </c>
      <c r="B1013">
        <f t="shared" ca="1" si="31"/>
        <v>0</v>
      </c>
    </row>
    <row r="1014" spans="1:2">
      <c r="A1014" t="str">
        <f t="shared" ca="1" si="30"/>
        <v/>
      </c>
      <c r="B1014">
        <f t="shared" ca="1" si="31"/>
        <v>0</v>
      </c>
    </row>
    <row r="1015" spans="1:2">
      <c r="A1015" t="str">
        <f t="shared" ca="1" si="30"/>
        <v/>
      </c>
      <c r="B1015">
        <f t="shared" ca="1" si="31"/>
        <v>0</v>
      </c>
    </row>
    <row r="1016" spans="1:2">
      <c r="A1016" t="str">
        <f t="shared" ca="1" si="30"/>
        <v/>
      </c>
      <c r="B1016">
        <f t="shared" ca="1" si="31"/>
        <v>0</v>
      </c>
    </row>
    <row r="1017" spans="1:2">
      <c r="A1017" t="str">
        <f t="shared" ca="1" si="30"/>
        <v/>
      </c>
      <c r="B1017">
        <f t="shared" ca="1" si="31"/>
        <v>0</v>
      </c>
    </row>
    <row r="1018" spans="1:2">
      <c r="A1018" t="str">
        <f t="shared" ca="1" si="30"/>
        <v/>
      </c>
      <c r="B1018">
        <f t="shared" ca="1" si="31"/>
        <v>0</v>
      </c>
    </row>
    <row r="1019" spans="1:2">
      <c r="A1019" t="str">
        <f t="shared" ca="1" si="30"/>
        <v/>
      </c>
      <c r="B1019">
        <f t="shared" ca="1" si="31"/>
        <v>0</v>
      </c>
    </row>
    <row r="1020" spans="1:2">
      <c r="A1020" t="str">
        <f t="shared" ca="1" si="30"/>
        <v/>
      </c>
      <c r="B1020">
        <f t="shared" ca="1" si="31"/>
        <v>0</v>
      </c>
    </row>
    <row r="1021" spans="1:2">
      <c r="A1021" t="str">
        <f t="shared" ca="1" si="30"/>
        <v/>
      </c>
      <c r="B1021">
        <f t="shared" ca="1" si="31"/>
        <v>0</v>
      </c>
    </row>
    <row r="1022" spans="1:2">
      <c r="A1022" t="str">
        <f t="shared" ca="1" si="30"/>
        <v/>
      </c>
      <c r="B1022">
        <f t="shared" ca="1" si="31"/>
        <v>0</v>
      </c>
    </row>
    <row r="1023" spans="1:2">
      <c r="A1023" t="str">
        <f t="shared" ca="1" si="30"/>
        <v/>
      </c>
      <c r="B1023">
        <f t="shared" ca="1" si="31"/>
        <v>0</v>
      </c>
    </row>
    <row r="1024" spans="1:2">
      <c r="A1024" t="str">
        <f t="shared" ca="1" si="30"/>
        <v/>
      </c>
      <c r="B1024">
        <f t="shared" ca="1" si="31"/>
        <v>0</v>
      </c>
    </row>
    <row r="1025" spans="1:2">
      <c r="A1025" t="str">
        <f t="shared" ca="1" si="30"/>
        <v/>
      </c>
      <c r="B1025">
        <f t="shared" ca="1" si="31"/>
        <v>0</v>
      </c>
    </row>
    <row r="1026" spans="1:2">
      <c r="A1026" t="str">
        <f t="shared" ref="A1026:A1089" ca="1" si="32">CONCATENATE(INDIRECT(ADDRESS(ROW(),3)))</f>
        <v/>
      </c>
      <c r="B1026">
        <f t="shared" ref="B1026:B1089" ca="1" si="33">IF(IF(INDIRECT(ADDRESS(ROW(),1))&lt;&gt;"",IF(ISNA(MATCH(LEFT(INDIRECT(ADDRESS(ROW(),1)),2),PCNG_MN,0))=TRUE,1,0),0)+IF(INDIRECT(ADDRESS(ROW(),1))&lt;&gt;"",IF(ISNA(MATCH(LEFT(INDIRECT(ADDRESS(ROW(),1)),3),PCNG_MN,0))=TRUE,1,0),0)+IF(INDIRECT(ADDRESS(ROW(),1))&lt;&gt;"",IF(ISNA(MATCH(LEFT(INDIRECT(ADDRESS(ROW(),1)),4),PCNG_MN,0))=TRUE,1,0),0)&gt;=3,1,0)</f>
        <v>0</v>
      </c>
    </row>
    <row r="1027" spans="1:2">
      <c r="A1027" t="str">
        <f t="shared" ca="1" si="32"/>
        <v/>
      </c>
      <c r="B1027">
        <f t="shared" ca="1" si="33"/>
        <v>0</v>
      </c>
    </row>
    <row r="1028" spans="1:2">
      <c r="A1028" t="str">
        <f t="shared" ca="1" si="32"/>
        <v/>
      </c>
      <c r="B1028">
        <f t="shared" ca="1" si="33"/>
        <v>0</v>
      </c>
    </row>
    <row r="1029" spans="1:2">
      <c r="A1029" t="str">
        <f t="shared" ca="1" si="32"/>
        <v/>
      </c>
      <c r="B1029">
        <f t="shared" ca="1" si="33"/>
        <v>0</v>
      </c>
    </row>
    <row r="1030" spans="1:2">
      <c r="A1030" t="str">
        <f t="shared" ca="1" si="32"/>
        <v/>
      </c>
      <c r="B1030">
        <f t="shared" ca="1" si="33"/>
        <v>0</v>
      </c>
    </row>
    <row r="1031" spans="1:2">
      <c r="A1031" t="str">
        <f t="shared" ca="1" si="32"/>
        <v/>
      </c>
      <c r="B1031">
        <f t="shared" ca="1" si="33"/>
        <v>0</v>
      </c>
    </row>
    <row r="1032" spans="1:2">
      <c r="A1032" t="str">
        <f t="shared" ca="1" si="32"/>
        <v/>
      </c>
      <c r="B1032">
        <f t="shared" ca="1" si="33"/>
        <v>0</v>
      </c>
    </row>
    <row r="1033" spans="1:2">
      <c r="A1033" t="str">
        <f t="shared" ca="1" si="32"/>
        <v/>
      </c>
      <c r="B1033">
        <f t="shared" ca="1" si="33"/>
        <v>0</v>
      </c>
    </row>
    <row r="1034" spans="1:2">
      <c r="A1034" t="str">
        <f t="shared" ca="1" si="32"/>
        <v/>
      </c>
      <c r="B1034">
        <f t="shared" ca="1" si="33"/>
        <v>0</v>
      </c>
    </row>
    <row r="1035" spans="1:2">
      <c r="A1035" t="str">
        <f t="shared" ca="1" si="32"/>
        <v/>
      </c>
      <c r="B1035">
        <f t="shared" ca="1" si="33"/>
        <v>0</v>
      </c>
    </row>
    <row r="1036" spans="1:2">
      <c r="A1036" t="str">
        <f t="shared" ca="1" si="32"/>
        <v/>
      </c>
      <c r="B1036">
        <f t="shared" ca="1" si="33"/>
        <v>0</v>
      </c>
    </row>
    <row r="1037" spans="1:2">
      <c r="A1037" t="str">
        <f t="shared" ca="1" si="32"/>
        <v/>
      </c>
      <c r="B1037">
        <f t="shared" ca="1" si="33"/>
        <v>0</v>
      </c>
    </row>
    <row r="1038" spans="1:2">
      <c r="A1038" t="str">
        <f t="shared" ca="1" si="32"/>
        <v/>
      </c>
      <c r="B1038">
        <f t="shared" ca="1" si="33"/>
        <v>0</v>
      </c>
    </row>
    <row r="1039" spans="1:2">
      <c r="A1039" t="str">
        <f t="shared" ca="1" si="32"/>
        <v/>
      </c>
      <c r="B1039">
        <f t="shared" ca="1" si="33"/>
        <v>0</v>
      </c>
    </row>
    <row r="1040" spans="1:2">
      <c r="A1040" t="str">
        <f t="shared" ca="1" si="32"/>
        <v/>
      </c>
      <c r="B1040">
        <f t="shared" ca="1" si="33"/>
        <v>0</v>
      </c>
    </row>
    <row r="1041" spans="1:2">
      <c r="A1041" t="str">
        <f t="shared" ca="1" si="32"/>
        <v/>
      </c>
      <c r="B1041">
        <f t="shared" ca="1" si="33"/>
        <v>0</v>
      </c>
    </row>
    <row r="1042" spans="1:2">
      <c r="A1042" t="str">
        <f t="shared" ca="1" si="32"/>
        <v/>
      </c>
      <c r="B1042">
        <f t="shared" ca="1" si="33"/>
        <v>0</v>
      </c>
    </row>
    <row r="1043" spans="1:2">
      <c r="A1043" t="str">
        <f t="shared" ca="1" si="32"/>
        <v/>
      </c>
      <c r="B1043">
        <f t="shared" ca="1" si="33"/>
        <v>0</v>
      </c>
    </row>
    <row r="1044" spans="1:2">
      <c r="A1044" t="str">
        <f t="shared" ca="1" si="32"/>
        <v/>
      </c>
      <c r="B1044">
        <f t="shared" ca="1" si="33"/>
        <v>0</v>
      </c>
    </row>
    <row r="1045" spans="1:2">
      <c r="A1045" t="str">
        <f t="shared" ca="1" si="32"/>
        <v/>
      </c>
      <c r="B1045">
        <f t="shared" ca="1" si="33"/>
        <v>0</v>
      </c>
    </row>
    <row r="1046" spans="1:2">
      <c r="A1046" t="str">
        <f t="shared" ca="1" si="32"/>
        <v/>
      </c>
      <c r="B1046">
        <f t="shared" ca="1" si="33"/>
        <v>0</v>
      </c>
    </row>
    <row r="1047" spans="1:2">
      <c r="A1047" t="str">
        <f t="shared" ca="1" si="32"/>
        <v/>
      </c>
      <c r="B1047">
        <f t="shared" ca="1" si="33"/>
        <v>0</v>
      </c>
    </row>
    <row r="1048" spans="1:2">
      <c r="A1048" t="str">
        <f t="shared" ca="1" si="32"/>
        <v/>
      </c>
      <c r="B1048">
        <f t="shared" ca="1" si="33"/>
        <v>0</v>
      </c>
    </row>
    <row r="1049" spans="1:2">
      <c r="A1049" t="str">
        <f t="shared" ca="1" si="32"/>
        <v/>
      </c>
      <c r="B1049">
        <f t="shared" ca="1" si="33"/>
        <v>0</v>
      </c>
    </row>
    <row r="1050" spans="1:2">
      <c r="A1050" t="str">
        <f t="shared" ca="1" si="32"/>
        <v/>
      </c>
      <c r="B1050">
        <f t="shared" ca="1" si="33"/>
        <v>0</v>
      </c>
    </row>
    <row r="1051" spans="1:2">
      <c r="A1051" t="str">
        <f t="shared" ca="1" si="32"/>
        <v/>
      </c>
      <c r="B1051">
        <f t="shared" ca="1" si="33"/>
        <v>0</v>
      </c>
    </row>
    <row r="1052" spans="1:2">
      <c r="A1052" t="str">
        <f t="shared" ca="1" si="32"/>
        <v/>
      </c>
      <c r="B1052">
        <f t="shared" ca="1" si="33"/>
        <v>0</v>
      </c>
    </row>
    <row r="1053" spans="1:2">
      <c r="A1053" t="str">
        <f t="shared" ca="1" si="32"/>
        <v/>
      </c>
      <c r="B1053">
        <f t="shared" ca="1" si="33"/>
        <v>0</v>
      </c>
    </row>
    <row r="1054" spans="1:2">
      <c r="A1054" t="str">
        <f t="shared" ca="1" si="32"/>
        <v/>
      </c>
      <c r="B1054">
        <f t="shared" ca="1" si="33"/>
        <v>0</v>
      </c>
    </row>
    <row r="1055" spans="1:2">
      <c r="A1055" t="str">
        <f t="shared" ca="1" si="32"/>
        <v/>
      </c>
      <c r="B1055">
        <f t="shared" ca="1" si="33"/>
        <v>0</v>
      </c>
    </row>
    <row r="1056" spans="1:2">
      <c r="A1056" t="str">
        <f t="shared" ca="1" si="32"/>
        <v/>
      </c>
      <c r="B1056">
        <f t="shared" ca="1" si="33"/>
        <v>0</v>
      </c>
    </row>
    <row r="1057" spans="1:2">
      <c r="A1057" t="str">
        <f t="shared" ca="1" si="32"/>
        <v/>
      </c>
      <c r="B1057">
        <f t="shared" ca="1" si="33"/>
        <v>0</v>
      </c>
    </row>
    <row r="1058" spans="1:2">
      <c r="A1058" t="str">
        <f t="shared" ca="1" si="32"/>
        <v/>
      </c>
      <c r="B1058">
        <f t="shared" ca="1" si="33"/>
        <v>0</v>
      </c>
    </row>
    <row r="1059" spans="1:2">
      <c r="A1059" t="str">
        <f t="shared" ca="1" si="32"/>
        <v/>
      </c>
      <c r="B1059">
        <f t="shared" ca="1" si="33"/>
        <v>0</v>
      </c>
    </row>
    <row r="1060" spans="1:2">
      <c r="A1060" t="str">
        <f t="shared" ca="1" si="32"/>
        <v/>
      </c>
      <c r="B1060">
        <f t="shared" ca="1" si="33"/>
        <v>0</v>
      </c>
    </row>
    <row r="1061" spans="1:2">
      <c r="A1061" t="str">
        <f t="shared" ca="1" si="32"/>
        <v/>
      </c>
      <c r="B1061">
        <f t="shared" ca="1" si="33"/>
        <v>0</v>
      </c>
    </row>
    <row r="1062" spans="1:2">
      <c r="A1062" t="str">
        <f t="shared" ca="1" si="32"/>
        <v/>
      </c>
      <c r="B1062">
        <f t="shared" ca="1" si="33"/>
        <v>0</v>
      </c>
    </row>
    <row r="1063" spans="1:2">
      <c r="A1063" t="str">
        <f t="shared" ca="1" si="32"/>
        <v/>
      </c>
      <c r="B1063">
        <f t="shared" ca="1" si="33"/>
        <v>0</v>
      </c>
    </row>
    <row r="1064" spans="1:2">
      <c r="A1064" t="str">
        <f t="shared" ca="1" si="32"/>
        <v/>
      </c>
      <c r="B1064">
        <f t="shared" ca="1" si="33"/>
        <v>0</v>
      </c>
    </row>
    <row r="1065" spans="1:2">
      <c r="A1065" t="str">
        <f t="shared" ca="1" si="32"/>
        <v/>
      </c>
      <c r="B1065">
        <f t="shared" ca="1" si="33"/>
        <v>0</v>
      </c>
    </row>
    <row r="1066" spans="1:2">
      <c r="A1066" t="str">
        <f t="shared" ca="1" si="32"/>
        <v/>
      </c>
      <c r="B1066">
        <f t="shared" ca="1" si="33"/>
        <v>0</v>
      </c>
    </row>
    <row r="1067" spans="1:2">
      <c r="A1067" t="str">
        <f t="shared" ca="1" si="32"/>
        <v/>
      </c>
      <c r="B1067">
        <f t="shared" ca="1" si="33"/>
        <v>0</v>
      </c>
    </row>
    <row r="1068" spans="1:2">
      <c r="A1068" t="str">
        <f t="shared" ca="1" si="32"/>
        <v/>
      </c>
      <c r="B1068">
        <f t="shared" ca="1" si="33"/>
        <v>0</v>
      </c>
    </row>
    <row r="1069" spans="1:2">
      <c r="A1069" t="str">
        <f t="shared" ca="1" si="32"/>
        <v/>
      </c>
      <c r="B1069">
        <f t="shared" ca="1" si="33"/>
        <v>0</v>
      </c>
    </row>
    <row r="1070" spans="1:2">
      <c r="A1070" t="str">
        <f t="shared" ca="1" si="32"/>
        <v/>
      </c>
      <c r="B1070">
        <f t="shared" ca="1" si="33"/>
        <v>0</v>
      </c>
    </row>
    <row r="1071" spans="1:2">
      <c r="A1071" t="str">
        <f t="shared" ca="1" si="32"/>
        <v/>
      </c>
      <c r="B1071">
        <f t="shared" ca="1" si="33"/>
        <v>0</v>
      </c>
    </row>
    <row r="1072" spans="1:2">
      <c r="A1072" t="str">
        <f t="shared" ca="1" si="32"/>
        <v/>
      </c>
      <c r="B1072">
        <f t="shared" ca="1" si="33"/>
        <v>0</v>
      </c>
    </row>
    <row r="1073" spans="1:2">
      <c r="A1073" t="str">
        <f t="shared" ca="1" si="32"/>
        <v/>
      </c>
      <c r="B1073">
        <f t="shared" ca="1" si="33"/>
        <v>0</v>
      </c>
    </row>
    <row r="1074" spans="1:2">
      <c r="A1074" t="str">
        <f t="shared" ca="1" si="32"/>
        <v/>
      </c>
      <c r="B1074">
        <f t="shared" ca="1" si="33"/>
        <v>0</v>
      </c>
    </row>
    <row r="1075" spans="1:2">
      <c r="A1075" t="str">
        <f t="shared" ca="1" si="32"/>
        <v/>
      </c>
      <c r="B1075">
        <f t="shared" ca="1" si="33"/>
        <v>0</v>
      </c>
    </row>
    <row r="1076" spans="1:2">
      <c r="A1076" t="str">
        <f t="shared" ca="1" si="32"/>
        <v/>
      </c>
      <c r="B1076">
        <f t="shared" ca="1" si="33"/>
        <v>0</v>
      </c>
    </row>
    <row r="1077" spans="1:2">
      <c r="A1077" t="str">
        <f t="shared" ca="1" si="32"/>
        <v/>
      </c>
      <c r="B1077">
        <f t="shared" ca="1" si="33"/>
        <v>0</v>
      </c>
    </row>
    <row r="1078" spans="1:2">
      <c r="A1078" t="str">
        <f t="shared" ca="1" si="32"/>
        <v/>
      </c>
      <c r="B1078">
        <f t="shared" ca="1" si="33"/>
        <v>0</v>
      </c>
    </row>
    <row r="1079" spans="1:2">
      <c r="A1079" t="str">
        <f t="shared" ca="1" si="32"/>
        <v/>
      </c>
      <c r="B1079">
        <f t="shared" ca="1" si="33"/>
        <v>0</v>
      </c>
    </row>
    <row r="1080" spans="1:2">
      <c r="A1080" t="str">
        <f t="shared" ca="1" si="32"/>
        <v/>
      </c>
      <c r="B1080">
        <f t="shared" ca="1" si="33"/>
        <v>0</v>
      </c>
    </row>
    <row r="1081" spans="1:2">
      <c r="A1081" t="str">
        <f t="shared" ca="1" si="32"/>
        <v/>
      </c>
      <c r="B1081">
        <f t="shared" ca="1" si="33"/>
        <v>0</v>
      </c>
    </row>
    <row r="1082" spans="1:2">
      <c r="A1082" t="str">
        <f t="shared" ca="1" si="32"/>
        <v/>
      </c>
      <c r="B1082">
        <f t="shared" ca="1" si="33"/>
        <v>0</v>
      </c>
    </row>
    <row r="1083" spans="1:2">
      <c r="A1083" t="str">
        <f t="shared" ca="1" si="32"/>
        <v/>
      </c>
      <c r="B1083">
        <f t="shared" ca="1" si="33"/>
        <v>0</v>
      </c>
    </row>
    <row r="1084" spans="1:2">
      <c r="A1084" t="str">
        <f t="shared" ca="1" si="32"/>
        <v/>
      </c>
      <c r="B1084">
        <f t="shared" ca="1" si="33"/>
        <v>0</v>
      </c>
    </row>
    <row r="1085" spans="1:2">
      <c r="A1085" t="str">
        <f t="shared" ca="1" si="32"/>
        <v/>
      </c>
      <c r="B1085">
        <f t="shared" ca="1" si="33"/>
        <v>0</v>
      </c>
    </row>
    <row r="1086" spans="1:2">
      <c r="A1086" t="str">
        <f t="shared" ca="1" si="32"/>
        <v/>
      </c>
      <c r="B1086">
        <f t="shared" ca="1" si="33"/>
        <v>0</v>
      </c>
    </row>
    <row r="1087" spans="1:2">
      <c r="A1087" t="str">
        <f t="shared" ca="1" si="32"/>
        <v/>
      </c>
      <c r="B1087">
        <f t="shared" ca="1" si="33"/>
        <v>0</v>
      </c>
    </row>
    <row r="1088" spans="1:2">
      <c r="A1088" t="str">
        <f t="shared" ca="1" si="32"/>
        <v/>
      </c>
      <c r="B1088">
        <f t="shared" ca="1" si="33"/>
        <v>0</v>
      </c>
    </row>
    <row r="1089" spans="1:2">
      <c r="A1089" t="str">
        <f t="shared" ca="1" si="32"/>
        <v/>
      </c>
      <c r="B1089">
        <f t="shared" ca="1" si="33"/>
        <v>0</v>
      </c>
    </row>
    <row r="1090" spans="1:2">
      <c r="A1090" t="str">
        <f t="shared" ref="A1090:A1153" ca="1" si="34">CONCATENATE(INDIRECT(ADDRESS(ROW(),3)))</f>
        <v/>
      </c>
      <c r="B1090">
        <f t="shared" ref="B1090:B1153" ca="1" si="35">IF(IF(INDIRECT(ADDRESS(ROW(),1))&lt;&gt;"",IF(ISNA(MATCH(LEFT(INDIRECT(ADDRESS(ROW(),1)),2),PCNG_MN,0))=TRUE,1,0),0)+IF(INDIRECT(ADDRESS(ROW(),1))&lt;&gt;"",IF(ISNA(MATCH(LEFT(INDIRECT(ADDRESS(ROW(),1)),3),PCNG_MN,0))=TRUE,1,0),0)+IF(INDIRECT(ADDRESS(ROW(),1))&lt;&gt;"",IF(ISNA(MATCH(LEFT(INDIRECT(ADDRESS(ROW(),1)),4),PCNG_MN,0))=TRUE,1,0),0)&gt;=3,1,0)</f>
        <v>0</v>
      </c>
    </row>
    <row r="1091" spans="1:2">
      <c r="A1091" t="str">
        <f t="shared" ca="1" si="34"/>
        <v/>
      </c>
      <c r="B1091">
        <f t="shared" ca="1" si="35"/>
        <v>0</v>
      </c>
    </row>
    <row r="1092" spans="1:2">
      <c r="A1092" t="str">
        <f t="shared" ca="1" si="34"/>
        <v/>
      </c>
      <c r="B1092">
        <f t="shared" ca="1" si="35"/>
        <v>0</v>
      </c>
    </row>
    <row r="1093" spans="1:2">
      <c r="A1093" t="str">
        <f t="shared" ca="1" si="34"/>
        <v/>
      </c>
      <c r="B1093">
        <f t="shared" ca="1" si="35"/>
        <v>0</v>
      </c>
    </row>
    <row r="1094" spans="1:2">
      <c r="A1094" t="str">
        <f t="shared" ca="1" si="34"/>
        <v/>
      </c>
      <c r="B1094">
        <f t="shared" ca="1" si="35"/>
        <v>0</v>
      </c>
    </row>
    <row r="1095" spans="1:2">
      <c r="A1095" t="str">
        <f t="shared" ca="1" si="34"/>
        <v/>
      </c>
      <c r="B1095">
        <f t="shared" ca="1" si="35"/>
        <v>0</v>
      </c>
    </row>
    <row r="1096" spans="1:2">
      <c r="A1096" t="str">
        <f t="shared" ca="1" si="34"/>
        <v/>
      </c>
      <c r="B1096">
        <f t="shared" ca="1" si="35"/>
        <v>0</v>
      </c>
    </row>
    <row r="1097" spans="1:2">
      <c r="A1097" t="str">
        <f t="shared" ca="1" si="34"/>
        <v/>
      </c>
      <c r="B1097">
        <f t="shared" ca="1" si="35"/>
        <v>0</v>
      </c>
    </row>
    <row r="1098" spans="1:2">
      <c r="A1098" t="str">
        <f t="shared" ca="1" si="34"/>
        <v/>
      </c>
      <c r="B1098">
        <f t="shared" ca="1" si="35"/>
        <v>0</v>
      </c>
    </row>
    <row r="1099" spans="1:2">
      <c r="A1099" t="str">
        <f t="shared" ca="1" si="34"/>
        <v/>
      </c>
      <c r="B1099">
        <f t="shared" ca="1" si="35"/>
        <v>0</v>
      </c>
    </row>
    <row r="1100" spans="1:2">
      <c r="A1100" t="str">
        <f t="shared" ca="1" si="34"/>
        <v/>
      </c>
      <c r="B1100">
        <f t="shared" ca="1" si="35"/>
        <v>0</v>
      </c>
    </row>
    <row r="1101" spans="1:2">
      <c r="A1101" t="str">
        <f t="shared" ca="1" si="34"/>
        <v/>
      </c>
      <c r="B1101">
        <f t="shared" ca="1" si="35"/>
        <v>0</v>
      </c>
    </row>
    <row r="1102" spans="1:2">
      <c r="A1102" t="str">
        <f t="shared" ca="1" si="34"/>
        <v/>
      </c>
      <c r="B1102">
        <f t="shared" ca="1" si="35"/>
        <v>0</v>
      </c>
    </row>
    <row r="1103" spans="1:2">
      <c r="A1103" t="str">
        <f t="shared" ca="1" si="34"/>
        <v/>
      </c>
      <c r="B1103">
        <f t="shared" ca="1" si="35"/>
        <v>0</v>
      </c>
    </row>
    <row r="1104" spans="1:2">
      <c r="A1104" t="str">
        <f t="shared" ca="1" si="34"/>
        <v/>
      </c>
      <c r="B1104">
        <f t="shared" ca="1" si="35"/>
        <v>0</v>
      </c>
    </row>
    <row r="1105" spans="1:2">
      <c r="A1105" t="str">
        <f t="shared" ca="1" si="34"/>
        <v/>
      </c>
      <c r="B1105">
        <f t="shared" ca="1" si="35"/>
        <v>0</v>
      </c>
    </row>
    <row r="1106" spans="1:2">
      <c r="A1106" t="str">
        <f t="shared" ca="1" si="34"/>
        <v/>
      </c>
      <c r="B1106">
        <f t="shared" ca="1" si="35"/>
        <v>0</v>
      </c>
    </row>
    <row r="1107" spans="1:2">
      <c r="A1107" t="str">
        <f t="shared" ca="1" si="34"/>
        <v/>
      </c>
      <c r="B1107">
        <f t="shared" ca="1" si="35"/>
        <v>0</v>
      </c>
    </row>
    <row r="1108" spans="1:2">
      <c r="A1108" t="str">
        <f t="shared" ca="1" si="34"/>
        <v/>
      </c>
      <c r="B1108">
        <f t="shared" ca="1" si="35"/>
        <v>0</v>
      </c>
    </row>
    <row r="1109" spans="1:2">
      <c r="A1109" t="str">
        <f t="shared" ca="1" si="34"/>
        <v/>
      </c>
      <c r="B1109">
        <f t="shared" ca="1" si="35"/>
        <v>0</v>
      </c>
    </row>
    <row r="1110" spans="1:2">
      <c r="A1110" t="str">
        <f t="shared" ca="1" si="34"/>
        <v/>
      </c>
      <c r="B1110">
        <f t="shared" ca="1" si="35"/>
        <v>0</v>
      </c>
    </row>
    <row r="1111" spans="1:2">
      <c r="A1111" t="str">
        <f t="shared" ca="1" si="34"/>
        <v/>
      </c>
      <c r="B1111">
        <f t="shared" ca="1" si="35"/>
        <v>0</v>
      </c>
    </row>
    <row r="1112" spans="1:2">
      <c r="A1112" t="str">
        <f t="shared" ca="1" si="34"/>
        <v/>
      </c>
      <c r="B1112">
        <f t="shared" ca="1" si="35"/>
        <v>0</v>
      </c>
    </row>
    <row r="1113" spans="1:2">
      <c r="A1113" t="str">
        <f t="shared" ca="1" si="34"/>
        <v/>
      </c>
      <c r="B1113">
        <f t="shared" ca="1" si="35"/>
        <v>0</v>
      </c>
    </row>
    <row r="1114" spans="1:2">
      <c r="A1114" t="str">
        <f t="shared" ca="1" si="34"/>
        <v/>
      </c>
      <c r="B1114">
        <f t="shared" ca="1" si="35"/>
        <v>0</v>
      </c>
    </row>
    <row r="1115" spans="1:2">
      <c r="A1115" t="str">
        <f t="shared" ca="1" si="34"/>
        <v/>
      </c>
      <c r="B1115">
        <f t="shared" ca="1" si="35"/>
        <v>0</v>
      </c>
    </row>
    <row r="1116" spans="1:2">
      <c r="A1116" t="str">
        <f t="shared" ca="1" si="34"/>
        <v/>
      </c>
      <c r="B1116">
        <f t="shared" ca="1" si="35"/>
        <v>0</v>
      </c>
    </row>
    <row r="1117" spans="1:2">
      <c r="A1117" t="str">
        <f t="shared" ca="1" si="34"/>
        <v/>
      </c>
      <c r="B1117">
        <f t="shared" ca="1" si="35"/>
        <v>0</v>
      </c>
    </row>
    <row r="1118" spans="1:2">
      <c r="A1118" t="str">
        <f t="shared" ca="1" si="34"/>
        <v/>
      </c>
      <c r="B1118">
        <f t="shared" ca="1" si="35"/>
        <v>0</v>
      </c>
    </row>
    <row r="1119" spans="1:2">
      <c r="A1119" t="str">
        <f t="shared" ca="1" si="34"/>
        <v/>
      </c>
      <c r="B1119">
        <f t="shared" ca="1" si="35"/>
        <v>0</v>
      </c>
    </row>
    <row r="1120" spans="1:2">
      <c r="A1120" t="str">
        <f t="shared" ca="1" si="34"/>
        <v/>
      </c>
      <c r="B1120">
        <f t="shared" ca="1" si="35"/>
        <v>0</v>
      </c>
    </row>
    <row r="1121" spans="1:2">
      <c r="A1121" t="str">
        <f t="shared" ca="1" si="34"/>
        <v/>
      </c>
      <c r="B1121">
        <f t="shared" ca="1" si="35"/>
        <v>0</v>
      </c>
    </row>
    <row r="1122" spans="1:2">
      <c r="A1122" t="str">
        <f t="shared" ca="1" si="34"/>
        <v/>
      </c>
      <c r="B1122">
        <f t="shared" ca="1" si="35"/>
        <v>0</v>
      </c>
    </row>
    <row r="1123" spans="1:2">
      <c r="A1123" t="str">
        <f t="shared" ca="1" si="34"/>
        <v/>
      </c>
      <c r="B1123">
        <f t="shared" ca="1" si="35"/>
        <v>0</v>
      </c>
    </row>
    <row r="1124" spans="1:2">
      <c r="A1124" t="str">
        <f t="shared" ca="1" si="34"/>
        <v/>
      </c>
      <c r="B1124">
        <f t="shared" ca="1" si="35"/>
        <v>0</v>
      </c>
    </row>
    <row r="1125" spans="1:2">
      <c r="A1125" t="str">
        <f t="shared" ca="1" si="34"/>
        <v/>
      </c>
      <c r="B1125">
        <f t="shared" ca="1" si="35"/>
        <v>0</v>
      </c>
    </row>
    <row r="1126" spans="1:2">
      <c r="A1126" t="str">
        <f t="shared" ca="1" si="34"/>
        <v/>
      </c>
      <c r="B1126">
        <f t="shared" ca="1" si="35"/>
        <v>0</v>
      </c>
    </row>
    <row r="1127" spans="1:2">
      <c r="A1127" t="str">
        <f t="shared" ca="1" si="34"/>
        <v/>
      </c>
      <c r="B1127">
        <f t="shared" ca="1" si="35"/>
        <v>0</v>
      </c>
    </row>
    <row r="1128" spans="1:2">
      <c r="A1128" t="str">
        <f t="shared" ca="1" si="34"/>
        <v/>
      </c>
      <c r="B1128">
        <f t="shared" ca="1" si="35"/>
        <v>0</v>
      </c>
    </row>
    <row r="1129" spans="1:2">
      <c r="A1129" t="str">
        <f t="shared" ca="1" si="34"/>
        <v/>
      </c>
      <c r="B1129">
        <f t="shared" ca="1" si="35"/>
        <v>0</v>
      </c>
    </row>
    <row r="1130" spans="1:2">
      <c r="A1130" t="str">
        <f t="shared" ca="1" si="34"/>
        <v/>
      </c>
      <c r="B1130">
        <f t="shared" ca="1" si="35"/>
        <v>0</v>
      </c>
    </row>
    <row r="1131" spans="1:2">
      <c r="A1131" t="str">
        <f t="shared" ca="1" si="34"/>
        <v/>
      </c>
      <c r="B1131">
        <f t="shared" ca="1" si="35"/>
        <v>0</v>
      </c>
    </row>
    <row r="1132" spans="1:2">
      <c r="A1132" t="str">
        <f t="shared" ca="1" si="34"/>
        <v/>
      </c>
      <c r="B1132">
        <f t="shared" ca="1" si="35"/>
        <v>0</v>
      </c>
    </row>
    <row r="1133" spans="1:2">
      <c r="A1133" t="str">
        <f t="shared" ca="1" si="34"/>
        <v/>
      </c>
      <c r="B1133">
        <f t="shared" ca="1" si="35"/>
        <v>0</v>
      </c>
    </row>
    <row r="1134" spans="1:2">
      <c r="A1134" t="str">
        <f t="shared" ca="1" si="34"/>
        <v/>
      </c>
      <c r="B1134">
        <f t="shared" ca="1" si="35"/>
        <v>0</v>
      </c>
    </row>
    <row r="1135" spans="1:2">
      <c r="A1135" t="str">
        <f t="shared" ca="1" si="34"/>
        <v/>
      </c>
      <c r="B1135">
        <f t="shared" ca="1" si="35"/>
        <v>0</v>
      </c>
    </row>
    <row r="1136" spans="1:2">
      <c r="A1136" t="str">
        <f t="shared" ca="1" si="34"/>
        <v/>
      </c>
      <c r="B1136">
        <f t="shared" ca="1" si="35"/>
        <v>0</v>
      </c>
    </row>
    <row r="1137" spans="1:2">
      <c r="A1137" t="str">
        <f t="shared" ca="1" si="34"/>
        <v/>
      </c>
      <c r="B1137">
        <f t="shared" ca="1" si="35"/>
        <v>0</v>
      </c>
    </row>
    <row r="1138" spans="1:2">
      <c r="A1138" t="str">
        <f t="shared" ca="1" si="34"/>
        <v/>
      </c>
      <c r="B1138">
        <f t="shared" ca="1" si="35"/>
        <v>0</v>
      </c>
    </row>
    <row r="1139" spans="1:2">
      <c r="A1139" t="str">
        <f t="shared" ca="1" si="34"/>
        <v/>
      </c>
      <c r="B1139">
        <f t="shared" ca="1" si="35"/>
        <v>0</v>
      </c>
    </row>
    <row r="1140" spans="1:2">
      <c r="A1140" t="str">
        <f t="shared" ca="1" si="34"/>
        <v/>
      </c>
      <c r="B1140">
        <f t="shared" ca="1" si="35"/>
        <v>0</v>
      </c>
    </row>
    <row r="1141" spans="1:2">
      <c r="A1141" t="str">
        <f t="shared" ca="1" si="34"/>
        <v/>
      </c>
      <c r="B1141">
        <f t="shared" ca="1" si="35"/>
        <v>0</v>
      </c>
    </row>
    <row r="1142" spans="1:2">
      <c r="A1142" t="str">
        <f t="shared" ca="1" si="34"/>
        <v/>
      </c>
      <c r="B1142">
        <f t="shared" ca="1" si="35"/>
        <v>0</v>
      </c>
    </row>
    <row r="1143" spans="1:2">
      <c r="A1143" t="str">
        <f t="shared" ca="1" si="34"/>
        <v/>
      </c>
      <c r="B1143">
        <f t="shared" ca="1" si="35"/>
        <v>0</v>
      </c>
    </row>
    <row r="1144" spans="1:2">
      <c r="A1144" t="str">
        <f t="shared" ca="1" si="34"/>
        <v/>
      </c>
      <c r="B1144">
        <f t="shared" ca="1" si="35"/>
        <v>0</v>
      </c>
    </row>
    <row r="1145" spans="1:2">
      <c r="A1145" t="str">
        <f t="shared" ca="1" si="34"/>
        <v/>
      </c>
      <c r="B1145">
        <f t="shared" ca="1" si="35"/>
        <v>0</v>
      </c>
    </row>
    <row r="1146" spans="1:2">
      <c r="A1146" t="str">
        <f t="shared" ca="1" si="34"/>
        <v/>
      </c>
      <c r="B1146">
        <f t="shared" ca="1" si="35"/>
        <v>0</v>
      </c>
    </row>
    <row r="1147" spans="1:2">
      <c r="A1147" t="str">
        <f t="shared" ca="1" si="34"/>
        <v/>
      </c>
      <c r="B1147">
        <f t="shared" ca="1" si="35"/>
        <v>0</v>
      </c>
    </row>
    <row r="1148" spans="1:2">
      <c r="A1148" t="str">
        <f t="shared" ca="1" si="34"/>
        <v/>
      </c>
      <c r="B1148">
        <f t="shared" ca="1" si="35"/>
        <v>0</v>
      </c>
    </row>
    <row r="1149" spans="1:2">
      <c r="A1149" t="str">
        <f t="shared" ca="1" si="34"/>
        <v/>
      </c>
      <c r="B1149">
        <f t="shared" ca="1" si="35"/>
        <v>0</v>
      </c>
    </row>
    <row r="1150" spans="1:2">
      <c r="A1150" t="str">
        <f t="shared" ca="1" si="34"/>
        <v/>
      </c>
      <c r="B1150">
        <f t="shared" ca="1" si="35"/>
        <v>0</v>
      </c>
    </row>
    <row r="1151" spans="1:2">
      <c r="A1151" t="str">
        <f t="shared" ca="1" si="34"/>
        <v/>
      </c>
      <c r="B1151">
        <f t="shared" ca="1" si="35"/>
        <v>0</v>
      </c>
    </row>
    <row r="1152" spans="1:2">
      <c r="A1152" t="str">
        <f t="shared" ca="1" si="34"/>
        <v/>
      </c>
      <c r="B1152">
        <f t="shared" ca="1" si="35"/>
        <v>0</v>
      </c>
    </row>
    <row r="1153" spans="1:2">
      <c r="A1153" t="str">
        <f t="shared" ca="1" si="34"/>
        <v/>
      </c>
      <c r="B1153">
        <f t="shared" ca="1" si="35"/>
        <v>0</v>
      </c>
    </row>
    <row r="1154" spans="1:2">
      <c r="A1154" t="str">
        <f t="shared" ref="A1154:A1217" ca="1" si="36">CONCATENATE(INDIRECT(ADDRESS(ROW(),3)))</f>
        <v/>
      </c>
      <c r="B1154">
        <f t="shared" ref="B1154:B1217" ca="1" si="37">IF(IF(INDIRECT(ADDRESS(ROW(),1))&lt;&gt;"",IF(ISNA(MATCH(LEFT(INDIRECT(ADDRESS(ROW(),1)),2),PCNG_MN,0))=TRUE,1,0),0)+IF(INDIRECT(ADDRESS(ROW(),1))&lt;&gt;"",IF(ISNA(MATCH(LEFT(INDIRECT(ADDRESS(ROW(),1)),3),PCNG_MN,0))=TRUE,1,0),0)+IF(INDIRECT(ADDRESS(ROW(),1))&lt;&gt;"",IF(ISNA(MATCH(LEFT(INDIRECT(ADDRESS(ROW(),1)),4),PCNG_MN,0))=TRUE,1,0),0)&gt;=3,1,0)</f>
        <v>0</v>
      </c>
    </row>
    <row r="1155" spans="1:2">
      <c r="A1155" t="str">
        <f t="shared" ca="1" si="36"/>
        <v/>
      </c>
      <c r="B1155">
        <f t="shared" ca="1" si="37"/>
        <v>0</v>
      </c>
    </row>
    <row r="1156" spans="1:2">
      <c r="A1156" t="str">
        <f t="shared" ca="1" si="36"/>
        <v/>
      </c>
      <c r="B1156">
        <f t="shared" ca="1" si="37"/>
        <v>0</v>
      </c>
    </row>
    <row r="1157" spans="1:2">
      <c r="A1157" t="str">
        <f t="shared" ca="1" si="36"/>
        <v/>
      </c>
      <c r="B1157">
        <f t="shared" ca="1" si="37"/>
        <v>0</v>
      </c>
    </row>
    <row r="1158" spans="1:2">
      <c r="A1158" t="str">
        <f t="shared" ca="1" si="36"/>
        <v/>
      </c>
      <c r="B1158">
        <f t="shared" ca="1" si="37"/>
        <v>0</v>
      </c>
    </row>
    <row r="1159" spans="1:2">
      <c r="A1159" t="str">
        <f t="shared" ca="1" si="36"/>
        <v/>
      </c>
      <c r="B1159">
        <f t="shared" ca="1" si="37"/>
        <v>0</v>
      </c>
    </row>
    <row r="1160" spans="1:2">
      <c r="A1160" t="str">
        <f t="shared" ca="1" si="36"/>
        <v/>
      </c>
      <c r="B1160">
        <f t="shared" ca="1" si="37"/>
        <v>0</v>
      </c>
    </row>
    <row r="1161" spans="1:2">
      <c r="A1161" t="str">
        <f t="shared" ca="1" si="36"/>
        <v/>
      </c>
      <c r="B1161">
        <f t="shared" ca="1" si="37"/>
        <v>0</v>
      </c>
    </row>
    <row r="1162" spans="1:2">
      <c r="A1162" t="str">
        <f t="shared" ca="1" si="36"/>
        <v/>
      </c>
      <c r="B1162">
        <f t="shared" ca="1" si="37"/>
        <v>0</v>
      </c>
    </row>
    <row r="1163" spans="1:2">
      <c r="A1163" t="str">
        <f t="shared" ca="1" si="36"/>
        <v/>
      </c>
      <c r="B1163">
        <f t="shared" ca="1" si="37"/>
        <v>0</v>
      </c>
    </row>
    <row r="1164" spans="1:2">
      <c r="A1164" t="str">
        <f t="shared" ca="1" si="36"/>
        <v/>
      </c>
      <c r="B1164">
        <f t="shared" ca="1" si="37"/>
        <v>0</v>
      </c>
    </row>
    <row r="1165" spans="1:2">
      <c r="A1165" t="str">
        <f t="shared" ca="1" si="36"/>
        <v/>
      </c>
      <c r="B1165">
        <f t="shared" ca="1" si="37"/>
        <v>0</v>
      </c>
    </row>
    <row r="1166" spans="1:2">
      <c r="A1166" t="str">
        <f t="shared" ca="1" si="36"/>
        <v/>
      </c>
      <c r="B1166">
        <f t="shared" ca="1" si="37"/>
        <v>0</v>
      </c>
    </row>
    <row r="1167" spans="1:2">
      <c r="A1167" t="str">
        <f t="shared" ca="1" si="36"/>
        <v/>
      </c>
      <c r="B1167">
        <f t="shared" ca="1" si="37"/>
        <v>0</v>
      </c>
    </row>
    <row r="1168" spans="1:2">
      <c r="A1168" t="str">
        <f t="shared" ca="1" si="36"/>
        <v/>
      </c>
      <c r="B1168">
        <f t="shared" ca="1" si="37"/>
        <v>0</v>
      </c>
    </row>
    <row r="1169" spans="1:2">
      <c r="A1169" t="str">
        <f t="shared" ca="1" si="36"/>
        <v/>
      </c>
      <c r="B1169">
        <f t="shared" ca="1" si="37"/>
        <v>0</v>
      </c>
    </row>
    <row r="1170" spans="1:2">
      <c r="A1170" t="str">
        <f t="shared" ca="1" si="36"/>
        <v/>
      </c>
      <c r="B1170">
        <f t="shared" ca="1" si="37"/>
        <v>0</v>
      </c>
    </row>
    <row r="1171" spans="1:2">
      <c r="A1171" t="str">
        <f t="shared" ca="1" si="36"/>
        <v/>
      </c>
      <c r="B1171">
        <f t="shared" ca="1" si="37"/>
        <v>0</v>
      </c>
    </row>
    <row r="1172" spans="1:2">
      <c r="A1172" t="str">
        <f t="shared" ca="1" si="36"/>
        <v/>
      </c>
      <c r="B1172">
        <f t="shared" ca="1" si="37"/>
        <v>0</v>
      </c>
    </row>
    <row r="1173" spans="1:2">
      <c r="A1173" t="str">
        <f t="shared" ca="1" si="36"/>
        <v/>
      </c>
      <c r="B1173">
        <f t="shared" ca="1" si="37"/>
        <v>0</v>
      </c>
    </row>
    <row r="1174" spans="1:2">
      <c r="A1174" t="str">
        <f t="shared" ca="1" si="36"/>
        <v/>
      </c>
      <c r="B1174">
        <f t="shared" ca="1" si="37"/>
        <v>0</v>
      </c>
    </row>
    <row r="1175" spans="1:2">
      <c r="A1175" t="str">
        <f t="shared" ca="1" si="36"/>
        <v/>
      </c>
      <c r="B1175">
        <f t="shared" ca="1" si="37"/>
        <v>0</v>
      </c>
    </row>
    <row r="1176" spans="1:2">
      <c r="A1176" t="str">
        <f t="shared" ca="1" si="36"/>
        <v/>
      </c>
      <c r="B1176">
        <f t="shared" ca="1" si="37"/>
        <v>0</v>
      </c>
    </row>
    <row r="1177" spans="1:2">
      <c r="A1177" t="str">
        <f t="shared" ca="1" si="36"/>
        <v/>
      </c>
      <c r="B1177">
        <f t="shared" ca="1" si="37"/>
        <v>0</v>
      </c>
    </row>
    <row r="1178" spans="1:2">
      <c r="A1178" t="str">
        <f t="shared" ca="1" si="36"/>
        <v/>
      </c>
      <c r="B1178">
        <f t="shared" ca="1" si="37"/>
        <v>0</v>
      </c>
    </row>
    <row r="1179" spans="1:2">
      <c r="A1179" t="str">
        <f t="shared" ca="1" si="36"/>
        <v/>
      </c>
      <c r="B1179">
        <f t="shared" ca="1" si="37"/>
        <v>0</v>
      </c>
    </row>
    <row r="1180" spans="1:2">
      <c r="A1180" t="str">
        <f t="shared" ca="1" si="36"/>
        <v/>
      </c>
      <c r="B1180">
        <f t="shared" ca="1" si="37"/>
        <v>0</v>
      </c>
    </row>
    <row r="1181" spans="1:2">
      <c r="A1181" t="str">
        <f t="shared" ca="1" si="36"/>
        <v/>
      </c>
      <c r="B1181">
        <f t="shared" ca="1" si="37"/>
        <v>0</v>
      </c>
    </row>
    <row r="1182" spans="1:2">
      <c r="A1182" t="str">
        <f t="shared" ca="1" si="36"/>
        <v/>
      </c>
      <c r="B1182">
        <f t="shared" ca="1" si="37"/>
        <v>0</v>
      </c>
    </row>
    <row r="1183" spans="1:2">
      <c r="A1183" t="str">
        <f t="shared" ca="1" si="36"/>
        <v/>
      </c>
      <c r="B1183">
        <f t="shared" ca="1" si="37"/>
        <v>0</v>
      </c>
    </row>
    <row r="1184" spans="1:2">
      <c r="A1184" t="str">
        <f t="shared" ca="1" si="36"/>
        <v/>
      </c>
      <c r="B1184">
        <f t="shared" ca="1" si="37"/>
        <v>0</v>
      </c>
    </row>
    <row r="1185" spans="1:2">
      <c r="A1185" t="str">
        <f t="shared" ca="1" si="36"/>
        <v/>
      </c>
      <c r="B1185">
        <f t="shared" ca="1" si="37"/>
        <v>0</v>
      </c>
    </row>
    <row r="1186" spans="1:2">
      <c r="A1186" t="str">
        <f t="shared" ca="1" si="36"/>
        <v/>
      </c>
      <c r="B1186">
        <f t="shared" ca="1" si="37"/>
        <v>0</v>
      </c>
    </row>
    <row r="1187" spans="1:2">
      <c r="A1187" t="str">
        <f t="shared" ca="1" si="36"/>
        <v/>
      </c>
      <c r="B1187">
        <f t="shared" ca="1" si="37"/>
        <v>0</v>
      </c>
    </row>
    <row r="1188" spans="1:2">
      <c r="A1188" t="str">
        <f t="shared" ca="1" si="36"/>
        <v/>
      </c>
      <c r="B1188">
        <f t="shared" ca="1" si="37"/>
        <v>0</v>
      </c>
    </row>
    <row r="1189" spans="1:2">
      <c r="A1189" t="str">
        <f t="shared" ca="1" si="36"/>
        <v/>
      </c>
      <c r="B1189">
        <f t="shared" ca="1" si="37"/>
        <v>0</v>
      </c>
    </row>
    <row r="1190" spans="1:2">
      <c r="A1190" t="str">
        <f t="shared" ca="1" si="36"/>
        <v/>
      </c>
      <c r="B1190">
        <f t="shared" ca="1" si="37"/>
        <v>0</v>
      </c>
    </row>
    <row r="1191" spans="1:2">
      <c r="A1191" t="str">
        <f t="shared" ca="1" si="36"/>
        <v/>
      </c>
      <c r="B1191">
        <f t="shared" ca="1" si="37"/>
        <v>0</v>
      </c>
    </row>
    <row r="1192" spans="1:2">
      <c r="A1192" t="str">
        <f t="shared" ca="1" si="36"/>
        <v/>
      </c>
      <c r="B1192">
        <f t="shared" ca="1" si="37"/>
        <v>0</v>
      </c>
    </row>
    <row r="1193" spans="1:2">
      <c r="A1193" t="str">
        <f t="shared" ca="1" si="36"/>
        <v/>
      </c>
      <c r="B1193">
        <f t="shared" ca="1" si="37"/>
        <v>0</v>
      </c>
    </row>
    <row r="1194" spans="1:2">
      <c r="A1194" t="str">
        <f t="shared" ca="1" si="36"/>
        <v/>
      </c>
      <c r="B1194">
        <f t="shared" ca="1" si="37"/>
        <v>0</v>
      </c>
    </row>
    <row r="1195" spans="1:2">
      <c r="A1195" t="str">
        <f t="shared" ca="1" si="36"/>
        <v/>
      </c>
      <c r="B1195">
        <f t="shared" ca="1" si="37"/>
        <v>0</v>
      </c>
    </row>
    <row r="1196" spans="1:2">
      <c r="A1196" t="str">
        <f t="shared" ca="1" si="36"/>
        <v/>
      </c>
      <c r="B1196">
        <f t="shared" ca="1" si="37"/>
        <v>0</v>
      </c>
    </row>
    <row r="1197" spans="1:2">
      <c r="A1197" t="str">
        <f t="shared" ca="1" si="36"/>
        <v/>
      </c>
      <c r="B1197">
        <f t="shared" ca="1" si="37"/>
        <v>0</v>
      </c>
    </row>
    <row r="1198" spans="1:2">
      <c r="A1198" t="str">
        <f t="shared" ca="1" si="36"/>
        <v/>
      </c>
      <c r="B1198">
        <f t="shared" ca="1" si="37"/>
        <v>0</v>
      </c>
    </row>
    <row r="1199" spans="1:2">
      <c r="A1199" t="str">
        <f t="shared" ca="1" si="36"/>
        <v/>
      </c>
      <c r="B1199">
        <f t="shared" ca="1" si="37"/>
        <v>0</v>
      </c>
    </row>
    <row r="1200" spans="1:2">
      <c r="A1200" t="str">
        <f t="shared" ca="1" si="36"/>
        <v/>
      </c>
      <c r="B1200">
        <f t="shared" ca="1" si="37"/>
        <v>0</v>
      </c>
    </row>
    <row r="1201" spans="1:2">
      <c r="A1201" t="str">
        <f t="shared" ca="1" si="36"/>
        <v/>
      </c>
      <c r="B1201">
        <f t="shared" ca="1" si="37"/>
        <v>0</v>
      </c>
    </row>
    <row r="1202" spans="1:2">
      <c r="A1202" t="str">
        <f t="shared" ca="1" si="36"/>
        <v/>
      </c>
      <c r="B1202">
        <f t="shared" ca="1" si="37"/>
        <v>0</v>
      </c>
    </row>
    <row r="1203" spans="1:2">
      <c r="A1203" t="str">
        <f t="shared" ca="1" si="36"/>
        <v/>
      </c>
      <c r="B1203">
        <f t="shared" ca="1" si="37"/>
        <v>0</v>
      </c>
    </row>
    <row r="1204" spans="1:2">
      <c r="A1204" t="str">
        <f t="shared" ca="1" si="36"/>
        <v/>
      </c>
      <c r="B1204">
        <f t="shared" ca="1" si="37"/>
        <v>0</v>
      </c>
    </row>
    <row r="1205" spans="1:2">
      <c r="A1205" t="str">
        <f t="shared" ca="1" si="36"/>
        <v/>
      </c>
      <c r="B1205">
        <f t="shared" ca="1" si="37"/>
        <v>0</v>
      </c>
    </row>
    <row r="1206" spans="1:2">
      <c r="A1206" t="str">
        <f t="shared" ca="1" si="36"/>
        <v/>
      </c>
      <c r="B1206">
        <f t="shared" ca="1" si="37"/>
        <v>0</v>
      </c>
    </row>
    <row r="1207" spans="1:2">
      <c r="A1207" t="str">
        <f t="shared" ca="1" si="36"/>
        <v/>
      </c>
      <c r="B1207">
        <f t="shared" ca="1" si="37"/>
        <v>0</v>
      </c>
    </row>
    <row r="1208" spans="1:2">
      <c r="A1208" t="str">
        <f t="shared" ca="1" si="36"/>
        <v/>
      </c>
      <c r="B1208">
        <f t="shared" ca="1" si="37"/>
        <v>0</v>
      </c>
    </row>
    <row r="1209" spans="1:2">
      <c r="A1209" t="str">
        <f t="shared" ca="1" si="36"/>
        <v/>
      </c>
      <c r="B1209">
        <f t="shared" ca="1" si="37"/>
        <v>0</v>
      </c>
    </row>
    <row r="1210" spans="1:2">
      <c r="A1210" t="str">
        <f t="shared" ca="1" si="36"/>
        <v/>
      </c>
      <c r="B1210">
        <f t="shared" ca="1" si="37"/>
        <v>0</v>
      </c>
    </row>
    <row r="1211" spans="1:2">
      <c r="A1211" t="str">
        <f t="shared" ca="1" si="36"/>
        <v/>
      </c>
      <c r="B1211">
        <f t="shared" ca="1" si="37"/>
        <v>0</v>
      </c>
    </row>
    <row r="1212" spans="1:2">
      <c r="A1212" t="str">
        <f t="shared" ca="1" si="36"/>
        <v/>
      </c>
      <c r="B1212">
        <f t="shared" ca="1" si="37"/>
        <v>0</v>
      </c>
    </row>
    <row r="1213" spans="1:2">
      <c r="A1213" t="str">
        <f t="shared" ca="1" si="36"/>
        <v/>
      </c>
      <c r="B1213">
        <f t="shared" ca="1" si="37"/>
        <v>0</v>
      </c>
    </row>
    <row r="1214" spans="1:2">
      <c r="A1214" t="str">
        <f t="shared" ca="1" si="36"/>
        <v/>
      </c>
      <c r="B1214">
        <f t="shared" ca="1" si="37"/>
        <v>0</v>
      </c>
    </row>
    <row r="1215" spans="1:2">
      <c r="A1215" t="str">
        <f t="shared" ca="1" si="36"/>
        <v/>
      </c>
      <c r="B1215">
        <f t="shared" ca="1" si="37"/>
        <v>0</v>
      </c>
    </row>
    <row r="1216" spans="1:2">
      <c r="A1216" t="str">
        <f t="shared" ca="1" si="36"/>
        <v/>
      </c>
      <c r="B1216">
        <f t="shared" ca="1" si="37"/>
        <v>0</v>
      </c>
    </row>
    <row r="1217" spans="1:2">
      <c r="A1217" t="str">
        <f t="shared" ca="1" si="36"/>
        <v/>
      </c>
      <c r="B1217">
        <f t="shared" ca="1" si="37"/>
        <v>0</v>
      </c>
    </row>
    <row r="1218" spans="1:2">
      <c r="A1218" t="str">
        <f t="shared" ref="A1218:A1281" ca="1" si="38">CONCATENATE(INDIRECT(ADDRESS(ROW(),3)))</f>
        <v/>
      </c>
      <c r="B1218">
        <f t="shared" ref="B1218:B1281" ca="1" si="39">IF(IF(INDIRECT(ADDRESS(ROW(),1))&lt;&gt;"",IF(ISNA(MATCH(LEFT(INDIRECT(ADDRESS(ROW(),1)),2),PCNG_MN,0))=TRUE,1,0),0)+IF(INDIRECT(ADDRESS(ROW(),1))&lt;&gt;"",IF(ISNA(MATCH(LEFT(INDIRECT(ADDRESS(ROW(),1)),3),PCNG_MN,0))=TRUE,1,0),0)+IF(INDIRECT(ADDRESS(ROW(),1))&lt;&gt;"",IF(ISNA(MATCH(LEFT(INDIRECT(ADDRESS(ROW(),1)),4),PCNG_MN,0))=TRUE,1,0),0)&gt;=3,1,0)</f>
        <v>0</v>
      </c>
    </row>
    <row r="1219" spans="1:2">
      <c r="A1219" t="str">
        <f t="shared" ca="1" si="38"/>
        <v/>
      </c>
      <c r="B1219">
        <f t="shared" ca="1" si="39"/>
        <v>0</v>
      </c>
    </row>
    <row r="1220" spans="1:2">
      <c r="A1220" t="str">
        <f t="shared" ca="1" si="38"/>
        <v/>
      </c>
      <c r="B1220">
        <f t="shared" ca="1" si="39"/>
        <v>0</v>
      </c>
    </row>
    <row r="1221" spans="1:2">
      <c r="A1221" t="str">
        <f t="shared" ca="1" si="38"/>
        <v/>
      </c>
      <c r="B1221">
        <f t="shared" ca="1" si="39"/>
        <v>0</v>
      </c>
    </row>
    <row r="1222" spans="1:2">
      <c r="A1222" t="str">
        <f t="shared" ca="1" si="38"/>
        <v/>
      </c>
      <c r="B1222">
        <f t="shared" ca="1" si="39"/>
        <v>0</v>
      </c>
    </row>
    <row r="1223" spans="1:2">
      <c r="A1223" t="str">
        <f t="shared" ca="1" si="38"/>
        <v/>
      </c>
      <c r="B1223">
        <f t="shared" ca="1" si="39"/>
        <v>0</v>
      </c>
    </row>
    <row r="1224" spans="1:2">
      <c r="A1224" t="str">
        <f t="shared" ca="1" si="38"/>
        <v/>
      </c>
      <c r="B1224">
        <f t="shared" ca="1" si="39"/>
        <v>0</v>
      </c>
    </row>
    <row r="1225" spans="1:2">
      <c r="A1225" t="str">
        <f t="shared" ca="1" si="38"/>
        <v/>
      </c>
      <c r="B1225">
        <f t="shared" ca="1" si="39"/>
        <v>0</v>
      </c>
    </row>
    <row r="1226" spans="1:2">
      <c r="A1226" t="str">
        <f t="shared" ca="1" si="38"/>
        <v/>
      </c>
      <c r="B1226">
        <f t="shared" ca="1" si="39"/>
        <v>0</v>
      </c>
    </row>
    <row r="1227" spans="1:2">
      <c r="A1227" t="str">
        <f t="shared" ca="1" si="38"/>
        <v/>
      </c>
      <c r="B1227">
        <f t="shared" ca="1" si="39"/>
        <v>0</v>
      </c>
    </row>
    <row r="1228" spans="1:2">
      <c r="A1228" t="str">
        <f t="shared" ca="1" si="38"/>
        <v/>
      </c>
      <c r="B1228">
        <f t="shared" ca="1" si="39"/>
        <v>0</v>
      </c>
    </row>
    <row r="1229" spans="1:2">
      <c r="A1229" t="str">
        <f t="shared" ca="1" si="38"/>
        <v/>
      </c>
      <c r="B1229">
        <f t="shared" ca="1" si="39"/>
        <v>0</v>
      </c>
    </row>
    <row r="1230" spans="1:2">
      <c r="A1230" t="str">
        <f t="shared" ca="1" si="38"/>
        <v/>
      </c>
      <c r="B1230">
        <f t="shared" ca="1" si="39"/>
        <v>0</v>
      </c>
    </row>
    <row r="1231" spans="1:2">
      <c r="A1231" t="str">
        <f t="shared" ca="1" si="38"/>
        <v/>
      </c>
      <c r="B1231">
        <f t="shared" ca="1" si="39"/>
        <v>0</v>
      </c>
    </row>
    <row r="1232" spans="1:2">
      <c r="A1232" t="str">
        <f t="shared" ca="1" si="38"/>
        <v/>
      </c>
      <c r="B1232">
        <f t="shared" ca="1" si="39"/>
        <v>0</v>
      </c>
    </row>
    <row r="1233" spans="1:2">
      <c r="A1233" t="str">
        <f t="shared" ca="1" si="38"/>
        <v/>
      </c>
      <c r="B1233">
        <f t="shared" ca="1" si="39"/>
        <v>0</v>
      </c>
    </row>
    <row r="1234" spans="1:2">
      <c r="A1234" t="str">
        <f t="shared" ca="1" si="38"/>
        <v/>
      </c>
      <c r="B1234">
        <f t="shared" ca="1" si="39"/>
        <v>0</v>
      </c>
    </row>
    <row r="1235" spans="1:2">
      <c r="A1235" t="str">
        <f t="shared" ca="1" si="38"/>
        <v/>
      </c>
      <c r="B1235">
        <f t="shared" ca="1" si="39"/>
        <v>0</v>
      </c>
    </row>
    <row r="1236" spans="1:2">
      <c r="A1236" t="str">
        <f t="shared" ca="1" si="38"/>
        <v/>
      </c>
      <c r="B1236">
        <f t="shared" ca="1" si="39"/>
        <v>0</v>
      </c>
    </row>
    <row r="1237" spans="1:2">
      <c r="A1237" t="str">
        <f t="shared" ca="1" si="38"/>
        <v/>
      </c>
      <c r="B1237">
        <f t="shared" ca="1" si="39"/>
        <v>0</v>
      </c>
    </row>
    <row r="1238" spans="1:2">
      <c r="A1238" t="str">
        <f t="shared" ca="1" si="38"/>
        <v/>
      </c>
      <c r="B1238">
        <f t="shared" ca="1" si="39"/>
        <v>0</v>
      </c>
    </row>
    <row r="1239" spans="1:2">
      <c r="A1239" t="str">
        <f t="shared" ca="1" si="38"/>
        <v/>
      </c>
      <c r="B1239">
        <f t="shared" ca="1" si="39"/>
        <v>0</v>
      </c>
    </row>
    <row r="1240" spans="1:2">
      <c r="A1240" t="str">
        <f t="shared" ca="1" si="38"/>
        <v/>
      </c>
      <c r="B1240">
        <f t="shared" ca="1" si="39"/>
        <v>0</v>
      </c>
    </row>
    <row r="1241" spans="1:2">
      <c r="A1241" t="str">
        <f t="shared" ca="1" si="38"/>
        <v/>
      </c>
      <c r="B1241">
        <f t="shared" ca="1" si="39"/>
        <v>0</v>
      </c>
    </row>
    <row r="1242" spans="1:2">
      <c r="A1242" t="str">
        <f t="shared" ca="1" si="38"/>
        <v/>
      </c>
      <c r="B1242">
        <f t="shared" ca="1" si="39"/>
        <v>0</v>
      </c>
    </row>
    <row r="1243" spans="1:2">
      <c r="A1243" t="str">
        <f t="shared" ca="1" si="38"/>
        <v/>
      </c>
      <c r="B1243">
        <f t="shared" ca="1" si="39"/>
        <v>0</v>
      </c>
    </row>
    <row r="1244" spans="1:2">
      <c r="A1244" t="str">
        <f t="shared" ca="1" si="38"/>
        <v/>
      </c>
      <c r="B1244">
        <f t="shared" ca="1" si="39"/>
        <v>0</v>
      </c>
    </row>
    <row r="1245" spans="1:2">
      <c r="A1245" t="str">
        <f t="shared" ca="1" si="38"/>
        <v/>
      </c>
      <c r="B1245">
        <f t="shared" ca="1" si="39"/>
        <v>0</v>
      </c>
    </row>
    <row r="1246" spans="1:2">
      <c r="A1246" t="str">
        <f t="shared" ca="1" si="38"/>
        <v/>
      </c>
      <c r="B1246">
        <f t="shared" ca="1" si="39"/>
        <v>0</v>
      </c>
    </row>
    <row r="1247" spans="1:2">
      <c r="A1247" t="str">
        <f t="shared" ca="1" si="38"/>
        <v/>
      </c>
      <c r="B1247">
        <f t="shared" ca="1" si="39"/>
        <v>0</v>
      </c>
    </row>
    <row r="1248" spans="1:2">
      <c r="A1248" t="str">
        <f t="shared" ca="1" si="38"/>
        <v/>
      </c>
      <c r="B1248">
        <f t="shared" ca="1" si="39"/>
        <v>0</v>
      </c>
    </row>
    <row r="1249" spans="1:2">
      <c r="A1249" t="str">
        <f t="shared" ca="1" si="38"/>
        <v/>
      </c>
      <c r="B1249">
        <f t="shared" ca="1" si="39"/>
        <v>0</v>
      </c>
    </row>
    <row r="1250" spans="1:2">
      <c r="A1250" t="str">
        <f t="shared" ca="1" si="38"/>
        <v/>
      </c>
      <c r="B1250">
        <f t="shared" ca="1" si="39"/>
        <v>0</v>
      </c>
    </row>
    <row r="1251" spans="1:2">
      <c r="A1251" t="str">
        <f t="shared" ca="1" si="38"/>
        <v/>
      </c>
      <c r="B1251">
        <f t="shared" ca="1" si="39"/>
        <v>0</v>
      </c>
    </row>
    <row r="1252" spans="1:2">
      <c r="A1252" t="str">
        <f t="shared" ca="1" si="38"/>
        <v/>
      </c>
      <c r="B1252">
        <f t="shared" ca="1" si="39"/>
        <v>0</v>
      </c>
    </row>
    <row r="1253" spans="1:2">
      <c r="A1253" t="str">
        <f t="shared" ca="1" si="38"/>
        <v/>
      </c>
      <c r="B1253">
        <f t="shared" ca="1" si="39"/>
        <v>0</v>
      </c>
    </row>
    <row r="1254" spans="1:2">
      <c r="A1254" t="str">
        <f t="shared" ca="1" si="38"/>
        <v/>
      </c>
      <c r="B1254">
        <f t="shared" ca="1" si="39"/>
        <v>0</v>
      </c>
    </row>
    <row r="1255" spans="1:2">
      <c r="A1255" t="str">
        <f t="shared" ca="1" si="38"/>
        <v/>
      </c>
      <c r="B1255">
        <f t="shared" ca="1" si="39"/>
        <v>0</v>
      </c>
    </row>
    <row r="1256" spans="1:2">
      <c r="A1256" t="str">
        <f t="shared" ca="1" si="38"/>
        <v/>
      </c>
      <c r="B1256">
        <f t="shared" ca="1" si="39"/>
        <v>0</v>
      </c>
    </row>
    <row r="1257" spans="1:2">
      <c r="A1257" t="str">
        <f t="shared" ca="1" si="38"/>
        <v/>
      </c>
      <c r="B1257">
        <f t="shared" ca="1" si="39"/>
        <v>0</v>
      </c>
    </row>
    <row r="1258" spans="1:2">
      <c r="A1258" t="str">
        <f t="shared" ca="1" si="38"/>
        <v/>
      </c>
      <c r="B1258">
        <f t="shared" ca="1" si="39"/>
        <v>0</v>
      </c>
    </row>
    <row r="1259" spans="1:2">
      <c r="A1259" t="str">
        <f t="shared" ca="1" si="38"/>
        <v/>
      </c>
      <c r="B1259">
        <f t="shared" ca="1" si="39"/>
        <v>0</v>
      </c>
    </row>
    <row r="1260" spans="1:2">
      <c r="A1260" t="str">
        <f t="shared" ca="1" si="38"/>
        <v/>
      </c>
      <c r="B1260">
        <f t="shared" ca="1" si="39"/>
        <v>0</v>
      </c>
    </row>
    <row r="1261" spans="1:2">
      <c r="A1261" t="str">
        <f t="shared" ca="1" si="38"/>
        <v/>
      </c>
      <c r="B1261">
        <f t="shared" ca="1" si="39"/>
        <v>0</v>
      </c>
    </row>
    <row r="1262" spans="1:2">
      <c r="A1262" t="str">
        <f t="shared" ca="1" si="38"/>
        <v/>
      </c>
      <c r="B1262">
        <f t="shared" ca="1" si="39"/>
        <v>0</v>
      </c>
    </row>
    <row r="1263" spans="1:2">
      <c r="A1263" t="str">
        <f t="shared" ca="1" si="38"/>
        <v/>
      </c>
      <c r="B1263">
        <f t="shared" ca="1" si="39"/>
        <v>0</v>
      </c>
    </row>
    <row r="1264" spans="1:2">
      <c r="A1264" t="str">
        <f t="shared" ca="1" si="38"/>
        <v/>
      </c>
      <c r="B1264">
        <f t="shared" ca="1" si="39"/>
        <v>0</v>
      </c>
    </row>
    <row r="1265" spans="1:2">
      <c r="A1265" t="str">
        <f t="shared" ca="1" si="38"/>
        <v/>
      </c>
      <c r="B1265">
        <f t="shared" ca="1" si="39"/>
        <v>0</v>
      </c>
    </row>
    <row r="1266" spans="1:2">
      <c r="A1266" t="str">
        <f t="shared" ca="1" si="38"/>
        <v/>
      </c>
      <c r="B1266">
        <f t="shared" ca="1" si="39"/>
        <v>0</v>
      </c>
    </row>
    <row r="1267" spans="1:2">
      <c r="A1267" t="str">
        <f t="shared" ca="1" si="38"/>
        <v/>
      </c>
      <c r="B1267">
        <f t="shared" ca="1" si="39"/>
        <v>0</v>
      </c>
    </row>
    <row r="1268" spans="1:2">
      <c r="A1268" t="str">
        <f t="shared" ca="1" si="38"/>
        <v/>
      </c>
      <c r="B1268">
        <f t="shared" ca="1" si="39"/>
        <v>0</v>
      </c>
    </row>
    <row r="1269" spans="1:2">
      <c r="A1269" t="str">
        <f t="shared" ca="1" si="38"/>
        <v/>
      </c>
      <c r="B1269">
        <f t="shared" ca="1" si="39"/>
        <v>0</v>
      </c>
    </row>
    <row r="1270" spans="1:2">
      <c r="A1270" t="str">
        <f t="shared" ca="1" si="38"/>
        <v/>
      </c>
      <c r="B1270">
        <f t="shared" ca="1" si="39"/>
        <v>0</v>
      </c>
    </row>
    <row r="1271" spans="1:2">
      <c r="A1271" t="str">
        <f t="shared" ca="1" si="38"/>
        <v/>
      </c>
      <c r="B1271">
        <f t="shared" ca="1" si="39"/>
        <v>0</v>
      </c>
    </row>
    <row r="1272" spans="1:2">
      <c r="A1272" t="str">
        <f t="shared" ca="1" si="38"/>
        <v/>
      </c>
      <c r="B1272">
        <f t="shared" ca="1" si="39"/>
        <v>0</v>
      </c>
    </row>
    <row r="1273" spans="1:2">
      <c r="A1273" t="str">
        <f t="shared" ca="1" si="38"/>
        <v/>
      </c>
      <c r="B1273">
        <f t="shared" ca="1" si="39"/>
        <v>0</v>
      </c>
    </row>
    <row r="1274" spans="1:2">
      <c r="A1274" t="str">
        <f t="shared" ca="1" si="38"/>
        <v/>
      </c>
      <c r="B1274">
        <f t="shared" ca="1" si="39"/>
        <v>0</v>
      </c>
    </row>
    <row r="1275" spans="1:2">
      <c r="A1275" t="str">
        <f t="shared" ca="1" si="38"/>
        <v/>
      </c>
      <c r="B1275">
        <f t="shared" ca="1" si="39"/>
        <v>0</v>
      </c>
    </row>
    <row r="1276" spans="1:2">
      <c r="A1276" t="str">
        <f t="shared" ca="1" si="38"/>
        <v/>
      </c>
      <c r="B1276">
        <f t="shared" ca="1" si="39"/>
        <v>0</v>
      </c>
    </row>
    <row r="1277" spans="1:2">
      <c r="A1277" t="str">
        <f t="shared" ca="1" si="38"/>
        <v/>
      </c>
      <c r="B1277">
        <f t="shared" ca="1" si="39"/>
        <v>0</v>
      </c>
    </row>
    <row r="1278" spans="1:2">
      <c r="A1278" t="str">
        <f t="shared" ca="1" si="38"/>
        <v/>
      </c>
      <c r="B1278">
        <f t="shared" ca="1" si="39"/>
        <v>0</v>
      </c>
    </row>
    <row r="1279" spans="1:2">
      <c r="A1279" t="str">
        <f t="shared" ca="1" si="38"/>
        <v/>
      </c>
      <c r="B1279">
        <f t="shared" ca="1" si="39"/>
        <v>0</v>
      </c>
    </row>
    <row r="1280" spans="1:2">
      <c r="A1280" t="str">
        <f t="shared" ca="1" si="38"/>
        <v/>
      </c>
      <c r="B1280">
        <f t="shared" ca="1" si="39"/>
        <v>0</v>
      </c>
    </row>
    <row r="1281" spans="1:2">
      <c r="A1281" t="str">
        <f t="shared" ca="1" si="38"/>
        <v/>
      </c>
      <c r="B1281">
        <f t="shared" ca="1" si="39"/>
        <v>0</v>
      </c>
    </row>
    <row r="1282" spans="1:2">
      <c r="A1282" t="str">
        <f t="shared" ref="A1282:A1345" ca="1" si="40">CONCATENATE(INDIRECT(ADDRESS(ROW(),3)))</f>
        <v/>
      </c>
      <c r="B1282">
        <f t="shared" ref="B1282:B1345" ca="1" si="41">IF(IF(INDIRECT(ADDRESS(ROW(),1))&lt;&gt;"",IF(ISNA(MATCH(LEFT(INDIRECT(ADDRESS(ROW(),1)),2),PCNG_MN,0))=TRUE,1,0),0)+IF(INDIRECT(ADDRESS(ROW(),1))&lt;&gt;"",IF(ISNA(MATCH(LEFT(INDIRECT(ADDRESS(ROW(),1)),3),PCNG_MN,0))=TRUE,1,0),0)+IF(INDIRECT(ADDRESS(ROW(),1))&lt;&gt;"",IF(ISNA(MATCH(LEFT(INDIRECT(ADDRESS(ROW(),1)),4),PCNG_MN,0))=TRUE,1,0),0)&gt;=3,1,0)</f>
        <v>0</v>
      </c>
    </row>
    <row r="1283" spans="1:2">
      <c r="A1283" t="str">
        <f t="shared" ca="1" si="40"/>
        <v/>
      </c>
      <c r="B1283">
        <f t="shared" ca="1" si="41"/>
        <v>0</v>
      </c>
    </row>
    <row r="1284" spans="1:2">
      <c r="A1284" t="str">
        <f t="shared" ca="1" si="40"/>
        <v/>
      </c>
      <c r="B1284">
        <f t="shared" ca="1" si="41"/>
        <v>0</v>
      </c>
    </row>
    <row r="1285" spans="1:2">
      <c r="A1285" t="str">
        <f t="shared" ca="1" si="40"/>
        <v/>
      </c>
      <c r="B1285">
        <f t="shared" ca="1" si="41"/>
        <v>0</v>
      </c>
    </row>
    <row r="1286" spans="1:2">
      <c r="A1286" t="str">
        <f t="shared" ca="1" si="40"/>
        <v/>
      </c>
      <c r="B1286">
        <f t="shared" ca="1" si="41"/>
        <v>0</v>
      </c>
    </row>
    <row r="1287" spans="1:2">
      <c r="A1287" t="str">
        <f t="shared" ca="1" si="40"/>
        <v/>
      </c>
      <c r="B1287">
        <f t="shared" ca="1" si="41"/>
        <v>0</v>
      </c>
    </row>
    <row r="1288" spans="1:2">
      <c r="A1288" t="str">
        <f t="shared" ca="1" si="40"/>
        <v/>
      </c>
      <c r="B1288">
        <f t="shared" ca="1" si="41"/>
        <v>0</v>
      </c>
    </row>
    <row r="1289" spans="1:2">
      <c r="A1289" t="str">
        <f t="shared" ca="1" si="40"/>
        <v/>
      </c>
      <c r="B1289">
        <f t="shared" ca="1" si="41"/>
        <v>0</v>
      </c>
    </row>
    <row r="1290" spans="1:2">
      <c r="A1290" t="str">
        <f t="shared" ca="1" si="40"/>
        <v/>
      </c>
      <c r="B1290">
        <f t="shared" ca="1" si="41"/>
        <v>0</v>
      </c>
    </row>
    <row r="1291" spans="1:2">
      <c r="A1291" t="str">
        <f t="shared" ca="1" si="40"/>
        <v/>
      </c>
      <c r="B1291">
        <f t="shared" ca="1" si="41"/>
        <v>0</v>
      </c>
    </row>
    <row r="1292" spans="1:2">
      <c r="A1292" t="str">
        <f t="shared" ca="1" si="40"/>
        <v/>
      </c>
      <c r="B1292">
        <f t="shared" ca="1" si="41"/>
        <v>0</v>
      </c>
    </row>
    <row r="1293" spans="1:2">
      <c r="A1293" t="str">
        <f t="shared" ca="1" si="40"/>
        <v/>
      </c>
      <c r="B1293">
        <f t="shared" ca="1" si="41"/>
        <v>0</v>
      </c>
    </row>
    <row r="1294" spans="1:2">
      <c r="A1294" t="str">
        <f t="shared" ca="1" si="40"/>
        <v/>
      </c>
      <c r="B1294">
        <f t="shared" ca="1" si="41"/>
        <v>0</v>
      </c>
    </row>
    <row r="1295" spans="1:2">
      <c r="A1295" t="str">
        <f t="shared" ca="1" si="40"/>
        <v/>
      </c>
      <c r="B1295">
        <f t="shared" ca="1" si="41"/>
        <v>0</v>
      </c>
    </row>
    <row r="1296" spans="1:2">
      <c r="A1296" t="str">
        <f t="shared" ca="1" si="40"/>
        <v/>
      </c>
      <c r="B1296">
        <f t="shared" ca="1" si="41"/>
        <v>0</v>
      </c>
    </row>
    <row r="1297" spans="1:2">
      <c r="A1297" t="str">
        <f t="shared" ca="1" si="40"/>
        <v/>
      </c>
      <c r="B1297">
        <f t="shared" ca="1" si="41"/>
        <v>0</v>
      </c>
    </row>
    <row r="1298" spans="1:2">
      <c r="A1298" t="str">
        <f t="shared" ca="1" si="40"/>
        <v/>
      </c>
      <c r="B1298">
        <f t="shared" ca="1" si="41"/>
        <v>0</v>
      </c>
    </row>
    <row r="1299" spans="1:2">
      <c r="A1299" t="str">
        <f t="shared" ca="1" si="40"/>
        <v/>
      </c>
      <c r="B1299">
        <f t="shared" ca="1" si="41"/>
        <v>0</v>
      </c>
    </row>
    <row r="1300" spans="1:2">
      <c r="A1300" t="str">
        <f t="shared" ca="1" si="40"/>
        <v/>
      </c>
      <c r="B1300">
        <f t="shared" ca="1" si="41"/>
        <v>0</v>
      </c>
    </row>
    <row r="1301" spans="1:2">
      <c r="A1301" t="str">
        <f t="shared" ca="1" si="40"/>
        <v/>
      </c>
      <c r="B1301">
        <f t="shared" ca="1" si="41"/>
        <v>0</v>
      </c>
    </row>
    <row r="1302" spans="1:2">
      <c r="A1302" t="str">
        <f t="shared" ca="1" si="40"/>
        <v/>
      </c>
      <c r="B1302">
        <f t="shared" ca="1" si="41"/>
        <v>0</v>
      </c>
    </row>
    <row r="1303" spans="1:2">
      <c r="A1303" t="str">
        <f t="shared" ca="1" si="40"/>
        <v/>
      </c>
      <c r="B1303">
        <f t="shared" ca="1" si="41"/>
        <v>0</v>
      </c>
    </row>
    <row r="1304" spans="1:2">
      <c r="A1304" t="str">
        <f t="shared" ca="1" si="40"/>
        <v/>
      </c>
      <c r="B1304">
        <f t="shared" ca="1" si="41"/>
        <v>0</v>
      </c>
    </row>
    <row r="1305" spans="1:2">
      <c r="A1305" t="str">
        <f t="shared" ca="1" si="40"/>
        <v/>
      </c>
      <c r="B1305">
        <f t="shared" ca="1" si="41"/>
        <v>0</v>
      </c>
    </row>
    <row r="1306" spans="1:2">
      <c r="A1306" t="str">
        <f t="shared" ca="1" si="40"/>
        <v/>
      </c>
      <c r="B1306">
        <f t="shared" ca="1" si="41"/>
        <v>0</v>
      </c>
    </row>
    <row r="1307" spans="1:2">
      <c r="A1307" t="str">
        <f t="shared" ca="1" si="40"/>
        <v/>
      </c>
      <c r="B1307">
        <f t="shared" ca="1" si="41"/>
        <v>0</v>
      </c>
    </row>
    <row r="1308" spans="1:2">
      <c r="A1308" t="str">
        <f t="shared" ca="1" si="40"/>
        <v/>
      </c>
      <c r="B1308">
        <f t="shared" ca="1" si="41"/>
        <v>0</v>
      </c>
    </row>
    <row r="1309" spans="1:2">
      <c r="A1309" t="str">
        <f t="shared" ca="1" si="40"/>
        <v/>
      </c>
      <c r="B1309">
        <f t="shared" ca="1" si="41"/>
        <v>0</v>
      </c>
    </row>
    <row r="1310" spans="1:2">
      <c r="A1310" t="str">
        <f t="shared" ca="1" si="40"/>
        <v/>
      </c>
      <c r="B1310">
        <f t="shared" ca="1" si="41"/>
        <v>0</v>
      </c>
    </row>
    <row r="1311" spans="1:2">
      <c r="A1311" t="str">
        <f t="shared" ca="1" si="40"/>
        <v/>
      </c>
      <c r="B1311">
        <f t="shared" ca="1" si="41"/>
        <v>0</v>
      </c>
    </row>
    <row r="1312" spans="1:2">
      <c r="A1312" t="str">
        <f t="shared" ca="1" si="40"/>
        <v/>
      </c>
      <c r="B1312">
        <f t="shared" ca="1" si="41"/>
        <v>0</v>
      </c>
    </row>
    <row r="1313" spans="1:2">
      <c r="A1313" t="str">
        <f t="shared" ca="1" si="40"/>
        <v/>
      </c>
      <c r="B1313">
        <f t="shared" ca="1" si="41"/>
        <v>0</v>
      </c>
    </row>
    <row r="1314" spans="1:2">
      <c r="A1314" t="str">
        <f t="shared" ca="1" si="40"/>
        <v/>
      </c>
      <c r="B1314">
        <f t="shared" ca="1" si="41"/>
        <v>0</v>
      </c>
    </row>
    <row r="1315" spans="1:2">
      <c r="A1315" t="str">
        <f t="shared" ca="1" si="40"/>
        <v/>
      </c>
      <c r="B1315">
        <f t="shared" ca="1" si="41"/>
        <v>0</v>
      </c>
    </row>
    <row r="1316" spans="1:2">
      <c r="A1316" t="str">
        <f t="shared" ca="1" si="40"/>
        <v/>
      </c>
      <c r="B1316">
        <f t="shared" ca="1" si="41"/>
        <v>0</v>
      </c>
    </row>
    <row r="1317" spans="1:2">
      <c r="A1317" t="str">
        <f t="shared" ca="1" si="40"/>
        <v/>
      </c>
      <c r="B1317">
        <f t="shared" ca="1" si="41"/>
        <v>0</v>
      </c>
    </row>
    <row r="1318" spans="1:2">
      <c r="A1318" t="str">
        <f t="shared" ca="1" si="40"/>
        <v/>
      </c>
      <c r="B1318">
        <f t="shared" ca="1" si="41"/>
        <v>0</v>
      </c>
    </row>
    <row r="1319" spans="1:2">
      <c r="A1319" t="str">
        <f t="shared" ca="1" si="40"/>
        <v/>
      </c>
      <c r="B1319">
        <f t="shared" ca="1" si="41"/>
        <v>0</v>
      </c>
    </row>
    <row r="1320" spans="1:2">
      <c r="A1320" t="str">
        <f t="shared" ca="1" si="40"/>
        <v/>
      </c>
      <c r="B1320">
        <f t="shared" ca="1" si="41"/>
        <v>0</v>
      </c>
    </row>
    <row r="1321" spans="1:2">
      <c r="A1321" t="str">
        <f t="shared" ca="1" si="40"/>
        <v/>
      </c>
      <c r="B1321">
        <f t="shared" ca="1" si="41"/>
        <v>0</v>
      </c>
    </row>
    <row r="1322" spans="1:2">
      <c r="A1322" t="str">
        <f t="shared" ca="1" si="40"/>
        <v/>
      </c>
      <c r="B1322">
        <f t="shared" ca="1" si="41"/>
        <v>0</v>
      </c>
    </row>
    <row r="1323" spans="1:2">
      <c r="A1323" t="str">
        <f t="shared" ca="1" si="40"/>
        <v/>
      </c>
      <c r="B1323">
        <f t="shared" ca="1" si="41"/>
        <v>0</v>
      </c>
    </row>
    <row r="1324" spans="1:2">
      <c r="A1324" t="str">
        <f t="shared" ca="1" si="40"/>
        <v/>
      </c>
      <c r="B1324">
        <f t="shared" ca="1" si="41"/>
        <v>0</v>
      </c>
    </row>
    <row r="1325" spans="1:2">
      <c r="A1325" t="str">
        <f t="shared" ca="1" si="40"/>
        <v/>
      </c>
      <c r="B1325">
        <f t="shared" ca="1" si="41"/>
        <v>0</v>
      </c>
    </row>
    <row r="1326" spans="1:2">
      <c r="A1326" t="str">
        <f t="shared" ca="1" si="40"/>
        <v/>
      </c>
      <c r="B1326">
        <f t="shared" ca="1" si="41"/>
        <v>0</v>
      </c>
    </row>
    <row r="1327" spans="1:2">
      <c r="A1327" t="str">
        <f t="shared" ca="1" si="40"/>
        <v/>
      </c>
      <c r="B1327">
        <f t="shared" ca="1" si="41"/>
        <v>0</v>
      </c>
    </row>
    <row r="1328" spans="1:2">
      <c r="A1328" t="str">
        <f t="shared" ca="1" si="40"/>
        <v/>
      </c>
      <c r="B1328">
        <f t="shared" ca="1" si="41"/>
        <v>0</v>
      </c>
    </row>
    <row r="1329" spans="1:2">
      <c r="A1329" t="str">
        <f t="shared" ca="1" si="40"/>
        <v/>
      </c>
      <c r="B1329">
        <f t="shared" ca="1" si="41"/>
        <v>0</v>
      </c>
    </row>
    <row r="1330" spans="1:2">
      <c r="A1330" t="str">
        <f t="shared" ca="1" si="40"/>
        <v/>
      </c>
      <c r="B1330">
        <f t="shared" ca="1" si="41"/>
        <v>0</v>
      </c>
    </row>
    <row r="1331" spans="1:2">
      <c r="A1331" t="str">
        <f t="shared" ca="1" si="40"/>
        <v/>
      </c>
      <c r="B1331">
        <f t="shared" ca="1" si="41"/>
        <v>0</v>
      </c>
    </row>
    <row r="1332" spans="1:2">
      <c r="A1332" t="str">
        <f t="shared" ca="1" si="40"/>
        <v/>
      </c>
      <c r="B1332">
        <f t="shared" ca="1" si="41"/>
        <v>0</v>
      </c>
    </row>
    <row r="1333" spans="1:2">
      <c r="A1333" t="str">
        <f t="shared" ca="1" si="40"/>
        <v/>
      </c>
      <c r="B1333">
        <f t="shared" ca="1" si="41"/>
        <v>0</v>
      </c>
    </row>
    <row r="1334" spans="1:2">
      <c r="A1334" t="str">
        <f t="shared" ca="1" si="40"/>
        <v/>
      </c>
      <c r="B1334">
        <f t="shared" ca="1" si="41"/>
        <v>0</v>
      </c>
    </row>
    <row r="1335" spans="1:2">
      <c r="A1335" t="str">
        <f t="shared" ca="1" si="40"/>
        <v/>
      </c>
      <c r="B1335">
        <f t="shared" ca="1" si="41"/>
        <v>0</v>
      </c>
    </row>
    <row r="1336" spans="1:2">
      <c r="A1336" t="str">
        <f t="shared" ca="1" si="40"/>
        <v/>
      </c>
      <c r="B1336">
        <f t="shared" ca="1" si="41"/>
        <v>0</v>
      </c>
    </row>
    <row r="1337" spans="1:2">
      <c r="A1337" t="str">
        <f t="shared" ca="1" si="40"/>
        <v/>
      </c>
      <c r="B1337">
        <f t="shared" ca="1" si="41"/>
        <v>0</v>
      </c>
    </row>
    <row r="1338" spans="1:2">
      <c r="A1338" t="str">
        <f t="shared" ca="1" si="40"/>
        <v/>
      </c>
      <c r="B1338">
        <f t="shared" ca="1" si="41"/>
        <v>0</v>
      </c>
    </row>
    <row r="1339" spans="1:2">
      <c r="A1339" t="str">
        <f t="shared" ca="1" si="40"/>
        <v/>
      </c>
      <c r="B1339">
        <f t="shared" ca="1" si="41"/>
        <v>0</v>
      </c>
    </row>
    <row r="1340" spans="1:2">
      <c r="A1340" t="str">
        <f t="shared" ca="1" si="40"/>
        <v/>
      </c>
      <c r="B1340">
        <f t="shared" ca="1" si="41"/>
        <v>0</v>
      </c>
    </row>
    <row r="1341" spans="1:2">
      <c r="A1341" t="str">
        <f t="shared" ca="1" si="40"/>
        <v/>
      </c>
      <c r="B1341">
        <f t="shared" ca="1" si="41"/>
        <v>0</v>
      </c>
    </row>
    <row r="1342" spans="1:2">
      <c r="A1342" t="str">
        <f t="shared" ca="1" si="40"/>
        <v/>
      </c>
      <c r="B1342">
        <f t="shared" ca="1" si="41"/>
        <v>0</v>
      </c>
    </row>
    <row r="1343" spans="1:2">
      <c r="A1343" t="str">
        <f t="shared" ca="1" si="40"/>
        <v/>
      </c>
      <c r="B1343">
        <f t="shared" ca="1" si="41"/>
        <v>0</v>
      </c>
    </row>
    <row r="1344" spans="1:2">
      <c r="A1344" t="str">
        <f t="shared" ca="1" si="40"/>
        <v/>
      </c>
      <c r="B1344">
        <f t="shared" ca="1" si="41"/>
        <v>0</v>
      </c>
    </row>
    <row r="1345" spans="1:2">
      <c r="A1345" t="str">
        <f t="shared" ca="1" si="40"/>
        <v/>
      </c>
      <c r="B1345">
        <f t="shared" ca="1" si="41"/>
        <v>0</v>
      </c>
    </row>
    <row r="1346" spans="1:2">
      <c r="A1346" t="str">
        <f t="shared" ref="A1346:A1409" ca="1" si="42">CONCATENATE(INDIRECT(ADDRESS(ROW(),3)))</f>
        <v/>
      </c>
      <c r="B1346">
        <f t="shared" ref="B1346:B1409" ca="1" si="43">IF(IF(INDIRECT(ADDRESS(ROW(),1))&lt;&gt;"",IF(ISNA(MATCH(LEFT(INDIRECT(ADDRESS(ROW(),1)),2),PCNG_MN,0))=TRUE,1,0),0)+IF(INDIRECT(ADDRESS(ROW(),1))&lt;&gt;"",IF(ISNA(MATCH(LEFT(INDIRECT(ADDRESS(ROW(),1)),3),PCNG_MN,0))=TRUE,1,0),0)+IF(INDIRECT(ADDRESS(ROW(),1))&lt;&gt;"",IF(ISNA(MATCH(LEFT(INDIRECT(ADDRESS(ROW(),1)),4),PCNG_MN,0))=TRUE,1,0),0)&gt;=3,1,0)</f>
        <v>0</v>
      </c>
    </row>
    <row r="1347" spans="1:2">
      <c r="A1347" t="str">
        <f t="shared" ca="1" si="42"/>
        <v/>
      </c>
      <c r="B1347">
        <f t="shared" ca="1" si="43"/>
        <v>0</v>
      </c>
    </row>
    <row r="1348" spans="1:2">
      <c r="A1348" t="str">
        <f t="shared" ca="1" si="42"/>
        <v/>
      </c>
      <c r="B1348">
        <f t="shared" ca="1" si="43"/>
        <v>0</v>
      </c>
    </row>
    <row r="1349" spans="1:2">
      <c r="A1349" t="str">
        <f t="shared" ca="1" si="42"/>
        <v/>
      </c>
      <c r="B1349">
        <f t="shared" ca="1" si="43"/>
        <v>0</v>
      </c>
    </row>
    <row r="1350" spans="1:2">
      <c r="A1350" t="str">
        <f t="shared" ca="1" si="42"/>
        <v/>
      </c>
      <c r="B1350">
        <f t="shared" ca="1" si="43"/>
        <v>0</v>
      </c>
    </row>
    <row r="1351" spans="1:2">
      <c r="A1351" t="str">
        <f t="shared" ca="1" si="42"/>
        <v/>
      </c>
      <c r="B1351">
        <f t="shared" ca="1" si="43"/>
        <v>0</v>
      </c>
    </row>
    <row r="1352" spans="1:2">
      <c r="A1352" t="str">
        <f t="shared" ca="1" si="42"/>
        <v/>
      </c>
      <c r="B1352">
        <f t="shared" ca="1" si="43"/>
        <v>0</v>
      </c>
    </row>
    <row r="1353" spans="1:2">
      <c r="A1353" t="str">
        <f t="shared" ca="1" si="42"/>
        <v/>
      </c>
      <c r="B1353">
        <f t="shared" ca="1" si="43"/>
        <v>0</v>
      </c>
    </row>
    <row r="1354" spans="1:2">
      <c r="A1354" t="str">
        <f t="shared" ca="1" si="42"/>
        <v/>
      </c>
      <c r="B1354">
        <f t="shared" ca="1" si="43"/>
        <v>0</v>
      </c>
    </row>
    <row r="1355" spans="1:2">
      <c r="A1355" t="str">
        <f t="shared" ca="1" si="42"/>
        <v/>
      </c>
      <c r="B1355">
        <f t="shared" ca="1" si="43"/>
        <v>0</v>
      </c>
    </row>
    <row r="1356" spans="1:2">
      <c r="A1356" t="str">
        <f t="shared" ca="1" si="42"/>
        <v/>
      </c>
      <c r="B1356">
        <f t="shared" ca="1" si="43"/>
        <v>0</v>
      </c>
    </row>
    <row r="1357" spans="1:2">
      <c r="A1357" t="str">
        <f t="shared" ca="1" si="42"/>
        <v/>
      </c>
      <c r="B1357">
        <f t="shared" ca="1" si="43"/>
        <v>0</v>
      </c>
    </row>
    <row r="1358" spans="1:2">
      <c r="A1358" t="str">
        <f t="shared" ca="1" si="42"/>
        <v/>
      </c>
      <c r="B1358">
        <f t="shared" ca="1" si="43"/>
        <v>0</v>
      </c>
    </row>
    <row r="1359" spans="1:2">
      <c r="A1359" t="str">
        <f t="shared" ca="1" si="42"/>
        <v/>
      </c>
      <c r="B1359">
        <f t="shared" ca="1" si="43"/>
        <v>0</v>
      </c>
    </row>
    <row r="1360" spans="1:2">
      <c r="A1360" t="str">
        <f t="shared" ca="1" si="42"/>
        <v/>
      </c>
      <c r="B1360">
        <f t="shared" ca="1" si="43"/>
        <v>0</v>
      </c>
    </row>
    <row r="1361" spans="1:2">
      <c r="A1361" t="str">
        <f t="shared" ca="1" si="42"/>
        <v/>
      </c>
      <c r="B1361">
        <f t="shared" ca="1" si="43"/>
        <v>0</v>
      </c>
    </row>
    <row r="1362" spans="1:2">
      <c r="A1362" t="str">
        <f t="shared" ca="1" si="42"/>
        <v/>
      </c>
      <c r="B1362">
        <f t="shared" ca="1" si="43"/>
        <v>0</v>
      </c>
    </row>
    <row r="1363" spans="1:2">
      <c r="A1363" t="str">
        <f t="shared" ca="1" si="42"/>
        <v/>
      </c>
      <c r="B1363">
        <f t="shared" ca="1" si="43"/>
        <v>0</v>
      </c>
    </row>
    <row r="1364" spans="1:2">
      <c r="A1364" t="str">
        <f t="shared" ca="1" si="42"/>
        <v/>
      </c>
      <c r="B1364">
        <f t="shared" ca="1" si="43"/>
        <v>0</v>
      </c>
    </row>
    <row r="1365" spans="1:2">
      <c r="A1365" t="str">
        <f t="shared" ca="1" si="42"/>
        <v/>
      </c>
      <c r="B1365">
        <f t="shared" ca="1" si="43"/>
        <v>0</v>
      </c>
    </row>
    <row r="1366" spans="1:2">
      <c r="A1366" t="str">
        <f t="shared" ca="1" si="42"/>
        <v/>
      </c>
      <c r="B1366">
        <f t="shared" ca="1" si="43"/>
        <v>0</v>
      </c>
    </row>
    <row r="1367" spans="1:2">
      <c r="A1367" t="str">
        <f t="shared" ca="1" si="42"/>
        <v/>
      </c>
      <c r="B1367">
        <f t="shared" ca="1" si="43"/>
        <v>0</v>
      </c>
    </row>
    <row r="1368" spans="1:2">
      <c r="A1368" t="str">
        <f t="shared" ca="1" si="42"/>
        <v/>
      </c>
      <c r="B1368">
        <f t="shared" ca="1" si="43"/>
        <v>0</v>
      </c>
    </row>
    <row r="1369" spans="1:2">
      <c r="A1369" t="str">
        <f t="shared" ca="1" si="42"/>
        <v/>
      </c>
      <c r="B1369">
        <f t="shared" ca="1" si="43"/>
        <v>0</v>
      </c>
    </row>
    <row r="1370" spans="1:2">
      <c r="A1370" t="str">
        <f t="shared" ca="1" si="42"/>
        <v/>
      </c>
      <c r="B1370">
        <f t="shared" ca="1" si="43"/>
        <v>0</v>
      </c>
    </row>
    <row r="1371" spans="1:2">
      <c r="A1371" t="str">
        <f t="shared" ca="1" si="42"/>
        <v/>
      </c>
      <c r="B1371">
        <f t="shared" ca="1" si="43"/>
        <v>0</v>
      </c>
    </row>
    <row r="1372" spans="1:2">
      <c r="A1372" t="str">
        <f t="shared" ca="1" si="42"/>
        <v/>
      </c>
      <c r="B1372">
        <f t="shared" ca="1" si="43"/>
        <v>0</v>
      </c>
    </row>
    <row r="1373" spans="1:2">
      <c r="A1373" t="str">
        <f t="shared" ca="1" si="42"/>
        <v/>
      </c>
      <c r="B1373">
        <f t="shared" ca="1" si="43"/>
        <v>0</v>
      </c>
    </row>
    <row r="1374" spans="1:2">
      <c r="A1374" t="str">
        <f t="shared" ca="1" si="42"/>
        <v/>
      </c>
      <c r="B1374">
        <f t="shared" ca="1" si="43"/>
        <v>0</v>
      </c>
    </row>
    <row r="1375" spans="1:2">
      <c r="A1375" t="str">
        <f t="shared" ca="1" si="42"/>
        <v/>
      </c>
      <c r="B1375">
        <f t="shared" ca="1" si="43"/>
        <v>0</v>
      </c>
    </row>
    <row r="1376" spans="1:2">
      <c r="A1376" t="str">
        <f t="shared" ca="1" si="42"/>
        <v/>
      </c>
      <c r="B1376">
        <f t="shared" ca="1" si="43"/>
        <v>0</v>
      </c>
    </row>
    <row r="1377" spans="1:2">
      <c r="A1377" t="str">
        <f t="shared" ca="1" si="42"/>
        <v/>
      </c>
      <c r="B1377">
        <f t="shared" ca="1" si="43"/>
        <v>0</v>
      </c>
    </row>
    <row r="1378" spans="1:2">
      <c r="A1378" t="str">
        <f t="shared" ca="1" si="42"/>
        <v/>
      </c>
      <c r="B1378">
        <f t="shared" ca="1" si="43"/>
        <v>0</v>
      </c>
    </row>
    <row r="1379" spans="1:2">
      <c r="A1379" t="str">
        <f t="shared" ca="1" si="42"/>
        <v/>
      </c>
      <c r="B1379">
        <f t="shared" ca="1" si="43"/>
        <v>0</v>
      </c>
    </row>
    <row r="1380" spans="1:2">
      <c r="A1380" t="str">
        <f t="shared" ca="1" si="42"/>
        <v/>
      </c>
      <c r="B1380">
        <f t="shared" ca="1" si="43"/>
        <v>0</v>
      </c>
    </row>
    <row r="1381" spans="1:2">
      <c r="A1381" t="str">
        <f t="shared" ca="1" si="42"/>
        <v/>
      </c>
      <c r="B1381">
        <f t="shared" ca="1" si="43"/>
        <v>0</v>
      </c>
    </row>
    <row r="1382" spans="1:2">
      <c r="A1382" t="str">
        <f t="shared" ca="1" si="42"/>
        <v/>
      </c>
      <c r="B1382">
        <f t="shared" ca="1" si="43"/>
        <v>0</v>
      </c>
    </row>
    <row r="1383" spans="1:2">
      <c r="A1383" t="str">
        <f t="shared" ca="1" si="42"/>
        <v/>
      </c>
      <c r="B1383">
        <f t="shared" ca="1" si="43"/>
        <v>0</v>
      </c>
    </row>
    <row r="1384" spans="1:2">
      <c r="A1384" t="str">
        <f t="shared" ca="1" si="42"/>
        <v/>
      </c>
      <c r="B1384">
        <f t="shared" ca="1" si="43"/>
        <v>0</v>
      </c>
    </row>
    <row r="1385" spans="1:2">
      <c r="A1385" t="str">
        <f t="shared" ca="1" si="42"/>
        <v/>
      </c>
      <c r="B1385">
        <f t="shared" ca="1" si="43"/>
        <v>0</v>
      </c>
    </row>
    <row r="1386" spans="1:2">
      <c r="A1386" t="str">
        <f t="shared" ca="1" si="42"/>
        <v/>
      </c>
      <c r="B1386">
        <f t="shared" ca="1" si="43"/>
        <v>0</v>
      </c>
    </row>
    <row r="1387" spans="1:2">
      <c r="A1387" t="str">
        <f t="shared" ca="1" si="42"/>
        <v/>
      </c>
      <c r="B1387">
        <f t="shared" ca="1" si="43"/>
        <v>0</v>
      </c>
    </row>
    <row r="1388" spans="1:2">
      <c r="A1388" t="str">
        <f t="shared" ca="1" si="42"/>
        <v/>
      </c>
      <c r="B1388">
        <f t="shared" ca="1" si="43"/>
        <v>0</v>
      </c>
    </row>
    <row r="1389" spans="1:2">
      <c r="A1389" t="str">
        <f t="shared" ca="1" si="42"/>
        <v/>
      </c>
      <c r="B1389">
        <f t="shared" ca="1" si="43"/>
        <v>0</v>
      </c>
    </row>
    <row r="1390" spans="1:2">
      <c r="A1390" t="str">
        <f t="shared" ca="1" si="42"/>
        <v/>
      </c>
      <c r="B1390">
        <f t="shared" ca="1" si="43"/>
        <v>0</v>
      </c>
    </row>
    <row r="1391" spans="1:2">
      <c r="A1391" t="str">
        <f t="shared" ca="1" si="42"/>
        <v/>
      </c>
      <c r="B1391">
        <f t="shared" ca="1" si="43"/>
        <v>0</v>
      </c>
    </row>
    <row r="1392" spans="1:2">
      <c r="A1392" t="str">
        <f t="shared" ca="1" si="42"/>
        <v/>
      </c>
      <c r="B1392">
        <f t="shared" ca="1" si="43"/>
        <v>0</v>
      </c>
    </row>
    <row r="1393" spans="1:2">
      <c r="A1393" t="str">
        <f t="shared" ca="1" si="42"/>
        <v/>
      </c>
      <c r="B1393">
        <f t="shared" ca="1" si="43"/>
        <v>0</v>
      </c>
    </row>
    <row r="1394" spans="1:2">
      <c r="A1394" t="str">
        <f t="shared" ca="1" si="42"/>
        <v/>
      </c>
      <c r="B1394">
        <f t="shared" ca="1" si="43"/>
        <v>0</v>
      </c>
    </row>
    <row r="1395" spans="1:2">
      <c r="A1395" t="str">
        <f t="shared" ca="1" si="42"/>
        <v/>
      </c>
      <c r="B1395">
        <f t="shared" ca="1" si="43"/>
        <v>0</v>
      </c>
    </row>
    <row r="1396" spans="1:2">
      <c r="A1396" t="str">
        <f t="shared" ca="1" si="42"/>
        <v/>
      </c>
      <c r="B1396">
        <f t="shared" ca="1" si="43"/>
        <v>0</v>
      </c>
    </row>
    <row r="1397" spans="1:2">
      <c r="A1397" t="str">
        <f t="shared" ca="1" si="42"/>
        <v/>
      </c>
      <c r="B1397">
        <f t="shared" ca="1" si="43"/>
        <v>0</v>
      </c>
    </row>
    <row r="1398" spans="1:2">
      <c r="A1398" t="str">
        <f t="shared" ca="1" si="42"/>
        <v/>
      </c>
      <c r="B1398">
        <f t="shared" ca="1" si="43"/>
        <v>0</v>
      </c>
    </row>
    <row r="1399" spans="1:2">
      <c r="A1399" t="str">
        <f t="shared" ca="1" si="42"/>
        <v/>
      </c>
      <c r="B1399">
        <f t="shared" ca="1" si="43"/>
        <v>0</v>
      </c>
    </row>
    <row r="1400" spans="1:2">
      <c r="A1400" t="str">
        <f t="shared" ca="1" si="42"/>
        <v/>
      </c>
      <c r="B1400">
        <f t="shared" ca="1" si="43"/>
        <v>0</v>
      </c>
    </row>
    <row r="1401" spans="1:2">
      <c r="A1401" t="str">
        <f t="shared" ca="1" si="42"/>
        <v/>
      </c>
      <c r="B1401">
        <f t="shared" ca="1" si="43"/>
        <v>0</v>
      </c>
    </row>
    <row r="1402" spans="1:2">
      <c r="A1402" t="str">
        <f t="shared" ca="1" si="42"/>
        <v/>
      </c>
      <c r="B1402">
        <f t="shared" ca="1" si="43"/>
        <v>0</v>
      </c>
    </row>
    <row r="1403" spans="1:2">
      <c r="A1403" t="str">
        <f t="shared" ca="1" si="42"/>
        <v/>
      </c>
      <c r="B1403">
        <f t="shared" ca="1" si="43"/>
        <v>0</v>
      </c>
    </row>
    <row r="1404" spans="1:2">
      <c r="A1404" t="str">
        <f t="shared" ca="1" si="42"/>
        <v/>
      </c>
      <c r="B1404">
        <f t="shared" ca="1" si="43"/>
        <v>0</v>
      </c>
    </row>
    <row r="1405" spans="1:2">
      <c r="A1405" t="str">
        <f t="shared" ca="1" si="42"/>
        <v/>
      </c>
      <c r="B1405">
        <f t="shared" ca="1" si="43"/>
        <v>0</v>
      </c>
    </row>
    <row r="1406" spans="1:2">
      <c r="A1406" t="str">
        <f t="shared" ca="1" si="42"/>
        <v/>
      </c>
      <c r="B1406">
        <f t="shared" ca="1" si="43"/>
        <v>0</v>
      </c>
    </row>
    <row r="1407" spans="1:2">
      <c r="A1407" t="str">
        <f t="shared" ca="1" si="42"/>
        <v/>
      </c>
      <c r="B1407">
        <f t="shared" ca="1" si="43"/>
        <v>0</v>
      </c>
    </row>
    <row r="1408" spans="1:2">
      <c r="A1408" t="str">
        <f t="shared" ca="1" si="42"/>
        <v/>
      </c>
      <c r="B1408">
        <f t="shared" ca="1" si="43"/>
        <v>0</v>
      </c>
    </row>
    <row r="1409" spans="1:2">
      <c r="A1409" t="str">
        <f t="shared" ca="1" si="42"/>
        <v/>
      </c>
      <c r="B1409">
        <f t="shared" ca="1" si="43"/>
        <v>0</v>
      </c>
    </row>
    <row r="1410" spans="1:2">
      <c r="A1410" t="str">
        <f t="shared" ref="A1410:A1473" ca="1" si="44">CONCATENATE(INDIRECT(ADDRESS(ROW(),3)))</f>
        <v/>
      </c>
      <c r="B1410">
        <f t="shared" ref="B1410:B1473" ca="1" si="45">IF(IF(INDIRECT(ADDRESS(ROW(),1))&lt;&gt;"",IF(ISNA(MATCH(LEFT(INDIRECT(ADDRESS(ROW(),1)),2),PCNG_MN,0))=TRUE,1,0),0)+IF(INDIRECT(ADDRESS(ROW(),1))&lt;&gt;"",IF(ISNA(MATCH(LEFT(INDIRECT(ADDRESS(ROW(),1)),3),PCNG_MN,0))=TRUE,1,0),0)+IF(INDIRECT(ADDRESS(ROW(),1))&lt;&gt;"",IF(ISNA(MATCH(LEFT(INDIRECT(ADDRESS(ROW(),1)),4),PCNG_MN,0))=TRUE,1,0),0)&gt;=3,1,0)</f>
        <v>0</v>
      </c>
    </row>
    <row r="1411" spans="1:2">
      <c r="A1411" t="str">
        <f t="shared" ca="1" si="44"/>
        <v/>
      </c>
      <c r="B1411">
        <f t="shared" ca="1" si="45"/>
        <v>0</v>
      </c>
    </row>
    <row r="1412" spans="1:2">
      <c r="A1412" t="str">
        <f t="shared" ca="1" si="44"/>
        <v/>
      </c>
      <c r="B1412">
        <f t="shared" ca="1" si="45"/>
        <v>0</v>
      </c>
    </row>
    <row r="1413" spans="1:2">
      <c r="A1413" t="str">
        <f t="shared" ca="1" si="44"/>
        <v/>
      </c>
      <c r="B1413">
        <f t="shared" ca="1" si="45"/>
        <v>0</v>
      </c>
    </row>
    <row r="1414" spans="1:2">
      <c r="A1414" t="str">
        <f t="shared" ca="1" si="44"/>
        <v/>
      </c>
      <c r="B1414">
        <f t="shared" ca="1" si="45"/>
        <v>0</v>
      </c>
    </row>
    <row r="1415" spans="1:2">
      <c r="A1415" t="str">
        <f t="shared" ca="1" si="44"/>
        <v/>
      </c>
      <c r="B1415">
        <f t="shared" ca="1" si="45"/>
        <v>0</v>
      </c>
    </row>
    <row r="1416" spans="1:2">
      <c r="A1416" t="str">
        <f t="shared" ca="1" si="44"/>
        <v/>
      </c>
      <c r="B1416">
        <f t="shared" ca="1" si="45"/>
        <v>0</v>
      </c>
    </row>
    <row r="1417" spans="1:2">
      <c r="A1417" t="str">
        <f t="shared" ca="1" si="44"/>
        <v/>
      </c>
      <c r="B1417">
        <f t="shared" ca="1" si="45"/>
        <v>0</v>
      </c>
    </row>
    <row r="1418" spans="1:2">
      <c r="A1418" t="str">
        <f t="shared" ca="1" si="44"/>
        <v/>
      </c>
      <c r="B1418">
        <f t="shared" ca="1" si="45"/>
        <v>0</v>
      </c>
    </row>
    <row r="1419" spans="1:2">
      <c r="A1419" t="str">
        <f t="shared" ca="1" si="44"/>
        <v/>
      </c>
      <c r="B1419">
        <f t="shared" ca="1" si="45"/>
        <v>0</v>
      </c>
    </row>
    <row r="1420" spans="1:2">
      <c r="A1420" t="str">
        <f t="shared" ca="1" si="44"/>
        <v/>
      </c>
      <c r="B1420">
        <f t="shared" ca="1" si="45"/>
        <v>0</v>
      </c>
    </row>
    <row r="1421" spans="1:2">
      <c r="A1421" t="str">
        <f t="shared" ca="1" si="44"/>
        <v/>
      </c>
      <c r="B1421">
        <f t="shared" ca="1" si="45"/>
        <v>0</v>
      </c>
    </row>
    <row r="1422" spans="1:2">
      <c r="A1422" t="str">
        <f t="shared" ca="1" si="44"/>
        <v/>
      </c>
      <c r="B1422">
        <f t="shared" ca="1" si="45"/>
        <v>0</v>
      </c>
    </row>
    <row r="1423" spans="1:2">
      <c r="A1423" t="str">
        <f t="shared" ca="1" si="44"/>
        <v/>
      </c>
      <c r="B1423">
        <f t="shared" ca="1" si="45"/>
        <v>0</v>
      </c>
    </row>
    <row r="1424" spans="1:2">
      <c r="A1424" t="str">
        <f t="shared" ca="1" si="44"/>
        <v/>
      </c>
      <c r="B1424">
        <f t="shared" ca="1" si="45"/>
        <v>0</v>
      </c>
    </row>
    <row r="1425" spans="1:2">
      <c r="A1425" t="str">
        <f t="shared" ca="1" si="44"/>
        <v/>
      </c>
      <c r="B1425">
        <f t="shared" ca="1" si="45"/>
        <v>0</v>
      </c>
    </row>
    <row r="1426" spans="1:2">
      <c r="A1426" t="str">
        <f t="shared" ca="1" si="44"/>
        <v/>
      </c>
      <c r="B1426">
        <f t="shared" ca="1" si="45"/>
        <v>0</v>
      </c>
    </row>
    <row r="1427" spans="1:2">
      <c r="A1427" t="str">
        <f t="shared" ca="1" si="44"/>
        <v/>
      </c>
      <c r="B1427">
        <f t="shared" ca="1" si="45"/>
        <v>0</v>
      </c>
    </row>
    <row r="1428" spans="1:2">
      <c r="A1428" t="str">
        <f t="shared" ca="1" si="44"/>
        <v/>
      </c>
      <c r="B1428">
        <f t="shared" ca="1" si="45"/>
        <v>0</v>
      </c>
    </row>
    <row r="1429" spans="1:2">
      <c r="A1429" t="str">
        <f t="shared" ca="1" si="44"/>
        <v/>
      </c>
      <c r="B1429">
        <f t="shared" ca="1" si="45"/>
        <v>0</v>
      </c>
    </row>
    <row r="1430" spans="1:2">
      <c r="A1430" t="str">
        <f t="shared" ca="1" si="44"/>
        <v/>
      </c>
      <c r="B1430">
        <f t="shared" ca="1" si="45"/>
        <v>0</v>
      </c>
    </row>
    <row r="1431" spans="1:2">
      <c r="A1431" t="str">
        <f t="shared" ca="1" si="44"/>
        <v/>
      </c>
      <c r="B1431">
        <f t="shared" ca="1" si="45"/>
        <v>0</v>
      </c>
    </row>
    <row r="1432" spans="1:2">
      <c r="A1432" t="str">
        <f t="shared" ca="1" si="44"/>
        <v/>
      </c>
      <c r="B1432">
        <f t="shared" ca="1" si="45"/>
        <v>0</v>
      </c>
    </row>
    <row r="1433" spans="1:2">
      <c r="A1433" t="str">
        <f t="shared" ca="1" si="44"/>
        <v/>
      </c>
      <c r="B1433">
        <f t="shared" ca="1" si="45"/>
        <v>0</v>
      </c>
    </row>
    <row r="1434" spans="1:2">
      <c r="A1434" t="str">
        <f t="shared" ca="1" si="44"/>
        <v/>
      </c>
      <c r="B1434">
        <f t="shared" ca="1" si="45"/>
        <v>0</v>
      </c>
    </row>
    <row r="1435" spans="1:2">
      <c r="A1435" t="str">
        <f t="shared" ca="1" si="44"/>
        <v/>
      </c>
      <c r="B1435">
        <f t="shared" ca="1" si="45"/>
        <v>0</v>
      </c>
    </row>
    <row r="1436" spans="1:2">
      <c r="A1436" t="str">
        <f t="shared" ca="1" si="44"/>
        <v/>
      </c>
      <c r="B1436">
        <f t="shared" ca="1" si="45"/>
        <v>0</v>
      </c>
    </row>
    <row r="1437" spans="1:2">
      <c r="A1437" t="str">
        <f t="shared" ca="1" si="44"/>
        <v/>
      </c>
      <c r="B1437">
        <f t="shared" ca="1" si="45"/>
        <v>0</v>
      </c>
    </row>
    <row r="1438" spans="1:2">
      <c r="A1438" t="str">
        <f t="shared" ca="1" si="44"/>
        <v/>
      </c>
      <c r="B1438">
        <f t="shared" ca="1" si="45"/>
        <v>0</v>
      </c>
    </row>
    <row r="1439" spans="1:2">
      <c r="A1439" t="str">
        <f t="shared" ca="1" si="44"/>
        <v/>
      </c>
      <c r="B1439">
        <f t="shared" ca="1" si="45"/>
        <v>0</v>
      </c>
    </row>
    <row r="1440" spans="1:2">
      <c r="A1440" t="str">
        <f t="shared" ca="1" si="44"/>
        <v/>
      </c>
      <c r="B1440">
        <f t="shared" ca="1" si="45"/>
        <v>0</v>
      </c>
    </row>
    <row r="1441" spans="1:2">
      <c r="A1441" t="str">
        <f t="shared" ca="1" si="44"/>
        <v/>
      </c>
      <c r="B1441">
        <f t="shared" ca="1" si="45"/>
        <v>0</v>
      </c>
    </row>
    <row r="1442" spans="1:2">
      <c r="A1442" t="str">
        <f t="shared" ca="1" si="44"/>
        <v/>
      </c>
      <c r="B1442">
        <f t="shared" ca="1" si="45"/>
        <v>0</v>
      </c>
    </row>
    <row r="1443" spans="1:2">
      <c r="A1443" t="str">
        <f t="shared" ca="1" si="44"/>
        <v/>
      </c>
      <c r="B1443">
        <f t="shared" ca="1" si="45"/>
        <v>0</v>
      </c>
    </row>
    <row r="1444" spans="1:2">
      <c r="A1444" t="str">
        <f t="shared" ca="1" si="44"/>
        <v/>
      </c>
      <c r="B1444">
        <f t="shared" ca="1" si="45"/>
        <v>0</v>
      </c>
    </row>
    <row r="1445" spans="1:2">
      <c r="A1445" t="str">
        <f t="shared" ca="1" si="44"/>
        <v/>
      </c>
      <c r="B1445">
        <f t="shared" ca="1" si="45"/>
        <v>0</v>
      </c>
    </row>
    <row r="1446" spans="1:2">
      <c r="A1446" t="str">
        <f t="shared" ca="1" si="44"/>
        <v/>
      </c>
      <c r="B1446">
        <f t="shared" ca="1" si="45"/>
        <v>0</v>
      </c>
    </row>
    <row r="1447" spans="1:2">
      <c r="A1447" t="str">
        <f t="shared" ca="1" si="44"/>
        <v/>
      </c>
      <c r="B1447">
        <f t="shared" ca="1" si="45"/>
        <v>0</v>
      </c>
    </row>
    <row r="1448" spans="1:2">
      <c r="A1448" t="str">
        <f t="shared" ca="1" si="44"/>
        <v/>
      </c>
      <c r="B1448">
        <f t="shared" ca="1" si="45"/>
        <v>0</v>
      </c>
    </row>
    <row r="1449" spans="1:2">
      <c r="A1449" t="str">
        <f t="shared" ca="1" si="44"/>
        <v/>
      </c>
      <c r="B1449">
        <f t="shared" ca="1" si="45"/>
        <v>0</v>
      </c>
    </row>
    <row r="1450" spans="1:2">
      <c r="A1450" t="str">
        <f t="shared" ca="1" si="44"/>
        <v/>
      </c>
      <c r="B1450">
        <f t="shared" ca="1" si="45"/>
        <v>0</v>
      </c>
    </row>
    <row r="1451" spans="1:2">
      <c r="A1451" t="str">
        <f t="shared" ca="1" si="44"/>
        <v/>
      </c>
      <c r="B1451">
        <f t="shared" ca="1" si="45"/>
        <v>0</v>
      </c>
    </row>
    <row r="1452" spans="1:2">
      <c r="A1452" t="str">
        <f t="shared" ca="1" si="44"/>
        <v/>
      </c>
      <c r="B1452">
        <f t="shared" ca="1" si="45"/>
        <v>0</v>
      </c>
    </row>
    <row r="1453" spans="1:2">
      <c r="A1453" t="str">
        <f t="shared" ca="1" si="44"/>
        <v/>
      </c>
      <c r="B1453">
        <f t="shared" ca="1" si="45"/>
        <v>0</v>
      </c>
    </row>
    <row r="1454" spans="1:2">
      <c r="A1454" t="str">
        <f t="shared" ca="1" si="44"/>
        <v/>
      </c>
      <c r="B1454">
        <f t="shared" ca="1" si="45"/>
        <v>0</v>
      </c>
    </row>
    <row r="1455" spans="1:2">
      <c r="A1455" t="str">
        <f t="shared" ca="1" si="44"/>
        <v/>
      </c>
      <c r="B1455">
        <f t="shared" ca="1" si="45"/>
        <v>0</v>
      </c>
    </row>
    <row r="1456" spans="1:2">
      <c r="A1456" t="str">
        <f t="shared" ca="1" si="44"/>
        <v/>
      </c>
      <c r="B1456">
        <f t="shared" ca="1" si="45"/>
        <v>0</v>
      </c>
    </row>
    <row r="1457" spans="1:2">
      <c r="A1457" t="str">
        <f t="shared" ca="1" si="44"/>
        <v/>
      </c>
      <c r="B1457">
        <f t="shared" ca="1" si="45"/>
        <v>0</v>
      </c>
    </row>
    <row r="1458" spans="1:2">
      <c r="A1458" t="str">
        <f t="shared" ca="1" si="44"/>
        <v/>
      </c>
      <c r="B1458">
        <f t="shared" ca="1" si="45"/>
        <v>0</v>
      </c>
    </row>
    <row r="1459" spans="1:2">
      <c r="A1459" t="str">
        <f t="shared" ca="1" si="44"/>
        <v/>
      </c>
      <c r="B1459">
        <f t="shared" ca="1" si="45"/>
        <v>0</v>
      </c>
    </row>
    <row r="1460" spans="1:2">
      <c r="A1460" t="str">
        <f t="shared" ca="1" si="44"/>
        <v/>
      </c>
      <c r="B1460">
        <f t="shared" ca="1" si="45"/>
        <v>0</v>
      </c>
    </row>
    <row r="1461" spans="1:2">
      <c r="A1461" t="str">
        <f t="shared" ca="1" si="44"/>
        <v/>
      </c>
      <c r="B1461">
        <f t="shared" ca="1" si="45"/>
        <v>0</v>
      </c>
    </row>
    <row r="1462" spans="1:2">
      <c r="A1462" t="str">
        <f t="shared" ca="1" si="44"/>
        <v/>
      </c>
      <c r="B1462">
        <f t="shared" ca="1" si="45"/>
        <v>0</v>
      </c>
    </row>
    <row r="1463" spans="1:2">
      <c r="A1463" t="str">
        <f t="shared" ca="1" si="44"/>
        <v/>
      </c>
      <c r="B1463">
        <f t="shared" ca="1" si="45"/>
        <v>0</v>
      </c>
    </row>
    <row r="1464" spans="1:2">
      <c r="A1464" t="str">
        <f t="shared" ca="1" si="44"/>
        <v/>
      </c>
      <c r="B1464">
        <f t="shared" ca="1" si="45"/>
        <v>0</v>
      </c>
    </row>
    <row r="1465" spans="1:2">
      <c r="A1465" t="str">
        <f t="shared" ca="1" si="44"/>
        <v/>
      </c>
      <c r="B1465">
        <f t="shared" ca="1" si="45"/>
        <v>0</v>
      </c>
    </row>
    <row r="1466" spans="1:2">
      <c r="A1466" t="str">
        <f t="shared" ca="1" si="44"/>
        <v/>
      </c>
      <c r="B1466">
        <f t="shared" ca="1" si="45"/>
        <v>0</v>
      </c>
    </row>
    <row r="1467" spans="1:2">
      <c r="A1467" t="str">
        <f t="shared" ca="1" si="44"/>
        <v/>
      </c>
      <c r="B1467">
        <f t="shared" ca="1" si="45"/>
        <v>0</v>
      </c>
    </row>
    <row r="1468" spans="1:2">
      <c r="A1468" t="str">
        <f t="shared" ca="1" si="44"/>
        <v/>
      </c>
      <c r="B1468">
        <f t="shared" ca="1" si="45"/>
        <v>0</v>
      </c>
    </row>
    <row r="1469" spans="1:2">
      <c r="A1469" t="str">
        <f t="shared" ca="1" si="44"/>
        <v/>
      </c>
      <c r="B1469">
        <f t="shared" ca="1" si="45"/>
        <v>0</v>
      </c>
    </row>
    <row r="1470" spans="1:2">
      <c r="A1470" t="str">
        <f t="shared" ca="1" si="44"/>
        <v/>
      </c>
      <c r="B1470">
        <f t="shared" ca="1" si="45"/>
        <v>0</v>
      </c>
    </row>
    <row r="1471" spans="1:2">
      <c r="A1471" t="str">
        <f t="shared" ca="1" si="44"/>
        <v/>
      </c>
      <c r="B1471">
        <f t="shared" ca="1" si="45"/>
        <v>0</v>
      </c>
    </row>
    <row r="1472" spans="1:2">
      <c r="A1472" t="str">
        <f t="shared" ca="1" si="44"/>
        <v/>
      </c>
      <c r="B1472">
        <f t="shared" ca="1" si="45"/>
        <v>0</v>
      </c>
    </row>
    <row r="1473" spans="1:2">
      <c r="A1473" t="str">
        <f t="shared" ca="1" si="44"/>
        <v/>
      </c>
      <c r="B1473">
        <f t="shared" ca="1" si="45"/>
        <v>0</v>
      </c>
    </row>
    <row r="1474" spans="1:2">
      <c r="A1474" t="str">
        <f t="shared" ref="A1474:A1537" ca="1" si="46">CONCATENATE(INDIRECT(ADDRESS(ROW(),3)))</f>
        <v/>
      </c>
      <c r="B1474">
        <f t="shared" ref="B1474:B1537" ca="1" si="47">IF(IF(INDIRECT(ADDRESS(ROW(),1))&lt;&gt;"",IF(ISNA(MATCH(LEFT(INDIRECT(ADDRESS(ROW(),1)),2),PCNG_MN,0))=TRUE,1,0),0)+IF(INDIRECT(ADDRESS(ROW(),1))&lt;&gt;"",IF(ISNA(MATCH(LEFT(INDIRECT(ADDRESS(ROW(),1)),3),PCNG_MN,0))=TRUE,1,0),0)+IF(INDIRECT(ADDRESS(ROW(),1))&lt;&gt;"",IF(ISNA(MATCH(LEFT(INDIRECT(ADDRESS(ROW(),1)),4),PCNG_MN,0))=TRUE,1,0),0)&gt;=3,1,0)</f>
        <v>0</v>
      </c>
    </row>
    <row r="1475" spans="1:2">
      <c r="A1475" t="str">
        <f t="shared" ca="1" si="46"/>
        <v/>
      </c>
      <c r="B1475">
        <f t="shared" ca="1" si="47"/>
        <v>0</v>
      </c>
    </row>
    <row r="1476" spans="1:2">
      <c r="A1476" t="str">
        <f t="shared" ca="1" si="46"/>
        <v/>
      </c>
      <c r="B1476">
        <f t="shared" ca="1" si="47"/>
        <v>0</v>
      </c>
    </row>
    <row r="1477" spans="1:2">
      <c r="A1477" t="str">
        <f t="shared" ca="1" si="46"/>
        <v/>
      </c>
      <c r="B1477">
        <f t="shared" ca="1" si="47"/>
        <v>0</v>
      </c>
    </row>
    <row r="1478" spans="1:2">
      <c r="A1478" t="str">
        <f t="shared" ca="1" si="46"/>
        <v/>
      </c>
      <c r="B1478">
        <f t="shared" ca="1" si="47"/>
        <v>0</v>
      </c>
    </row>
    <row r="1479" spans="1:2">
      <c r="A1479" t="str">
        <f t="shared" ca="1" si="46"/>
        <v/>
      </c>
      <c r="B1479">
        <f t="shared" ca="1" si="47"/>
        <v>0</v>
      </c>
    </row>
    <row r="1480" spans="1:2">
      <c r="A1480" t="str">
        <f t="shared" ca="1" si="46"/>
        <v/>
      </c>
      <c r="B1480">
        <f t="shared" ca="1" si="47"/>
        <v>0</v>
      </c>
    </row>
    <row r="1481" spans="1:2">
      <c r="A1481" t="str">
        <f t="shared" ca="1" si="46"/>
        <v/>
      </c>
      <c r="B1481">
        <f t="shared" ca="1" si="47"/>
        <v>0</v>
      </c>
    </row>
    <row r="1482" spans="1:2">
      <c r="A1482" t="str">
        <f t="shared" ca="1" si="46"/>
        <v/>
      </c>
      <c r="B1482">
        <f t="shared" ca="1" si="47"/>
        <v>0</v>
      </c>
    </row>
    <row r="1483" spans="1:2">
      <c r="A1483" t="str">
        <f t="shared" ca="1" si="46"/>
        <v/>
      </c>
      <c r="B1483">
        <f t="shared" ca="1" si="47"/>
        <v>0</v>
      </c>
    </row>
    <row r="1484" spans="1:2">
      <c r="A1484" t="str">
        <f t="shared" ca="1" si="46"/>
        <v/>
      </c>
      <c r="B1484">
        <f t="shared" ca="1" si="47"/>
        <v>0</v>
      </c>
    </row>
    <row r="1485" spans="1:2">
      <c r="A1485" t="str">
        <f t="shared" ca="1" si="46"/>
        <v/>
      </c>
      <c r="B1485">
        <f t="shared" ca="1" si="47"/>
        <v>0</v>
      </c>
    </row>
    <row r="1486" spans="1:2">
      <c r="A1486" t="str">
        <f t="shared" ca="1" si="46"/>
        <v/>
      </c>
      <c r="B1486">
        <f t="shared" ca="1" si="47"/>
        <v>0</v>
      </c>
    </row>
    <row r="1487" spans="1:2">
      <c r="A1487" t="str">
        <f t="shared" ca="1" si="46"/>
        <v/>
      </c>
      <c r="B1487">
        <f t="shared" ca="1" si="47"/>
        <v>0</v>
      </c>
    </row>
    <row r="1488" spans="1:2">
      <c r="A1488" t="str">
        <f t="shared" ca="1" si="46"/>
        <v/>
      </c>
      <c r="B1488">
        <f t="shared" ca="1" si="47"/>
        <v>0</v>
      </c>
    </row>
    <row r="1489" spans="1:2">
      <c r="A1489" t="str">
        <f t="shared" ca="1" si="46"/>
        <v/>
      </c>
      <c r="B1489">
        <f t="shared" ca="1" si="47"/>
        <v>0</v>
      </c>
    </row>
    <row r="1490" spans="1:2">
      <c r="A1490" t="str">
        <f t="shared" ca="1" si="46"/>
        <v/>
      </c>
      <c r="B1490">
        <f t="shared" ca="1" si="47"/>
        <v>0</v>
      </c>
    </row>
    <row r="1491" spans="1:2">
      <c r="A1491" t="str">
        <f t="shared" ca="1" si="46"/>
        <v/>
      </c>
      <c r="B1491">
        <f t="shared" ca="1" si="47"/>
        <v>0</v>
      </c>
    </row>
    <row r="1492" spans="1:2">
      <c r="A1492" t="str">
        <f t="shared" ca="1" si="46"/>
        <v/>
      </c>
      <c r="B1492">
        <f t="shared" ca="1" si="47"/>
        <v>0</v>
      </c>
    </row>
    <row r="1493" spans="1:2">
      <c r="A1493" t="str">
        <f t="shared" ca="1" si="46"/>
        <v/>
      </c>
      <c r="B1493">
        <f t="shared" ca="1" si="47"/>
        <v>0</v>
      </c>
    </row>
    <row r="1494" spans="1:2">
      <c r="A1494" t="str">
        <f t="shared" ca="1" si="46"/>
        <v/>
      </c>
      <c r="B1494">
        <f t="shared" ca="1" si="47"/>
        <v>0</v>
      </c>
    </row>
    <row r="1495" spans="1:2">
      <c r="A1495" t="str">
        <f t="shared" ca="1" si="46"/>
        <v/>
      </c>
      <c r="B1495">
        <f t="shared" ca="1" si="47"/>
        <v>0</v>
      </c>
    </row>
    <row r="1496" spans="1:2">
      <c r="A1496" t="str">
        <f t="shared" ca="1" si="46"/>
        <v/>
      </c>
      <c r="B1496">
        <f t="shared" ca="1" si="47"/>
        <v>0</v>
      </c>
    </row>
    <row r="1497" spans="1:2">
      <c r="A1497" t="str">
        <f t="shared" ca="1" si="46"/>
        <v/>
      </c>
      <c r="B1497">
        <f t="shared" ca="1" si="47"/>
        <v>0</v>
      </c>
    </row>
    <row r="1498" spans="1:2">
      <c r="A1498" t="str">
        <f t="shared" ca="1" si="46"/>
        <v/>
      </c>
      <c r="B1498">
        <f t="shared" ca="1" si="47"/>
        <v>0</v>
      </c>
    </row>
    <row r="1499" spans="1:2">
      <c r="A1499" t="str">
        <f t="shared" ca="1" si="46"/>
        <v/>
      </c>
      <c r="B1499">
        <f t="shared" ca="1" si="47"/>
        <v>0</v>
      </c>
    </row>
    <row r="1500" spans="1:2">
      <c r="A1500" t="str">
        <f t="shared" ca="1" si="46"/>
        <v/>
      </c>
      <c r="B1500">
        <f t="shared" ca="1" si="47"/>
        <v>0</v>
      </c>
    </row>
    <row r="1501" spans="1:2">
      <c r="A1501" t="str">
        <f t="shared" ca="1" si="46"/>
        <v/>
      </c>
      <c r="B1501">
        <f t="shared" ca="1" si="47"/>
        <v>0</v>
      </c>
    </row>
    <row r="1502" spans="1:2">
      <c r="A1502" t="str">
        <f t="shared" ca="1" si="46"/>
        <v/>
      </c>
      <c r="B1502">
        <f t="shared" ca="1" si="47"/>
        <v>0</v>
      </c>
    </row>
    <row r="1503" spans="1:2">
      <c r="A1503" t="str">
        <f t="shared" ca="1" si="46"/>
        <v/>
      </c>
      <c r="B1503">
        <f t="shared" ca="1" si="47"/>
        <v>0</v>
      </c>
    </row>
    <row r="1504" spans="1:2">
      <c r="A1504" t="str">
        <f t="shared" ca="1" si="46"/>
        <v/>
      </c>
      <c r="B1504">
        <f t="shared" ca="1" si="47"/>
        <v>0</v>
      </c>
    </row>
    <row r="1505" spans="1:2">
      <c r="A1505" t="str">
        <f t="shared" ca="1" si="46"/>
        <v/>
      </c>
      <c r="B1505">
        <f t="shared" ca="1" si="47"/>
        <v>0</v>
      </c>
    </row>
    <row r="1506" spans="1:2">
      <c r="A1506" t="str">
        <f t="shared" ca="1" si="46"/>
        <v/>
      </c>
      <c r="B1506">
        <f t="shared" ca="1" si="47"/>
        <v>0</v>
      </c>
    </row>
    <row r="1507" spans="1:2">
      <c r="A1507" t="str">
        <f t="shared" ca="1" si="46"/>
        <v/>
      </c>
      <c r="B1507">
        <f t="shared" ca="1" si="47"/>
        <v>0</v>
      </c>
    </row>
    <row r="1508" spans="1:2">
      <c r="A1508" t="str">
        <f t="shared" ca="1" si="46"/>
        <v/>
      </c>
      <c r="B1508">
        <f t="shared" ca="1" si="47"/>
        <v>0</v>
      </c>
    </row>
    <row r="1509" spans="1:2">
      <c r="A1509" t="str">
        <f t="shared" ca="1" si="46"/>
        <v/>
      </c>
      <c r="B1509">
        <f t="shared" ca="1" si="47"/>
        <v>0</v>
      </c>
    </row>
    <row r="1510" spans="1:2">
      <c r="A1510" t="str">
        <f t="shared" ca="1" si="46"/>
        <v/>
      </c>
      <c r="B1510">
        <f t="shared" ca="1" si="47"/>
        <v>0</v>
      </c>
    </row>
    <row r="1511" spans="1:2">
      <c r="A1511" t="str">
        <f t="shared" ca="1" si="46"/>
        <v/>
      </c>
      <c r="B1511">
        <f t="shared" ca="1" si="47"/>
        <v>0</v>
      </c>
    </row>
    <row r="1512" spans="1:2">
      <c r="A1512" t="str">
        <f t="shared" ca="1" si="46"/>
        <v/>
      </c>
      <c r="B1512">
        <f t="shared" ca="1" si="47"/>
        <v>0</v>
      </c>
    </row>
    <row r="1513" spans="1:2">
      <c r="A1513" t="str">
        <f t="shared" ca="1" si="46"/>
        <v/>
      </c>
      <c r="B1513">
        <f t="shared" ca="1" si="47"/>
        <v>0</v>
      </c>
    </row>
    <row r="1514" spans="1:2">
      <c r="A1514" t="str">
        <f t="shared" ca="1" si="46"/>
        <v/>
      </c>
      <c r="B1514">
        <f t="shared" ca="1" si="47"/>
        <v>0</v>
      </c>
    </row>
    <row r="1515" spans="1:2">
      <c r="A1515" t="str">
        <f t="shared" ca="1" si="46"/>
        <v/>
      </c>
      <c r="B1515">
        <f t="shared" ca="1" si="47"/>
        <v>0</v>
      </c>
    </row>
    <row r="1516" spans="1:2">
      <c r="A1516" t="str">
        <f t="shared" ca="1" si="46"/>
        <v/>
      </c>
      <c r="B1516">
        <f t="shared" ca="1" si="47"/>
        <v>0</v>
      </c>
    </row>
    <row r="1517" spans="1:2">
      <c r="A1517" t="str">
        <f t="shared" ca="1" si="46"/>
        <v/>
      </c>
      <c r="B1517">
        <f t="shared" ca="1" si="47"/>
        <v>0</v>
      </c>
    </row>
    <row r="1518" spans="1:2">
      <c r="A1518" t="str">
        <f t="shared" ca="1" si="46"/>
        <v/>
      </c>
      <c r="B1518">
        <f t="shared" ca="1" si="47"/>
        <v>0</v>
      </c>
    </row>
    <row r="1519" spans="1:2">
      <c r="A1519" t="str">
        <f t="shared" ca="1" si="46"/>
        <v/>
      </c>
      <c r="B1519">
        <f t="shared" ca="1" si="47"/>
        <v>0</v>
      </c>
    </row>
    <row r="1520" spans="1:2">
      <c r="A1520" t="str">
        <f t="shared" ca="1" si="46"/>
        <v/>
      </c>
      <c r="B1520">
        <f t="shared" ca="1" si="47"/>
        <v>0</v>
      </c>
    </row>
    <row r="1521" spans="1:2">
      <c r="A1521" t="str">
        <f t="shared" ca="1" si="46"/>
        <v/>
      </c>
      <c r="B1521">
        <f t="shared" ca="1" si="47"/>
        <v>0</v>
      </c>
    </row>
    <row r="1522" spans="1:2">
      <c r="A1522" t="str">
        <f t="shared" ca="1" si="46"/>
        <v/>
      </c>
      <c r="B1522">
        <f t="shared" ca="1" si="47"/>
        <v>0</v>
      </c>
    </row>
    <row r="1523" spans="1:2">
      <c r="A1523" t="str">
        <f t="shared" ca="1" si="46"/>
        <v/>
      </c>
      <c r="B1523">
        <f t="shared" ca="1" si="47"/>
        <v>0</v>
      </c>
    </row>
    <row r="1524" spans="1:2">
      <c r="A1524" t="str">
        <f t="shared" ca="1" si="46"/>
        <v/>
      </c>
      <c r="B1524">
        <f t="shared" ca="1" si="47"/>
        <v>0</v>
      </c>
    </row>
    <row r="1525" spans="1:2">
      <c r="A1525" t="str">
        <f t="shared" ca="1" si="46"/>
        <v/>
      </c>
      <c r="B1525">
        <f t="shared" ca="1" si="47"/>
        <v>0</v>
      </c>
    </row>
    <row r="1526" spans="1:2">
      <c r="A1526" t="str">
        <f t="shared" ca="1" si="46"/>
        <v/>
      </c>
      <c r="B1526">
        <f t="shared" ca="1" si="47"/>
        <v>0</v>
      </c>
    </row>
    <row r="1527" spans="1:2">
      <c r="A1527" t="str">
        <f t="shared" ca="1" si="46"/>
        <v/>
      </c>
      <c r="B1527">
        <f t="shared" ca="1" si="47"/>
        <v>0</v>
      </c>
    </row>
    <row r="1528" spans="1:2">
      <c r="A1528" t="str">
        <f t="shared" ca="1" si="46"/>
        <v/>
      </c>
      <c r="B1528">
        <f t="shared" ca="1" si="47"/>
        <v>0</v>
      </c>
    </row>
    <row r="1529" spans="1:2">
      <c r="A1529" t="str">
        <f t="shared" ca="1" si="46"/>
        <v/>
      </c>
      <c r="B1529">
        <f t="shared" ca="1" si="47"/>
        <v>0</v>
      </c>
    </row>
    <row r="1530" spans="1:2">
      <c r="A1530" t="str">
        <f t="shared" ca="1" si="46"/>
        <v/>
      </c>
      <c r="B1530">
        <f t="shared" ca="1" si="47"/>
        <v>0</v>
      </c>
    </row>
    <row r="1531" spans="1:2">
      <c r="A1531" t="str">
        <f t="shared" ca="1" si="46"/>
        <v/>
      </c>
      <c r="B1531">
        <f t="shared" ca="1" si="47"/>
        <v>0</v>
      </c>
    </row>
    <row r="1532" spans="1:2">
      <c r="A1532" t="str">
        <f t="shared" ca="1" si="46"/>
        <v/>
      </c>
      <c r="B1532">
        <f t="shared" ca="1" si="47"/>
        <v>0</v>
      </c>
    </row>
    <row r="1533" spans="1:2">
      <c r="A1533" t="str">
        <f t="shared" ca="1" si="46"/>
        <v/>
      </c>
      <c r="B1533">
        <f t="shared" ca="1" si="47"/>
        <v>0</v>
      </c>
    </row>
    <row r="1534" spans="1:2">
      <c r="A1534" t="str">
        <f t="shared" ca="1" si="46"/>
        <v/>
      </c>
      <c r="B1534">
        <f t="shared" ca="1" si="47"/>
        <v>0</v>
      </c>
    </row>
    <row r="1535" spans="1:2">
      <c r="A1535" t="str">
        <f t="shared" ca="1" si="46"/>
        <v/>
      </c>
      <c r="B1535">
        <f t="shared" ca="1" si="47"/>
        <v>0</v>
      </c>
    </row>
    <row r="1536" spans="1:2">
      <c r="A1536" t="str">
        <f t="shared" ca="1" si="46"/>
        <v/>
      </c>
      <c r="B1536">
        <f t="shared" ca="1" si="47"/>
        <v>0</v>
      </c>
    </row>
    <row r="1537" spans="1:2">
      <c r="A1537" t="str">
        <f t="shared" ca="1" si="46"/>
        <v/>
      </c>
      <c r="B1537">
        <f t="shared" ca="1" si="47"/>
        <v>0</v>
      </c>
    </row>
    <row r="1538" spans="1:2">
      <c r="A1538" t="str">
        <f t="shared" ref="A1538:A1601" ca="1" si="48">CONCATENATE(INDIRECT(ADDRESS(ROW(),3)))</f>
        <v/>
      </c>
      <c r="B1538">
        <f t="shared" ref="B1538:B1601" ca="1" si="49">IF(IF(INDIRECT(ADDRESS(ROW(),1))&lt;&gt;"",IF(ISNA(MATCH(LEFT(INDIRECT(ADDRESS(ROW(),1)),2),PCNG_MN,0))=TRUE,1,0),0)+IF(INDIRECT(ADDRESS(ROW(),1))&lt;&gt;"",IF(ISNA(MATCH(LEFT(INDIRECT(ADDRESS(ROW(),1)),3),PCNG_MN,0))=TRUE,1,0),0)+IF(INDIRECT(ADDRESS(ROW(),1))&lt;&gt;"",IF(ISNA(MATCH(LEFT(INDIRECT(ADDRESS(ROW(),1)),4),PCNG_MN,0))=TRUE,1,0),0)&gt;=3,1,0)</f>
        <v>0</v>
      </c>
    </row>
    <row r="1539" spans="1:2">
      <c r="A1539" t="str">
        <f t="shared" ca="1" si="48"/>
        <v/>
      </c>
      <c r="B1539">
        <f t="shared" ca="1" si="49"/>
        <v>0</v>
      </c>
    </row>
    <row r="1540" spans="1:2">
      <c r="A1540" t="str">
        <f t="shared" ca="1" si="48"/>
        <v/>
      </c>
      <c r="B1540">
        <f t="shared" ca="1" si="49"/>
        <v>0</v>
      </c>
    </row>
    <row r="1541" spans="1:2">
      <c r="A1541" t="str">
        <f t="shared" ca="1" si="48"/>
        <v/>
      </c>
      <c r="B1541">
        <f t="shared" ca="1" si="49"/>
        <v>0</v>
      </c>
    </row>
    <row r="1542" spans="1:2">
      <c r="A1542" t="str">
        <f t="shared" ca="1" si="48"/>
        <v/>
      </c>
      <c r="B1542">
        <f t="shared" ca="1" si="49"/>
        <v>0</v>
      </c>
    </row>
    <row r="1543" spans="1:2">
      <c r="A1543" t="str">
        <f t="shared" ca="1" si="48"/>
        <v/>
      </c>
      <c r="B1543">
        <f t="shared" ca="1" si="49"/>
        <v>0</v>
      </c>
    </row>
    <row r="1544" spans="1:2">
      <c r="A1544" t="str">
        <f t="shared" ca="1" si="48"/>
        <v/>
      </c>
      <c r="B1544">
        <f t="shared" ca="1" si="49"/>
        <v>0</v>
      </c>
    </row>
    <row r="1545" spans="1:2">
      <c r="A1545" t="str">
        <f t="shared" ca="1" si="48"/>
        <v/>
      </c>
      <c r="B1545">
        <f t="shared" ca="1" si="49"/>
        <v>0</v>
      </c>
    </row>
    <row r="1546" spans="1:2">
      <c r="A1546" t="str">
        <f t="shared" ca="1" si="48"/>
        <v/>
      </c>
      <c r="B1546">
        <f t="shared" ca="1" si="49"/>
        <v>0</v>
      </c>
    </row>
    <row r="1547" spans="1:2">
      <c r="A1547" t="str">
        <f t="shared" ca="1" si="48"/>
        <v/>
      </c>
      <c r="B1547">
        <f t="shared" ca="1" si="49"/>
        <v>0</v>
      </c>
    </row>
    <row r="1548" spans="1:2">
      <c r="A1548" t="str">
        <f t="shared" ca="1" si="48"/>
        <v/>
      </c>
      <c r="B1548">
        <f t="shared" ca="1" si="49"/>
        <v>0</v>
      </c>
    </row>
    <row r="1549" spans="1:2">
      <c r="A1549" t="str">
        <f t="shared" ca="1" si="48"/>
        <v/>
      </c>
      <c r="B1549">
        <f t="shared" ca="1" si="49"/>
        <v>0</v>
      </c>
    </row>
    <row r="1550" spans="1:2">
      <c r="A1550" t="str">
        <f t="shared" ca="1" si="48"/>
        <v/>
      </c>
      <c r="B1550">
        <f t="shared" ca="1" si="49"/>
        <v>0</v>
      </c>
    </row>
    <row r="1551" spans="1:2">
      <c r="A1551" t="str">
        <f t="shared" ca="1" si="48"/>
        <v/>
      </c>
      <c r="B1551">
        <f t="shared" ca="1" si="49"/>
        <v>0</v>
      </c>
    </row>
    <row r="1552" spans="1:2">
      <c r="A1552" t="str">
        <f t="shared" ca="1" si="48"/>
        <v/>
      </c>
      <c r="B1552">
        <f t="shared" ca="1" si="49"/>
        <v>0</v>
      </c>
    </row>
    <row r="1553" spans="1:2">
      <c r="A1553" t="str">
        <f t="shared" ca="1" si="48"/>
        <v/>
      </c>
      <c r="B1553">
        <f t="shared" ca="1" si="49"/>
        <v>0</v>
      </c>
    </row>
    <row r="1554" spans="1:2">
      <c r="A1554" t="str">
        <f t="shared" ca="1" si="48"/>
        <v/>
      </c>
      <c r="B1554">
        <f t="shared" ca="1" si="49"/>
        <v>0</v>
      </c>
    </row>
    <row r="1555" spans="1:2">
      <c r="A1555" t="str">
        <f t="shared" ca="1" si="48"/>
        <v/>
      </c>
      <c r="B1555">
        <f t="shared" ca="1" si="49"/>
        <v>0</v>
      </c>
    </row>
    <row r="1556" spans="1:2">
      <c r="A1556" t="str">
        <f t="shared" ca="1" si="48"/>
        <v/>
      </c>
      <c r="B1556">
        <f t="shared" ca="1" si="49"/>
        <v>0</v>
      </c>
    </row>
    <row r="1557" spans="1:2">
      <c r="A1557" t="str">
        <f t="shared" ca="1" si="48"/>
        <v/>
      </c>
      <c r="B1557">
        <f t="shared" ca="1" si="49"/>
        <v>0</v>
      </c>
    </row>
    <row r="1558" spans="1:2">
      <c r="A1558" t="str">
        <f t="shared" ca="1" si="48"/>
        <v/>
      </c>
      <c r="B1558">
        <f t="shared" ca="1" si="49"/>
        <v>0</v>
      </c>
    </row>
    <row r="1559" spans="1:2">
      <c r="A1559" t="str">
        <f t="shared" ca="1" si="48"/>
        <v/>
      </c>
      <c r="B1559">
        <f t="shared" ca="1" si="49"/>
        <v>0</v>
      </c>
    </row>
    <row r="1560" spans="1:2">
      <c r="A1560" t="str">
        <f t="shared" ca="1" si="48"/>
        <v/>
      </c>
      <c r="B1560">
        <f t="shared" ca="1" si="49"/>
        <v>0</v>
      </c>
    </row>
    <row r="1561" spans="1:2">
      <c r="A1561" t="str">
        <f t="shared" ca="1" si="48"/>
        <v/>
      </c>
      <c r="B1561">
        <f t="shared" ca="1" si="49"/>
        <v>0</v>
      </c>
    </row>
    <row r="1562" spans="1:2">
      <c r="A1562" t="str">
        <f t="shared" ca="1" si="48"/>
        <v/>
      </c>
      <c r="B1562">
        <f t="shared" ca="1" si="49"/>
        <v>0</v>
      </c>
    </row>
    <row r="1563" spans="1:2">
      <c r="A1563" t="str">
        <f t="shared" ca="1" si="48"/>
        <v/>
      </c>
      <c r="B1563">
        <f t="shared" ca="1" si="49"/>
        <v>0</v>
      </c>
    </row>
    <row r="1564" spans="1:2">
      <c r="A1564" t="str">
        <f t="shared" ca="1" si="48"/>
        <v/>
      </c>
      <c r="B1564">
        <f t="shared" ca="1" si="49"/>
        <v>0</v>
      </c>
    </row>
    <row r="1565" spans="1:2">
      <c r="A1565" t="str">
        <f t="shared" ca="1" si="48"/>
        <v/>
      </c>
      <c r="B1565">
        <f t="shared" ca="1" si="49"/>
        <v>0</v>
      </c>
    </row>
    <row r="1566" spans="1:2">
      <c r="A1566" t="str">
        <f t="shared" ca="1" si="48"/>
        <v/>
      </c>
      <c r="B1566">
        <f t="shared" ca="1" si="49"/>
        <v>0</v>
      </c>
    </row>
    <row r="1567" spans="1:2">
      <c r="A1567" t="str">
        <f t="shared" ca="1" si="48"/>
        <v/>
      </c>
      <c r="B1567">
        <f t="shared" ca="1" si="49"/>
        <v>0</v>
      </c>
    </row>
    <row r="1568" spans="1:2">
      <c r="A1568" t="str">
        <f t="shared" ca="1" si="48"/>
        <v/>
      </c>
      <c r="B1568">
        <f t="shared" ca="1" si="49"/>
        <v>0</v>
      </c>
    </row>
    <row r="1569" spans="1:2">
      <c r="A1569" t="str">
        <f t="shared" ca="1" si="48"/>
        <v/>
      </c>
      <c r="B1569">
        <f t="shared" ca="1" si="49"/>
        <v>0</v>
      </c>
    </row>
    <row r="1570" spans="1:2">
      <c r="A1570" t="str">
        <f t="shared" ca="1" si="48"/>
        <v/>
      </c>
      <c r="B1570">
        <f t="shared" ca="1" si="49"/>
        <v>0</v>
      </c>
    </row>
    <row r="1571" spans="1:2">
      <c r="A1571" t="str">
        <f t="shared" ca="1" si="48"/>
        <v/>
      </c>
      <c r="B1571">
        <f t="shared" ca="1" si="49"/>
        <v>0</v>
      </c>
    </row>
    <row r="1572" spans="1:2">
      <c r="A1572" t="str">
        <f t="shared" ca="1" si="48"/>
        <v/>
      </c>
      <c r="B1572">
        <f t="shared" ca="1" si="49"/>
        <v>0</v>
      </c>
    </row>
    <row r="1573" spans="1:2">
      <c r="A1573" t="str">
        <f t="shared" ca="1" si="48"/>
        <v/>
      </c>
      <c r="B1573">
        <f t="shared" ca="1" si="49"/>
        <v>0</v>
      </c>
    </row>
    <row r="1574" spans="1:2">
      <c r="A1574" t="str">
        <f t="shared" ca="1" si="48"/>
        <v/>
      </c>
      <c r="B1574">
        <f t="shared" ca="1" si="49"/>
        <v>0</v>
      </c>
    </row>
    <row r="1575" spans="1:2">
      <c r="A1575" t="str">
        <f t="shared" ca="1" si="48"/>
        <v/>
      </c>
      <c r="B1575">
        <f t="shared" ca="1" si="49"/>
        <v>0</v>
      </c>
    </row>
    <row r="1576" spans="1:2">
      <c r="A1576" t="str">
        <f t="shared" ca="1" si="48"/>
        <v/>
      </c>
      <c r="B1576">
        <f t="shared" ca="1" si="49"/>
        <v>0</v>
      </c>
    </row>
    <row r="1577" spans="1:2">
      <c r="A1577" t="str">
        <f t="shared" ca="1" si="48"/>
        <v/>
      </c>
      <c r="B1577">
        <f t="shared" ca="1" si="49"/>
        <v>0</v>
      </c>
    </row>
    <row r="1578" spans="1:2">
      <c r="A1578" t="str">
        <f t="shared" ca="1" si="48"/>
        <v/>
      </c>
      <c r="B1578">
        <f t="shared" ca="1" si="49"/>
        <v>0</v>
      </c>
    </row>
    <row r="1579" spans="1:2">
      <c r="A1579" t="str">
        <f t="shared" ca="1" si="48"/>
        <v/>
      </c>
      <c r="B1579">
        <f t="shared" ca="1" si="49"/>
        <v>0</v>
      </c>
    </row>
    <row r="1580" spans="1:2">
      <c r="A1580" t="str">
        <f t="shared" ca="1" si="48"/>
        <v/>
      </c>
      <c r="B1580">
        <f t="shared" ca="1" si="49"/>
        <v>0</v>
      </c>
    </row>
    <row r="1581" spans="1:2">
      <c r="A1581" t="str">
        <f t="shared" ca="1" si="48"/>
        <v/>
      </c>
      <c r="B1581">
        <f t="shared" ca="1" si="49"/>
        <v>0</v>
      </c>
    </row>
    <row r="1582" spans="1:2">
      <c r="A1582" t="str">
        <f t="shared" ca="1" si="48"/>
        <v/>
      </c>
      <c r="B1582">
        <f t="shared" ca="1" si="49"/>
        <v>0</v>
      </c>
    </row>
    <row r="1583" spans="1:2">
      <c r="A1583" t="str">
        <f t="shared" ca="1" si="48"/>
        <v/>
      </c>
      <c r="B1583">
        <f t="shared" ca="1" si="49"/>
        <v>0</v>
      </c>
    </row>
    <row r="1584" spans="1:2">
      <c r="A1584" t="str">
        <f t="shared" ca="1" si="48"/>
        <v/>
      </c>
      <c r="B1584">
        <f t="shared" ca="1" si="49"/>
        <v>0</v>
      </c>
    </row>
    <row r="1585" spans="1:2">
      <c r="A1585" t="str">
        <f t="shared" ca="1" si="48"/>
        <v/>
      </c>
      <c r="B1585">
        <f t="shared" ca="1" si="49"/>
        <v>0</v>
      </c>
    </row>
    <row r="1586" spans="1:2">
      <c r="A1586" t="str">
        <f t="shared" ca="1" si="48"/>
        <v/>
      </c>
      <c r="B1586">
        <f t="shared" ca="1" si="49"/>
        <v>0</v>
      </c>
    </row>
    <row r="1587" spans="1:2">
      <c r="A1587" t="str">
        <f t="shared" ca="1" si="48"/>
        <v/>
      </c>
      <c r="B1587">
        <f t="shared" ca="1" si="49"/>
        <v>0</v>
      </c>
    </row>
    <row r="1588" spans="1:2">
      <c r="A1588" t="str">
        <f t="shared" ca="1" si="48"/>
        <v/>
      </c>
      <c r="B1588">
        <f t="shared" ca="1" si="49"/>
        <v>0</v>
      </c>
    </row>
    <row r="1589" spans="1:2">
      <c r="A1589" t="str">
        <f t="shared" ca="1" si="48"/>
        <v/>
      </c>
      <c r="B1589">
        <f t="shared" ca="1" si="49"/>
        <v>0</v>
      </c>
    </row>
    <row r="1590" spans="1:2">
      <c r="A1590" t="str">
        <f t="shared" ca="1" si="48"/>
        <v/>
      </c>
      <c r="B1590">
        <f t="shared" ca="1" si="49"/>
        <v>0</v>
      </c>
    </row>
    <row r="1591" spans="1:2">
      <c r="A1591" t="str">
        <f t="shared" ca="1" si="48"/>
        <v/>
      </c>
      <c r="B1591">
        <f t="shared" ca="1" si="49"/>
        <v>0</v>
      </c>
    </row>
    <row r="1592" spans="1:2">
      <c r="A1592" t="str">
        <f t="shared" ca="1" si="48"/>
        <v/>
      </c>
      <c r="B1592">
        <f t="shared" ca="1" si="49"/>
        <v>0</v>
      </c>
    </row>
    <row r="1593" spans="1:2">
      <c r="A1593" t="str">
        <f t="shared" ca="1" si="48"/>
        <v/>
      </c>
      <c r="B1593">
        <f t="shared" ca="1" si="49"/>
        <v>0</v>
      </c>
    </row>
    <row r="1594" spans="1:2">
      <c r="A1594" t="str">
        <f t="shared" ca="1" si="48"/>
        <v/>
      </c>
      <c r="B1594">
        <f t="shared" ca="1" si="49"/>
        <v>0</v>
      </c>
    </row>
    <row r="1595" spans="1:2">
      <c r="A1595" t="str">
        <f t="shared" ca="1" si="48"/>
        <v/>
      </c>
      <c r="B1595">
        <f t="shared" ca="1" si="49"/>
        <v>0</v>
      </c>
    </row>
    <row r="1596" spans="1:2">
      <c r="A1596" t="str">
        <f t="shared" ca="1" si="48"/>
        <v/>
      </c>
      <c r="B1596">
        <f t="shared" ca="1" si="49"/>
        <v>0</v>
      </c>
    </row>
    <row r="1597" spans="1:2">
      <c r="A1597" t="str">
        <f t="shared" ca="1" si="48"/>
        <v/>
      </c>
      <c r="B1597">
        <f t="shared" ca="1" si="49"/>
        <v>0</v>
      </c>
    </row>
    <row r="1598" spans="1:2">
      <c r="A1598" t="str">
        <f t="shared" ca="1" si="48"/>
        <v/>
      </c>
      <c r="B1598">
        <f t="shared" ca="1" si="49"/>
        <v>0</v>
      </c>
    </row>
    <row r="1599" spans="1:2">
      <c r="A1599" t="str">
        <f t="shared" ca="1" si="48"/>
        <v/>
      </c>
      <c r="B1599">
        <f t="shared" ca="1" si="49"/>
        <v>0</v>
      </c>
    </row>
    <row r="1600" spans="1:2">
      <c r="A1600" t="str">
        <f t="shared" ca="1" si="48"/>
        <v/>
      </c>
      <c r="B1600">
        <f t="shared" ca="1" si="49"/>
        <v>0</v>
      </c>
    </row>
    <row r="1601" spans="1:2">
      <c r="A1601" t="str">
        <f t="shared" ca="1" si="48"/>
        <v/>
      </c>
      <c r="B1601">
        <f t="shared" ca="1" si="49"/>
        <v>0</v>
      </c>
    </row>
    <row r="1602" spans="1:2">
      <c r="A1602" t="str">
        <f t="shared" ref="A1602:A1665" ca="1" si="50">CONCATENATE(INDIRECT(ADDRESS(ROW(),3)))</f>
        <v/>
      </c>
      <c r="B1602">
        <f t="shared" ref="B1602:B1665" ca="1" si="51">IF(IF(INDIRECT(ADDRESS(ROW(),1))&lt;&gt;"",IF(ISNA(MATCH(LEFT(INDIRECT(ADDRESS(ROW(),1)),2),PCNG_MN,0))=TRUE,1,0),0)+IF(INDIRECT(ADDRESS(ROW(),1))&lt;&gt;"",IF(ISNA(MATCH(LEFT(INDIRECT(ADDRESS(ROW(),1)),3),PCNG_MN,0))=TRUE,1,0),0)+IF(INDIRECT(ADDRESS(ROW(),1))&lt;&gt;"",IF(ISNA(MATCH(LEFT(INDIRECT(ADDRESS(ROW(),1)),4),PCNG_MN,0))=TRUE,1,0),0)&gt;=3,1,0)</f>
        <v>0</v>
      </c>
    </row>
    <row r="1603" spans="1:2">
      <c r="A1603" t="str">
        <f t="shared" ca="1" si="50"/>
        <v/>
      </c>
      <c r="B1603">
        <f t="shared" ca="1" si="51"/>
        <v>0</v>
      </c>
    </row>
    <row r="1604" spans="1:2">
      <c r="A1604" t="str">
        <f t="shared" ca="1" si="50"/>
        <v/>
      </c>
      <c r="B1604">
        <f t="shared" ca="1" si="51"/>
        <v>0</v>
      </c>
    </row>
    <row r="1605" spans="1:2">
      <c r="A1605" t="str">
        <f t="shared" ca="1" si="50"/>
        <v/>
      </c>
      <c r="B1605">
        <f t="shared" ca="1" si="51"/>
        <v>0</v>
      </c>
    </row>
    <row r="1606" spans="1:2">
      <c r="A1606" t="str">
        <f t="shared" ca="1" si="50"/>
        <v/>
      </c>
      <c r="B1606">
        <f t="shared" ca="1" si="51"/>
        <v>0</v>
      </c>
    </row>
    <row r="1607" spans="1:2">
      <c r="A1607" t="str">
        <f t="shared" ca="1" si="50"/>
        <v/>
      </c>
      <c r="B1607">
        <f t="shared" ca="1" si="51"/>
        <v>0</v>
      </c>
    </row>
    <row r="1608" spans="1:2">
      <c r="A1608" t="str">
        <f t="shared" ca="1" si="50"/>
        <v/>
      </c>
      <c r="B1608">
        <f t="shared" ca="1" si="51"/>
        <v>0</v>
      </c>
    </row>
    <row r="1609" spans="1:2">
      <c r="A1609" t="str">
        <f t="shared" ca="1" si="50"/>
        <v/>
      </c>
      <c r="B1609">
        <f t="shared" ca="1" si="51"/>
        <v>0</v>
      </c>
    </row>
    <row r="1610" spans="1:2">
      <c r="A1610" t="str">
        <f t="shared" ca="1" si="50"/>
        <v/>
      </c>
      <c r="B1610">
        <f t="shared" ca="1" si="51"/>
        <v>0</v>
      </c>
    </row>
    <row r="1611" spans="1:2">
      <c r="A1611" t="str">
        <f t="shared" ca="1" si="50"/>
        <v/>
      </c>
      <c r="B1611">
        <f t="shared" ca="1" si="51"/>
        <v>0</v>
      </c>
    </row>
    <row r="1612" spans="1:2">
      <c r="A1612" t="str">
        <f t="shared" ca="1" si="50"/>
        <v/>
      </c>
      <c r="B1612">
        <f t="shared" ca="1" si="51"/>
        <v>0</v>
      </c>
    </row>
    <row r="1613" spans="1:2">
      <c r="A1613" t="str">
        <f t="shared" ca="1" si="50"/>
        <v/>
      </c>
      <c r="B1613">
        <f t="shared" ca="1" si="51"/>
        <v>0</v>
      </c>
    </row>
    <row r="1614" spans="1:2">
      <c r="A1614" t="str">
        <f t="shared" ca="1" si="50"/>
        <v/>
      </c>
      <c r="B1614">
        <f t="shared" ca="1" si="51"/>
        <v>0</v>
      </c>
    </row>
    <row r="1615" spans="1:2">
      <c r="A1615" t="str">
        <f t="shared" ca="1" si="50"/>
        <v/>
      </c>
      <c r="B1615">
        <f t="shared" ca="1" si="51"/>
        <v>0</v>
      </c>
    </row>
    <row r="1616" spans="1:2">
      <c r="A1616" t="str">
        <f t="shared" ca="1" si="50"/>
        <v/>
      </c>
      <c r="B1616">
        <f t="shared" ca="1" si="51"/>
        <v>0</v>
      </c>
    </row>
    <row r="1617" spans="1:2">
      <c r="A1617" t="str">
        <f t="shared" ca="1" si="50"/>
        <v/>
      </c>
      <c r="B1617">
        <f t="shared" ca="1" si="51"/>
        <v>0</v>
      </c>
    </row>
    <row r="1618" spans="1:2">
      <c r="A1618" t="str">
        <f t="shared" ca="1" si="50"/>
        <v/>
      </c>
      <c r="B1618">
        <f t="shared" ca="1" si="51"/>
        <v>0</v>
      </c>
    </row>
    <row r="1619" spans="1:2">
      <c r="A1619" t="str">
        <f t="shared" ca="1" si="50"/>
        <v/>
      </c>
      <c r="B1619">
        <f t="shared" ca="1" si="51"/>
        <v>0</v>
      </c>
    </row>
    <row r="1620" spans="1:2">
      <c r="A1620" t="str">
        <f t="shared" ca="1" si="50"/>
        <v/>
      </c>
      <c r="B1620">
        <f t="shared" ca="1" si="51"/>
        <v>0</v>
      </c>
    </row>
    <row r="1621" spans="1:2">
      <c r="A1621" t="str">
        <f t="shared" ca="1" si="50"/>
        <v/>
      </c>
      <c r="B1621">
        <f t="shared" ca="1" si="51"/>
        <v>0</v>
      </c>
    </row>
    <row r="1622" spans="1:2">
      <c r="A1622" t="str">
        <f t="shared" ca="1" si="50"/>
        <v/>
      </c>
      <c r="B1622">
        <f t="shared" ca="1" si="51"/>
        <v>0</v>
      </c>
    </row>
    <row r="1623" spans="1:2">
      <c r="A1623" t="str">
        <f t="shared" ca="1" si="50"/>
        <v/>
      </c>
      <c r="B1623">
        <f t="shared" ca="1" si="51"/>
        <v>0</v>
      </c>
    </row>
    <row r="1624" spans="1:2">
      <c r="A1624" t="str">
        <f t="shared" ca="1" si="50"/>
        <v/>
      </c>
      <c r="B1624">
        <f t="shared" ca="1" si="51"/>
        <v>0</v>
      </c>
    </row>
    <row r="1625" spans="1:2">
      <c r="A1625" t="str">
        <f t="shared" ca="1" si="50"/>
        <v/>
      </c>
      <c r="B1625">
        <f t="shared" ca="1" si="51"/>
        <v>0</v>
      </c>
    </row>
    <row r="1626" spans="1:2">
      <c r="A1626" t="str">
        <f t="shared" ca="1" si="50"/>
        <v/>
      </c>
      <c r="B1626">
        <f t="shared" ca="1" si="51"/>
        <v>0</v>
      </c>
    </row>
    <row r="1627" spans="1:2">
      <c r="A1627" t="str">
        <f t="shared" ca="1" si="50"/>
        <v/>
      </c>
      <c r="B1627">
        <f t="shared" ca="1" si="51"/>
        <v>0</v>
      </c>
    </row>
    <row r="1628" spans="1:2">
      <c r="A1628" t="str">
        <f t="shared" ca="1" si="50"/>
        <v/>
      </c>
      <c r="B1628">
        <f t="shared" ca="1" si="51"/>
        <v>0</v>
      </c>
    </row>
    <row r="1629" spans="1:2">
      <c r="A1629" t="str">
        <f t="shared" ca="1" si="50"/>
        <v/>
      </c>
      <c r="B1629">
        <f t="shared" ca="1" si="51"/>
        <v>0</v>
      </c>
    </row>
    <row r="1630" spans="1:2">
      <c r="A1630" t="str">
        <f t="shared" ca="1" si="50"/>
        <v/>
      </c>
      <c r="B1630">
        <f t="shared" ca="1" si="51"/>
        <v>0</v>
      </c>
    </row>
    <row r="1631" spans="1:2">
      <c r="A1631" t="str">
        <f t="shared" ca="1" si="50"/>
        <v/>
      </c>
      <c r="B1631">
        <f t="shared" ca="1" si="51"/>
        <v>0</v>
      </c>
    </row>
    <row r="1632" spans="1:2">
      <c r="A1632" t="str">
        <f t="shared" ca="1" si="50"/>
        <v/>
      </c>
      <c r="B1632">
        <f t="shared" ca="1" si="51"/>
        <v>0</v>
      </c>
    </row>
    <row r="1633" spans="1:2">
      <c r="A1633" t="str">
        <f t="shared" ca="1" si="50"/>
        <v/>
      </c>
      <c r="B1633">
        <f t="shared" ca="1" si="51"/>
        <v>0</v>
      </c>
    </row>
    <row r="1634" spans="1:2">
      <c r="A1634" t="str">
        <f t="shared" ca="1" si="50"/>
        <v/>
      </c>
      <c r="B1634">
        <f t="shared" ca="1" si="51"/>
        <v>0</v>
      </c>
    </row>
    <row r="1635" spans="1:2">
      <c r="A1635" t="str">
        <f t="shared" ca="1" si="50"/>
        <v/>
      </c>
      <c r="B1635">
        <f t="shared" ca="1" si="51"/>
        <v>0</v>
      </c>
    </row>
    <row r="1636" spans="1:2">
      <c r="A1636" t="str">
        <f t="shared" ca="1" si="50"/>
        <v/>
      </c>
      <c r="B1636">
        <f t="shared" ca="1" si="51"/>
        <v>0</v>
      </c>
    </row>
    <row r="1637" spans="1:2">
      <c r="A1637" t="str">
        <f t="shared" ca="1" si="50"/>
        <v/>
      </c>
      <c r="B1637">
        <f t="shared" ca="1" si="51"/>
        <v>0</v>
      </c>
    </row>
    <row r="1638" spans="1:2">
      <c r="A1638" t="str">
        <f t="shared" ca="1" si="50"/>
        <v/>
      </c>
      <c r="B1638">
        <f t="shared" ca="1" si="51"/>
        <v>0</v>
      </c>
    </row>
    <row r="1639" spans="1:2">
      <c r="A1639" t="str">
        <f t="shared" ca="1" si="50"/>
        <v/>
      </c>
      <c r="B1639">
        <f t="shared" ca="1" si="51"/>
        <v>0</v>
      </c>
    </row>
    <row r="1640" spans="1:2">
      <c r="A1640" t="str">
        <f t="shared" ca="1" si="50"/>
        <v/>
      </c>
      <c r="B1640">
        <f t="shared" ca="1" si="51"/>
        <v>0</v>
      </c>
    </row>
    <row r="1641" spans="1:2">
      <c r="A1641" t="str">
        <f t="shared" ca="1" si="50"/>
        <v/>
      </c>
      <c r="B1641">
        <f t="shared" ca="1" si="51"/>
        <v>0</v>
      </c>
    </row>
    <row r="1642" spans="1:2">
      <c r="A1642" t="str">
        <f t="shared" ca="1" si="50"/>
        <v/>
      </c>
      <c r="B1642">
        <f t="shared" ca="1" si="51"/>
        <v>0</v>
      </c>
    </row>
    <row r="1643" spans="1:2">
      <c r="A1643" t="str">
        <f t="shared" ca="1" si="50"/>
        <v/>
      </c>
      <c r="B1643">
        <f t="shared" ca="1" si="51"/>
        <v>0</v>
      </c>
    </row>
    <row r="1644" spans="1:2">
      <c r="A1644" t="str">
        <f t="shared" ca="1" si="50"/>
        <v/>
      </c>
      <c r="B1644">
        <f t="shared" ca="1" si="51"/>
        <v>0</v>
      </c>
    </row>
    <row r="1645" spans="1:2">
      <c r="A1645" t="str">
        <f t="shared" ca="1" si="50"/>
        <v/>
      </c>
      <c r="B1645">
        <f t="shared" ca="1" si="51"/>
        <v>0</v>
      </c>
    </row>
    <row r="1646" spans="1:2">
      <c r="A1646" t="str">
        <f t="shared" ca="1" si="50"/>
        <v/>
      </c>
      <c r="B1646">
        <f t="shared" ca="1" si="51"/>
        <v>0</v>
      </c>
    </row>
    <row r="1647" spans="1:2">
      <c r="A1647" t="str">
        <f t="shared" ca="1" si="50"/>
        <v/>
      </c>
      <c r="B1647">
        <f t="shared" ca="1" si="51"/>
        <v>0</v>
      </c>
    </row>
    <row r="1648" spans="1:2">
      <c r="A1648" t="str">
        <f t="shared" ca="1" si="50"/>
        <v/>
      </c>
      <c r="B1648">
        <f t="shared" ca="1" si="51"/>
        <v>0</v>
      </c>
    </row>
    <row r="1649" spans="1:2">
      <c r="A1649" t="str">
        <f t="shared" ca="1" si="50"/>
        <v/>
      </c>
      <c r="B1649">
        <f t="shared" ca="1" si="51"/>
        <v>0</v>
      </c>
    </row>
    <row r="1650" spans="1:2">
      <c r="A1650" t="str">
        <f t="shared" ca="1" si="50"/>
        <v/>
      </c>
      <c r="B1650">
        <f t="shared" ca="1" si="51"/>
        <v>0</v>
      </c>
    </row>
    <row r="1651" spans="1:2">
      <c r="A1651" t="str">
        <f t="shared" ca="1" si="50"/>
        <v/>
      </c>
      <c r="B1651">
        <f t="shared" ca="1" si="51"/>
        <v>0</v>
      </c>
    </row>
    <row r="1652" spans="1:2">
      <c r="A1652" t="str">
        <f t="shared" ca="1" si="50"/>
        <v/>
      </c>
      <c r="B1652">
        <f t="shared" ca="1" si="51"/>
        <v>0</v>
      </c>
    </row>
    <row r="1653" spans="1:2">
      <c r="A1653" t="str">
        <f t="shared" ca="1" si="50"/>
        <v/>
      </c>
      <c r="B1653">
        <f t="shared" ca="1" si="51"/>
        <v>0</v>
      </c>
    </row>
    <row r="1654" spans="1:2">
      <c r="A1654" t="str">
        <f t="shared" ca="1" si="50"/>
        <v/>
      </c>
      <c r="B1654">
        <f t="shared" ca="1" si="51"/>
        <v>0</v>
      </c>
    </row>
    <row r="1655" spans="1:2">
      <c r="A1655" t="str">
        <f t="shared" ca="1" si="50"/>
        <v/>
      </c>
      <c r="B1655">
        <f t="shared" ca="1" si="51"/>
        <v>0</v>
      </c>
    </row>
    <row r="1656" spans="1:2">
      <c r="A1656" t="str">
        <f t="shared" ca="1" si="50"/>
        <v/>
      </c>
      <c r="B1656">
        <f t="shared" ca="1" si="51"/>
        <v>0</v>
      </c>
    </row>
    <row r="1657" spans="1:2">
      <c r="A1657" t="str">
        <f t="shared" ca="1" si="50"/>
        <v/>
      </c>
      <c r="B1657">
        <f t="shared" ca="1" si="51"/>
        <v>0</v>
      </c>
    </row>
    <row r="1658" spans="1:2">
      <c r="A1658" t="str">
        <f t="shared" ca="1" si="50"/>
        <v/>
      </c>
      <c r="B1658">
        <f t="shared" ca="1" si="51"/>
        <v>0</v>
      </c>
    </row>
    <row r="1659" spans="1:2">
      <c r="A1659" t="str">
        <f t="shared" ca="1" si="50"/>
        <v/>
      </c>
      <c r="B1659">
        <f t="shared" ca="1" si="51"/>
        <v>0</v>
      </c>
    </row>
    <row r="1660" spans="1:2">
      <c r="A1660" t="str">
        <f t="shared" ca="1" si="50"/>
        <v/>
      </c>
      <c r="B1660">
        <f t="shared" ca="1" si="51"/>
        <v>0</v>
      </c>
    </row>
    <row r="1661" spans="1:2">
      <c r="A1661" t="str">
        <f t="shared" ca="1" si="50"/>
        <v/>
      </c>
      <c r="B1661">
        <f t="shared" ca="1" si="51"/>
        <v>0</v>
      </c>
    </row>
    <row r="1662" spans="1:2">
      <c r="A1662" t="str">
        <f t="shared" ca="1" si="50"/>
        <v/>
      </c>
      <c r="B1662">
        <f t="shared" ca="1" si="51"/>
        <v>0</v>
      </c>
    </row>
    <row r="1663" spans="1:2">
      <c r="A1663" t="str">
        <f t="shared" ca="1" si="50"/>
        <v/>
      </c>
      <c r="B1663">
        <f t="shared" ca="1" si="51"/>
        <v>0</v>
      </c>
    </row>
    <row r="1664" spans="1:2">
      <c r="A1664" t="str">
        <f t="shared" ca="1" si="50"/>
        <v/>
      </c>
      <c r="B1664">
        <f t="shared" ca="1" si="51"/>
        <v>0</v>
      </c>
    </row>
    <row r="1665" spans="1:2">
      <c r="A1665" t="str">
        <f t="shared" ca="1" si="50"/>
        <v/>
      </c>
      <c r="B1665">
        <f t="shared" ca="1" si="51"/>
        <v>0</v>
      </c>
    </row>
    <row r="1666" spans="1:2">
      <c r="A1666" t="str">
        <f t="shared" ref="A1666:A1729" ca="1" si="52">CONCATENATE(INDIRECT(ADDRESS(ROW(),3)))</f>
        <v/>
      </c>
      <c r="B1666">
        <f t="shared" ref="B1666:B1729" ca="1" si="53">IF(IF(INDIRECT(ADDRESS(ROW(),1))&lt;&gt;"",IF(ISNA(MATCH(LEFT(INDIRECT(ADDRESS(ROW(),1)),2),PCNG_MN,0))=TRUE,1,0),0)+IF(INDIRECT(ADDRESS(ROW(),1))&lt;&gt;"",IF(ISNA(MATCH(LEFT(INDIRECT(ADDRESS(ROW(),1)),3),PCNG_MN,0))=TRUE,1,0),0)+IF(INDIRECT(ADDRESS(ROW(),1))&lt;&gt;"",IF(ISNA(MATCH(LEFT(INDIRECT(ADDRESS(ROW(),1)),4),PCNG_MN,0))=TRUE,1,0),0)&gt;=3,1,0)</f>
        <v>0</v>
      </c>
    </row>
    <row r="1667" spans="1:2">
      <c r="A1667" t="str">
        <f t="shared" ca="1" si="52"/>
        <v/>
      </c>
      <c r="B1667">
        <f t="shared" ca="1" si="53"/>
        <v>0</v>
      </c>
    </row>
    <row r="1668" spans="1:2">
      <c r="A1668" t="str">
        <f t="shared" ca="1" si="52"/>
        <v/>
      </c>
      <c r="B1668">
        <f t="shared" ca="1" si="53"/>
        <v>0</v>
      </c>
    </row>
    <row r="1669" spans="1:2">
      <c r="A1669" t="str">
        <f t="shared" ca="1" si="52"/>
        <v/>
      </c>
      <c r="B1669">
        <f t="shared" ca="1" si="53"/>
        <v>0</v>
      </c>
    </row>
    <row r="1670" spans="1:2">
      <c r="A1670" t="str">
        <f t="shared" ca="1" si="52"/>
        <v/>
      </c>
      <c r="B1670">
        <f t="shared" ca="1" si="53"/>
        <v>0</v>
      </c>
    </row>
    <row r="1671" spans="1:2">
      <c r="A1671" t="str">
        <f t="shared" ca="1" si="52"/>
        <v/>
      </c>
      <c r="B1671">
        <f t="shared" ca="1" si="53"/>
        <v>0</v>
      </c>
    </row>
    <row r="1672" spans="1:2">
      <c r="A1672" t="str">
        <f t="shared" ca="1" si="52"/>
        <v/>
      </c>
      <c r="B1672">
        <f t="shared" ca="1" si="53"/>
        <v>0</v>
      </c>
    </row>
    <row r="1673" spans="1:2">
      <c r="A1673" t="str">
        <f t="shared" ca="1" si="52"/>
        <v/>
      </c>
      <c r="B1673">
        <f t="shared" ca="1" si="53"/>
        <v>0</v>
      </c>
    </row>
    <row r="1674" spans="1:2">
      <c r="A1674" t="str">
        <f t="shared" ca="1" si="52"/>
        <v/>
      </c>
      <c r="B1674">
        <f t="shared" ca="1" si="53"/>
        <v>0</v>
      </c>
    </row>
    <row r="1675" spans="1:2">
      <c r="A1675" t="str">
        <f t="shared" ca="1" si="52"/>
        <v/>
      </c>
      <c r="B1675">
        <f t="shared" ca="1" si="53"/>
        <v>0</v>
      </c>
    </row>
    <row r="1676" spans="1:2">
      <c r="A1676" t="str">
        <f t="shared" ca="1" si="52"/>
        <v/>
      </c>
      <c r="B1676">
        <f t="shared" ca="1" si="53"/>
        <v>0</v>
      </c>
    </row>
    <row r="1677" spans="1:2">
      <c r="A1677" t="str">
        <f t="shared" ca="1" si="52"/>
        <v/>
      </c>
      <c r="B1677">
        <f t="shared" ca="1" si="53"/>
        <v>0</v>
      </c>
    </row>
    <row r="1678" spans="1:2">
      <c r="A1678" t="str">
        <f t="shared" ca="1" si="52"/>
        <v/>
      </c>
      <c r="B1678">
        <f t="shared" ca="1" si="53"/>
        <v>0</v>
      </c>
    </row>
    <row r="1679" spans="1:2">
      <c r="A1679" t="str">
        <f t="shared" ca="1" si="52"/>
        <v/>
      </c>
      <c r="B1679">
        <f t="shared" ca="1" si="53"/>
        <v>0</v>
      </c>
    </row>
    <row r="1680" spans="1:2">
      <c r="A1680" t="str">
        <f t="shared" ca="1" si="52"/>
        <v/>
      </c>
      <c r="B1680">
        <f t="shared" ca="1" si="53"/>
        <v>0</v>
      </c>
    </row>
    <row r="1681" spans="1:2">
      <c r="A1681" t="str">
        <f t="shared" ca="1" si="52"/>
        <v/>
      </c>
      <c r="B1681">
        <f t="shared" ca="1" si="53"/>
        <v>0</v>
      </c>
    </row>
    <row r="1682" spans="1:2">
      <c r="A1682" t="str">
        <f t="shared" ca="1" si="52"/>
        <v/>
      </c>
      <c r="B1682">
        <f t="shared" ca="1" si="53"/>
        <v>0</v>
      </c>
    </row>
    <row r="1683" spans="1:2">
      <c r="A1683" t="str">
        <f t="shared" ca="1" si="52"/>
        <v/>
      </c>
      <c r="B1683">
        <f t="shared" ca="1" si="53"/>
        <v>0</v>
      </c>
    </row>
    <row r="1684" spans="1:2">
      <c r="A1684" t="str">
        <f t="shared" ca="1" si="52"/>
        <v/>
      </c>
      <c r="B1684">
        <f t="shared" ca="1" si="53"/>
        <v>0</v>
      </c>
    </row>
    <row r="1685" spans="1:2">
      <c r="A1685" t="str">
        <f t="shared" ca="1" si="52"/>
        <v/>
      </c>
      <c r="B1685">
        <f t="shared" ca="1" si="53"/>
        <v>0</v>
      </c>
    </row>
    <row r="1686" spans="1:2">
      <c r="A1686" t="str">
        <f t="shared" ca="1" si="52"/>
        <v/>
      </c>
      <c r="B1686">
        <f t="shared" ca="1" si="53"/>
        <v>0</v>
      </c>
    </row>
    <row r="1687" spans="1:2">
      <c r="A1687" t="str">
        <f t="shared" ca="1" si="52"/>
        <v/>
      </c>
      <c r="B1687">
        <f t="shared" ca="1" si="53"/>
        <v>0</v>
      </c>
    </row>
    <row r="1688" spans="1:2">
      <c r="A1688" t="str">
        <f t="shared" ca="1" si="52"/>
        <v/>
      </c>
      <c r="B1688">
        <f t="shared" ca="1" si="53"/>
        <v>0</v>
      </c>
    </row>
    <row r="1689" spans="1:2">
      <c r="A1689" t="str">
        <f t="shared" ca="1" si="52"/>
        <v/>
      </c>
      <c r="B1689">
        <f t="shared" ca="1" si="53"/>
        <v>0</v>
      </c>
    </row>
    <row r="1690" spans="1:2">
      <c r="A1690" t="str">
        <f t="shared" ca="1" si="52"/>
        <v/>
      </c>
      <c r="B1690">
        <f t="shared" ca="1" si="53"/>
        <v>0</v>
      </c>
    </row>
    <row r="1691" spans="1:2">
      <c r="A1691" t="str">
        <f t="shared" ca="1" si="52"/>
        <v/>
      </c>
      <c r="B1691">
        <f t="shared" ca="1" si="53"/>
        <v>0</v>
      </c>
    </row>
    <row r="1692" spans="1:2">
      <c r="A1692" t="str">
        <f t="shared" ca="1" si="52"/>
        <v/>
      </c>
      <c r="B1692">
        <f t="shared" ca="1" si="53"/>
        <v>0</v>
      </c>
    </row>
    <row r="1693" spans="1:2">
      <c r="A1693" t="str">
        <f t="shared" ca="1" si="52"/>
        <v/>
      </c>
      <c r="B1693">
        <f t="shared" ca="1" si="53"/>
        <v>0</v>
      </c>
    </row>
    <row r="1694" spans="1:2">
      <c r="A1694" t="str">
        <f t="shared" ca="1" si="52"/>
        <v/>
      </c>
      <c r="B1694">
        <f t="shared" ca="1" si="53"/>
        <v>0</v>
      </c>
    </row>
    <row r="1695" spans="1:2">
      <c r="A1695" t="str">
        <f t="shared" ca="1" si="52"/>
        <v/>
      </c>
      <c r="B1695">
        <f t="shared" ca="1" si="53"/>
        <v>0</v>
      </c>
    </row>
    <row r="1696" spans="1:2">
      <c r="A1696" t="str">
        <f t="shared" ca="1" si="52"/>
        <v/>
      </c>
      <c r="B1696">
        <f t="shared" ca="1" si="53"/>
        <v>0</v>
      </c>
    </row>
    <row r="1697" spans="1:2">
      <c r="A1697" t="str">
        <f t="shared" ca="1" si="52"/>
        <v/>
      </c>
      <c r="B1697">
        <f t="shared" ca="1" si="53"/>
        <v>0</v>
      </c>
    </row>
    <row r="1698" spans="1:2">
      <c r="A1698" t="str">
        <f t="shared" ca="1" si="52"/>
        <v/>
      </c>
      <c r="B1698">
        <f t="shared" ca="1" si="53"/>
        <v>0</v>
      </c>
    </row>
    <row r="1699" spans="1:2">
      <c r="A1699" t="str">
        <f t="shared" ca="1" si="52"/>
        <v/>
      </c>
      <c r="B1699">
        <f t="shared" ca="1" si="53"/>
        <v>0</v>
      </c>
    </row>
    <row r="1700" spans="1:2">
      <c r="A1700" t="str">
        <f t="shared" ca="1" si="52"/>
        <v/>
      </c>
      <c r="B1700">
        <f t="shared" ca="1" si="53"/>
        <v>0</v>
      </c>
    </row>
    <row r="1701" spans="1:2">
      <c r="A1701" t="str">
        <f t="shared" ca="1" si="52"/>
        <v/>
      </c>
      <c r="B1701">
        <f t="shared" ca="1" si="53"/>
        <v>0</v>
      </c>
    </row>
    <row r="1702" spans="1:2">
      <c r="A1702" t="str">
        <f t="shared" ca="1" si="52"/>
        <v/>
      </c>
      <c r="B1702">
        <f t="shared" ca="1" si="53"/>
        <v>0</v>
      </c>
    </row>
    <row r="1703" spans="1:2">
      <c r="A1703" t="str">
        <f t="shared" ca="1" si="52"/>
        <v/>
      </c>
      <c r="B1703">
        <f t="shared" ca="1" si="53"/>
        <v>0</v>
      </c>
    </row>
    <row r="1704" spans="1:2">
      <c r="A1704" t="str">
        <f t="shared" ca="1" si="52"/>
        <v/>
      </c>
      <c r="B1704">
        <f t="shared" ca="1" si="53"/>
        <v>0</v>
      </c>
    </row>
    <row r="1705" spans="1:2">
      <c r="A1705" t="str">
        <f t="shared" ca="1" si="52"/>
        <v/>
      </c>
      <c r="B1705">
        <f t="shared" ca="1" si="53"/>
        <v>0</v>
      </c>
    </row>
    <row r="1706" spans="1:2">
      <c r="A1706" t="str">
        <f t="shared" ca="1" si="52"/>
        <v/>
      </c>
      <c r="B1706">
        <f t="shared" ca="1" si="53"/>
        <v>0</v>
      </c>
    </row>
    <row r="1707" spans="1:2">
      <c r="A1707" t="str">
        <f t="shared" ca="1" si="52"/>
        <v/>
      </c>
      <c r="B1707">
        <f t="shared" ca="1" si="53"/>
        <v>0</v>
      </c>
    </row>
    <row r="1708" spans="1:2">
      <c r="A1708" t="str">
        <f t="shared" ca="1" si="52"/>
        <v/>
      </c>
      <c r="B1708">
        <f t="shared" ca="1" si="53"/>
        <v>0</v>
      </c>
    </row>
    <row r="1709" spans="1:2">
      <c r="A1709" t="str">
        <f t="shared" ca="1" si="52"/>
        <v/>
      </c>
      <c r="B1709">
        <f t="shared" ca="1" si="53"/>
        <v>0</v>
      </c>
    </row>
    <row r="1710" spans="1:2">
      <c r="A1710" t="str">
        <f t="shared" ca="1" si="52"/>
        <v/>
      </c>
      <c r="B1710">
        <f t="shared" ca="1" si="53"/>
        <v>0</v>
      </c>
    </row>
    <row r="1711" spans="1:2">
      <c r="A1711" t="str">
        <f t="shared" ca="1" si="52"/>
        <v/>
      </c>
      <c r="B1711">
        <f t="shared" ca="1" si="53"/>
        <v>0</v>
      </c>
    </row>
    <row r="1712" spans="1:2">
      <c r="A1712" t="str">
        <f t="shared" ca="1" si="52"/>
        <v/>
      </c>
      <c r="B1712">
        <f t="shared" ca="1" si="53"/>
        <v>0</v>
      </c>
    </row>
    <row r="1713" spans="1:2">
      <c r="A1713" t="str">
        <f t="shared" ca="1" si="52"/>
        <v/>
      </c>
      <c r="B1713">
        <f t="shared" ca="1" si="53"/>
        <v>0</v>
      </c>
    </row>
    <row r="1714" spans="1:2">
      <c r="A1714" t="str">
        <f t="shared" ca="1" si="52"/>
        <v/>
      </c>
      <c r="B1714">
        <f t="shared" ca="1" si="53"/>
        <v>0</v>
      </c>
    </row>
    <row r="1715" spans="1:2">
      <c r="A1715" t="str">
        <f t="shared" ca="1" si="52"/>
        <v/>
      </c>
      <c r="B1715">
        <f t="shared" ca="1" si="53"/>
        <v>0</v>
      </c>
    </row>
    <row r="1716" spans="1:2">
      <c r="A1716" t="str">
        <f t="shared" ca="1" si="52"/>
        <v/>
      </c>
      <c r="B1716">
        <f t="shared" ca="1" si="53"/>
        <v>0</v>
      </c>
    </row>
    <row r="1717" spans="1:2">
      <c r="A1717" t="str">
        <f t="shared" ca="1" si="52"/>
        <v/>
      </c>
      <c r="B1717">
        <f t="shared" ca="1" si="53"/>
        <v>0</v>
      </c>
    </row>
    <row r="1718" spans="1:2">
      <c r="A1718" t="str">
        <f t="shared" ca="1" si="52"/>
        <v/>
      </c>
      <c r="B1718">
        <f t="shared" ca="1" si="53"/>
        <v>0</v>
      </c>
    </row>
    <row r="1719" spans="1:2">
      <c r="A1719" t="str">
        <f t="shared" ca="1" si="52"/>
        <v/>
      </c>
      <c r="B1719">
        <f t="shared" ca="1" si="53"/>
        <v>0</v>
      </c>
    </row>
    <row r="1720" spans="1:2">
      <c r="A1720" t="str">
        <f t="shared" ca="1" si="52"/>
        <v/>
      </c>
      <c r="B1720">
        <f t="shared" ca="1" si="53"/>
        <v>0</v>
      </c>
    </row>
    <row r="1721" spans="1:2">
      <c r="A1721" t="str">
        <f t="shared" ca="1" si="52"/>
        <v/>
      </c>
      <c r="B1721">
        <f t="shared" ca="1" si="53"/>
        <v>0</v>
      </c>
    </row>
    <row r="1722" spans="1:2">
      <c r="A1722" t="str">
        <f t="shared" ca="1" si="52"/>
        <v/>
      </c>
      <c r="B1722">
        <f t="shared" ca="1" si="53"/>
        <v>0</v>
      </c>
    </row>
    <row r="1723" spans="1:2">
      <c r="A1723" t="str">
        <f t="shared" ca="1" si="52"/>
        <v/>
      </c>
      <c r="B1723">
        <f t="shared" ca="1" si="53"/>
        <v>0</v>
      </c>
    </row>
    <row r="1724" spans="1:2">
      <c r="A1724" t="str">
        <f t="shared" ca="1" si="52"/>
        <v/>
      </c>
      <c r="B1724">
        <f t="shared" ca="1" si="53"/>
        <v>0</v>
      </c>
    </row>
    <row r="1725" spans="1:2">
      <c r="A1725" t="str">
        <f t="shared" ca="1" si="52"/>
        <v/>
      </c>
      <c r="B1725">
        <f t="shared" ca="1" si="53"/>
        <v>0</v>
      </c>
    </row>
    <row r="1726" spans="1:2">
      <c r="A1726" t="str">
        <f t="shared" ca="1" si="52"/>
        <v/>
      </c>
      <c r="B1726">
        <f t="shared" ca="1" si="53"/>
        <v>0</v>
      </c>
    </row>
    <row r="1727" spans="1:2">
      <c r="A1727" t="str">
        <f t="shared" ca="1" si="52"/>
        <v/>
      </c>
      <c r="B1727">
        <f t="shared" ca="1" si="53"/>
        <v>0</v>
      </c>
    </row>
    <row r="1728" spans="1:2">
      <c r="A1728" t="str">
        <f t="shared" ca="1" si="52"/>
        <v/>
      </c>
      <c r="B1728">
        <f t="shared" ca="1" si="53"/>
        <v>0</v>
      </c>
    </row>
    <row r="1729" spans="1:2">
      <c r="A1729" t="str">
        <f t="shared" ca="1" si="52"/>
        <v/>
      </c>
      <c r="B1729">
        <f t="shared" ca="1" si="53"/>
        <v>0</v>
      </c>
    </row>
    <row r="1730" spans="1:2">
      <c r="A1730" t="str">
        <f t="shared" ref="A1730:A1793" ca="1" si="54">CONCATENATE(INDIRECT(ADDRESS(ROW(),3)))</f>
        <v/>
      </c>
      <c r="B1730">
        <f t="shared" ref="B1730:B1793" ca="1" si="55">IF(IF(INDIRECT(ADDRESS(ROW(),1))&lt;&gt;"",IF(ISNA(MATCH(LEFT(INDIRECT(ADDRESS(ROW(),1)),2),PCNG_MN,0))=TRUE,1,0),0)+IF(INDIRECT(ADDRESS(ROW(),1))&lt;&gt;"",IF(ISNA(MATCH(LEFT(INDIRECT(ADDRESS(ROW(),1)),3),PCNG_MN,0))=TRUE,1,0),0)+IF(INDIRECT(ADDRESS(ROW(),1))&lt;&gt;"",IF(ISNA(MATCH(LEFT(INDIRECT(ADDRESS(ROW(),1)),4),PCNG_MN,0))=TRUE,1,0),0)&gt;=3,1,0)</f>
        <v>0</v>
      </c>
    </row>
    <row r="1731" spans="1:2">
      <c r="A1731" t="str">
        <f t="shared" ca="1" si="54"/>
        <v/>
      </c>
      <c r="B1731">
        <f t="shared" ca="1" si="55"/>
        <v>0</v>
      </c>
    </row>
    <row r="1732" spans="1:2">
      <c r="A1732" t="str">
        <f t="shared" ca="1" si="54"/>
        <v/>
      </c>
      <c r="B1732">
        <f t="shared" ca="1" si="55"/>
        <v>0</v>
      </c>
    </row>
    <row r="1733" spans="1:2">
      <c r="A1733" t="str">
        <f t="shared" ca="1" si="54"/>
        <v/>
      </c>
      <c r="B1733">
        <f t="shared" ca="1" si="55"/>
        <v>0</v>
      </c>
    </row>
    <row r="1734" spans="1:2">
      <c r="A1734" t="str">
        <f t="shared" ca="1" si="54"/>
        <v/>
      </c>
      <c r="B1734">
        <f t="shared" ca="1" si="55"/>
        <v>0</v>
      </c>
    </row>
    <row r="1735" spans="1:2">
      <c r="A1735" t="str">
        <f t="shared" ca="1" si="54"/>
        <v/>
      </c>
      <c r="B1735">
        <f t="shared" ca="1" si="55"/>
        <v>0</v>
      </c>
    </row>
    <row r="1736" spans="1:2">
      <c r="A1736" t="str">
        <f t="shared" ca="1" si="54"/>
        <v/>
      </c>
      <c r="B1736">
        <f t="shared" ca="1" si="55"/>
        <v>0</v>
      </c>
    </row>
    <row r="1737" spans="1:2">
      <c r="A1737" t="str">
        <f t="shared" ca="1" si="54"/>
        <v/>
      </c>
      <c r="B1737">
        <f t="shared" ca="1" si="55"/>
        <v>0</v>
      </c>
    </row>
    <row r="1738" spans="1:2">
      <c r="A1738" t="str">
        <f t="shared" ca="1" si="54"/>
        <v/>
      </c>
      <c r="B1738">
        <f t="shared" ca="1" si="55"/>
        <v>0</v>
      </c>
    </row>
    <row r="1739" spans="1:2">
      <c r="A1739" t="str">
        <f t="shared" ca="1" si="54"/>
        <v/>
      </c>
      <c r="B1739">
        <f t="shared" ca="1" si="55"/>
        <v>0</v>
      </c>
    </row>
    <row r="1740" spans="1:2">
      <c r="A1740" t="str">
        <f t="shared" ca="1" si="54"/>
        <v/>
      </c>
      <c r="B1740">
        <f t="shared" ca="1" si="55"/>
        <v>0</v>
      </c>
    </row>
    <row r="1741" spans="1:2">
      <c r="A1741" t="str">
        <f t="shared" ca="1" si="54"/>
        <v/>
      </c>
      <c r="B1741">
        <f t="shared" ca="1" si="55"/>
        <v>0</v>
      </c>
    </row>
    <row r="1742" spans="1:2">
      <c r="A1742" t="str">
        <f t="shared" ca="1" si="54"/>
        <v/>
      </c>
      <c r="B1742">
        <f t="shared" ca="1" si="55"/>
        <v>0</v>
      </c>
    </row>
    <row r="1743" spans="1:2">
      <c r="A1743" t="str">
        <f t="shared" ca="1" si="54"/>
        <v/>
      </c>
      <c r="B1743">
        <f t="shared" ca="1" si="55"/>
        <v>0</v>
      </c>
    </row>
    <row r="1744" spans="1:2">
      <c r="A1744" t="str">
        <f t="shared" ca="1" si="54"/>
        <v/>
      </c>
      <c r="B1744">
        <f t="shared" ca="1" si="55"/>
        <v>0</v>
      </c>
    </row>
    <row r="1745" spans="1:2">
      <c r="A1745" t="str">
        <f t="shared" ca="1" si="54"/>
        <v/>
      </c>
      <c r="B1745">
        <f t="shared" ca="1" si="55"/>
        <v>0</v>
      </c>
    </row>
    <row r="1746" spans="1:2">
      <c r="A1746" t="str">
        <f t="shared" ca="1" si="54"/>
        <v/>
      </c>
      <c r="B1746">
        <f t="shared" ca="1" si="55"/>
        <v>0</v>
      </c>
    </row>
    <row r="1747" spans="1:2">
      <c r="A1747" t="str">
        <f t="shared" ca="1" si="54"/>
        <v/>
      </c>
      <c r="B1747">
        <f t="shared" ca="1" si="55"/>
        <v>0</v>
      </c>
    </row>
    <row r="1748" spans="1:2">
      <c r="A1748" t="str">
        <f t="shared" ca="1" si="54"/>
        <v/>
      </c>
      <c r="B1748">
        <f t="shared" ca="1" si="55"/>
        <v>0</v>
      </c>
    </row>
    <row r="1749" spans="1:2">
      <c r="A1749" t="str">
        <f t="shared" ca="1" si="54"/>
        <v/>
      </c>
      <c r="B1749">
        <f t="shared" ca="1" si="55"/>
        <v>0</v>
      </c>
    </row>
    <row r="1750" spans="1:2">
      <c r="A1750" t="str">
        <f t="shared" ca="1" si="54"/>
        <v/>
      </c>
      <c r="B1750">
        <f t="shared" ca="1" si="55"/>
        <v>0</v>
      </c>
    </row>
    <row r="1751" spans="1:2">
      <c r="A1751" t="str">
        <f t="shared" ca="1" si="54"/>
        <v/>
      </c>
      <c r="B1751">
        <f t="shared" ca="1" si="55"/>
        <v>0</v>
      </c>
    </row>
    <row r="1752" spans="1:2">
      <c r="A1752" t="str">
        <f t="shared" ca="1" si="54"/>
        <v/>
      </c>
      <c r="B1752">
        <f t="shared" ca="1" si="55"/>
        <v>0</v>
      </c>
    </row>
    <row r="1753" spans="1:2">
      <c r="A1753" t="str">
        <f t="shared" ca="1" si="54"/>
        <v/>
      </c>
      <c r="B1753">
        <f t="shared" ca="1" si="55"/>
        <v>0</v>
      </c>
    </row>
    <row r="1754" spans="1:2">
      <c r="A1754" t="str">
        <f t="shared" ca="1" si="54"/>
        <v/>
      </c>
      <c r="B1754">
        <f t="shared" ca="1" si="55"/>
        <v>0</v>
      </c>
    </row>
    <row r="1755" spans="1:2">
      <c r="A1755" t="str">
        <f t="shared" ca="1" si="54"/>
        <v/>
      </c>
      <c r="B1755">
        <f t="shared" ca="1" si="55"/>
        <v>0</v>
      </c>
    </row>
    <row r="1756" spans="1:2">
      <c r="A1756" t="str">
        <f t="shared" ca="1" si="54"/>
        <v/>
      </c>
      <c r="B1756">
        <f t="shared" ca="1" si="55"/>
        <v>0</v>
      </c>
    </row>
    <row r="1757" spans="1:2">
      <c r="A1757" t="str">
        <f t="shared" ca="1" si="54"/>
        <v/>
      </c>
      <c r="B1757">
        <f t="shared" ca="1" si="55"/>
        <v>0</v>
      </c>
    </row>
    <row r="1758" spans="1:2">
      <c r="A1758" t="str">
        <f t="shared" ca="1" si="54"/>
        <v/>
      </c>
      <c r="B1758">
        <f t="shared" ca="1" si="55"/>
        <v>0</v>
      </c>
    </row>
    <row r="1759" spans="1:2">
      <c r="A1759" t="str">
        <f t="shared" ca="1" si="54"/>
        <v/>
      </c>
      <c r="B1759">
        <f t="shared" ca="1" si="55"/>
        <v>0</v>
      </c>
    </row>
    <row r="1760" spans="1:2">
      <c r="A1760" t="str">
        <f t="shared" ca="1" si="54"/>
        <v/>
      </c>
      <c r="B1760">
        <f t="shared" ca="1" si="55"/>
        <v>0</v>
      </c>
    </row>
    <row r="1761" spans="1:2">
      <c r="A1761" t="str">
        <f t="shared" ca="1" si="54"/>
        <v/>
      </c>
      <c r="B1761">
        <f t="shared" ca="1" si="55"/>
        <v>0</v>
      </c>
    </row>
    <row r="1762" spans="1:2">
      <c r="A1762" t="str">
        <f t="shared" ca="1" si="54"/>
        <v/>
      </c>
      <c r="B1762">
        <f t="shared" ca="1" si="55"/>
        <v>0</v>
      </c>
    </row>
    <row r="1763" spans="1:2">
      <c r="A1763" t="str">
        <f t="shared" ca="1" si="54"/>
        <v/>
      </c>
      <c r="B1763">
        <f t="shared" ca="1" si="55"/>
        <v>0</v>
      </c>
    </row>
    <row r="1764" spans="1:2">
      <c r="A1764" t="str">
        <f t="shared" ca="1" si="54"/>
        <v/>
      </c>
      <c r="B1764">
        <f t="shared" ca="1" si="55"/>
        <v>0</v>
      </c>
    </row>
    <row r="1765" spans="1:2">
      <c r="A1765" t="str">
        <f t="shared" ca="1" si="54"/>
        <v/>
      </c>
      <c r="B1765">
        <f t="shared" ca="1" si="55"/>
        <v>0</v>
      </c>
    </row>
    <row r="1766" spans="1:2">
      <c r="A1766" t="str">
        <f t="shared" ca="1" si="54"/>
        <v/>
      </c>
      <c r="B1766">
        <f t="shared" ca="1" si="55"/>
        <v>0</v>
      </c>
    </row>
    <row r="1767" spans="1:2">
      <c r="A1767" t="str">
        <f t="shared" ca="1" si="54"/>
        <v/>
      </c>
      <c r="B1767">
        <f t="shared" ca="1" si="55"/>
        <v>0</v>
      </c>
    </row>
    <row r="1768" spans="1:2">
      <c r="A1768" t="str">
        <f t="shared" ca="1" si="54"/>
        <v/>
      </c>
      <c r="B1768">
        <f t="shared" ca="1" si="55"/>
        <v>0</v>
      </c>
    </row>
    <row r="1769" spans="1:2">
      <c r="A1769" t="str">
        <f t="shared" ca="1" si="54"/>
        <v/>
      </c>
      <c r="B1769">
        <f t="shared" ca="1" si="55"/>
        <v>0</v>
      </c>
    </row>
    <row r="1770" spans="1:2">
      <c r="A1770" t="str">
        <f t="shared" ca="1" si="54"/>
        <v/>
      </c>
      <c r="B1770">
        <f t="shared" ca="1" si="55"/>
        <v>0</v>
      </c>
    </row>
    <row r="1771" spans="1:2">
      <c r="A1771" t="str">
        <f t="shared" ca="1" si="54"/>
        <v/>
      </c>
      <c r="B1771">
        <f t="shared" ca="1" si="55"/>
        <v>0</v>
      </c>
    </row>
    <row r="1772" spans="1:2">
      <c r="A1772" t="str">
        <f t="shared" ca="1" si="54"/>
        <v/>
      </c>
      <c r="B1772">
        <f t="shared" ca="1" si="55"/>
        <v>0</v>
      </c>
    </row>
    <row r="1773" spans="1:2">
      <c r="A1773" t="str">
        <f t="shared" ca="1" si="54"/>
        <v/>
      </c>
      <c r="B1773">
        <f t="shared" ca="1" si="55"/>
        <v>0</v>
      </c>
    </row>
    <row r="1774" spans="1:2">
      <c r="A1774" t="str">
        <f t="shared" ca="1" si="54"/>
        <v/>
      </c>
      <c r="B1774">
        <f t="shared" ca="1" si="55"/>
        <v>0</v>
      </c>
    </row>
    <row r="1775" spans="1:2">
      <c r="A1775" t="str">
        <f t="shared" ca="1" si="54"/>
        <v/>
      </c>
      <c r="B1775">
        <f t="shared" ca="1" si="55"/>
        <v>0</v>
      </c>
    </row>
    <row r="1776" spans="1:2">
      <c r="A1776" t="str">
        <f t="shared" ca="1" si="54"/>
        <v/>
      </c>
      <c r="B1776">
        <f t="shared" ca="1" si="55"/>
        <v>0</v>
      </c>
    </row>
    <row r="1777" spans="1:2">
      <c r="A1777" t="str">
        <f t="shared" ca="1" si="54"/>
        <v/>
      </c>
      <c r="B1777">
        <f t="shared" ca="1" si="55"/>
        <v>0</v>
      </c>
    </row>
    <row r="1778" spans="1:2">
      <c r="A1778" t="str">
        <f t="shared" ca="1" si="54"/>
        <v/>
      </c>
      <c r="B1778">
        <f t="shared" ca="1" si="55"/>
        <v>0</v>
      </c>
    </row>
    <row r="1779" spans="1:2">
      <c r="A1779" t="str">
        <f t="shared" ca="1" si="54"/>
        <v/>
      </c>
      <c r="B1779">
        <f t="shared" ca="1" si="55"/>
        <v>0</v>
      </c>
    </row>
    <row r="1780" spans="1:2">
      <c r="A1780" t="str">
        <f t="shared" ca="1" si="54"/>
        <v/>
      </c>
      <c r="B1780">
        <f t="shared" ca="1" si="55"/>
        <v>0</v>
      </c>
    </row>
    <row r="1781" spans="1:2">
      <c r="A1781" t="str">
        <f t="shared" ca="1" si="54"/>
        <v/>
      </c>
      <c r="B1781">
        <f t="shared" ca="1" si="55"/>
        <v>0</v>
      </c>
    </row>
    <row r="1782" spans="1:2">
      <c r="A1782" t="str">
        <f t="shared" ca="1" si="54"/>
        <v/>
      </c>
      <c r="B1782">
        <f t="shared" ca="1" si="55"/>
        <v>0</v>
      </c>
    </row>
    <row r="1783" spans="1:2">
      <c r="A1783" t="str">
        <f t="shared" ca="1" si="54"/>
        <v/>
      </c>
      <c r="B1783">
        <f t="shared" ca="1" si="55"/>
        <v>0</v>
      </c>
    </row>
    <row r="1784" spans="1:2">
      <c r="A1784" t="str">
        <f t="shared" ca="1" si="54"/>
        <v/>
      </c>
      <c r="B1784">
        <f t="shared" ca="1" si="55"/>
        <v>0</v>
      </c>
    </row>
    <row r="1785" spans="1:2">
      <c r="A1785" t="str">
        <f t="shared" ca="1" si="54"/>
        <v/>
      </c>
      <c r="B1785">
        <f t="shared" ca="1" si="55"/>
        <v>0</v>
      </c>
    </row>
    <row r="1786" spans="1:2">
      <c r="A1786" t="str">
        <f t="shared" ca="1" si="54"/>
        <v/>
      </c>
      <c r="B1786">
        <f t="shared" ca="1" si="55"/>
        <v>0</v>
      </c>
    </row>
    <row r="1787" spans="1:2">
      <c r="A1787" t="str">
        <f t="shared" ca="1" si="54"/>
        <v/>
      </c>
      <c r="B1787">
        <f t="shared" ca="1" si="55"/>
        <v>0</v>
      </c>
    </row>
    <row r="1788" spans="1:2">
      <c r="A1788" t="str">
        <f t="shared" ca="1" si="54"/>
        <v/>
      </c>
      <c r="B1788">
        <f t="shared" ca="1" si="55"/>
        <v>0</v>
      </c>
    </row>
    <row r="1789" spans="1:2">
      <c r="A1789" t="str">
        <f t="shared" ca="1" si="54"/>
        <v/>
      </c>
      <c r="B1789">
        <f t="shared" ca="1" si="55"/>
        <v>0</v>
      </c>
    </row>
    <row r="1790" spans="1:2">
      <c r="A1790" t="str">
        <f t="shared" ca="1" si="54"/>
        <v/>
      </c>
      <c r="B1790">
        <f t="shared" ca="1" si="55"/>
        <v>0</v>
      </c>
    </row>
    <row r="1791" spans="1:2">
      <c r="A1791" t="str">
        <f t="shared" ca="1" si="54"/>
        <v/>
      </c>
      <c r="B1791">
        <f t="shared" ca="1" si="55"/>
        <v>0</v>
      </c>
    </row>
    <row r="1792" spans="1:2">
      <c r="A1792" t="str">
        <f t="shared" ca="1" si="54"/>
        <v/>
      </c>
      <c r="B1792">
        <f t="shared" ca="1" si="55"/>
        <v>0</v>
      </c>
    </row>
    <row r="1793" spans="1:2">
      <c r="A1793" t="str">
        <f t="shared" ca="1" si="54"/>
        <v/>
      </c>
      <c r="B1793">
        <f t="shared" ca="1" si="55"/>
        <v>0</v>
      </c>
    </row>
    <row r="1794" spans="1:2">
      <c r="A1794" t="str">
        <f t="shared" ref="A1794:A1857" ca="1" si="56">CONCATENATE(INDIRECT(ADDRESS(ROW(),3)))</f>
        <v/>
      </c>
      <c r="B1794">
        <f t="shared" ref="B1794:B1857" ca="1" si="57">IF(IF(INDIRECT(ADDRESS(ROW(),1))&lt;&gt;"",IF(ISNA(MATCH(LEFT(INDIRECT(ADDRESS(ROW(),1)),2),PCNG_MN,0))=TRUE,1,0),0)+IF(INDIRECT(ADDRESS(ROW(),1))&lt;&gt;"",IF(ISNA(MATCH(LEFT(INDIRECT(ADDRESS(ROW(),1)),3),PCNG_MN,0))=TRUE,1,0),0)+IF(INDIRECT(ADDRESS(ROW(),1))&lt;&gt;"",IF(ISNA(MATCH(LEFT(INDIRECT(ADDRESS(ROW(),1)),4),PCNG_MN,0))=TRUE,1,0),0)&gt;=3,1,0)</f>
        <v>0</v>
      </c>
    </row>
    <row r="1795" spans="1:2">
      <c r="A1795" t="str">
        <f t="shared" ca="1" si="56"/>
        <v/>
      </c>
      <c r="B1795">
        <f t="shared" ca="1" si="57"/>
        <v>0</v>
      </c>
    </row>
    <row r="1796" spans="1:2">
      <c r="A1796" t="str">
        <f t="shared" ca="1" si="56"/>
        <v/>
      </c>
      <c r="B1796">
        <f t="shared" ca="1" si="57"/>
        <v>0</v>
      </c>
    </row>
    <row r="1797" spans="1:2">
      <c r="A1797" t="str">
        <f t="shared" ca="1" si="56"/>
        <v/>
      </c>
      <c r="B1797">
        <f t="shared" ca="1" si="57"/>
        <v>0</v>
      </c>
    </row>
    <row r="1798" spans="1:2">
      <c r="A1798" t="str">
        <f t="shared" ca="1" si="56"/>
        <v/>
      </c>
      <c r="B1798">
        <f t="shared" ca="1" si="57"/>
        <v>0</v>
      </c>
    </row>
    <row r="1799" spans="1:2">
      <c r="A1799" t="str">
        <f t="shared" ca="1" si="56"/>
        <v/>
      </c>
      <c r="B1799">
        <f t="shared" ca="1" si="57"/>
        <v>0</v>
      </c>
    </row>
    <row r="1800" spans="1:2">
      <c r="A1800" t="str">
        <f t="shared" ca="1" si="56"/>
        <v/>
      </c>
      <c r="B1800">
        <f t="shared" ca="1" si="57"/>
        <v>0</v>
      </c>
    </row>
    <row r="1801" spans="1:2">
      <c r="A1801" t="str">
        <f t="shared" ca="1" si="56"/>
        <v/>
      </c>
      <c r="B1801">
        <f t="shared" ca="1" si="57"/>
        <v>0</v>
      </c>
    </row>
    <row r="1802" spans="1:2">
      <c r="A1802" t="str">
        <f t="shared" ca="1" si="56"/>
        <v/>
      </c>
      <c r="B1802">
        <f t="shared" ca="1" si="57"/>
        <v>0</v>
      </c>
    </row>
    <row r="1803" spans="1:2">
      <c r="A1803" t="str">
        <f t="shared" ca="1" si="56"/>
        <v/>
      </c>
      <c r="B1803">
        <f t="shared" ca="1" si="57"/>
        <v>0</v>
      </c>
    </row>
    <row r="1804" spans="1:2">
      <c r="A1804" t="str">
        <f t="shared" ca="1" si="56"/>
        <v/>
      </c>
      <c r="B1804">
        <f t="shared" ca="1" si="57"/>
        <v>0</v>
      </c>
    </row>
    <row r="1805" spans="1:2">
      <c r="A1805" t="str">
        <f t="shared" ca="1" si="56"/>
        <v/>
      </c>
      <c r="B1805">
        <f t="shared" ca="1" si="57"/>
        <v>0</v>
      </c>
    </row>
    <row r="1806" spans="1:2">
      <c r="A1806" t="str">
        <f t="shared" ca="1" si="56"/>
        <v/>
      </c>
      <c r="B1806">
        <f t="shared" ca="1" si="57"/>
        <v>0</v>
      </c>
    </row>
    <row r="1807" spans="1:2">
      <c r="A1807" t="str">
        <f t="shared" ca="1" si="56"/>
        <v/>
      </c>
      <c r="B1807">
        <f t="shared" ca="1" si="57"/>
        <v>0</v>
      </c>
    </row>
    <row r="1808" spans="1:2">
      <c r="A1808" t="str">
        <f t="shared" ca="1" si="56"/>
        <v/>
      </c>
      <c r="B1808">
        <f t="shared" ca="1" si="57"/>
        <v>0</v>
      </c>
    </row>
    <row r="1809" spans="1:2">
      <c r="A1809" t="str">
        <f t="shared" ca="1" si="56"/>
        <v/>
      </c>
      <c r="B1809">
        <f t="shared" ca="1" si="57"/>
        <v>0</v>
      </c>
    </row>
    <row r="1810" spans="1:2">
      <c r="A1810" t="str">
        <f t="shared" ca="1" si="56"/>
        <v/>
      </c>
      <c r="B1810">
        <f t="shared" ca="1" si="57"/>
        <v>0</v>
      </c>
    </row>
    <row r="1811" spans="1:2">
      <c r="A1811" t="str">
        <f t="shared" ca="1" si="56"/>
        <v/>
      </c>
      <c r="B1811">
        <f t="shared" ca="1" si="57"/>
        <v>0</v>
      </c>
    </row>
    <row r="1812" spans="1:2">
      <c r="A1812" t="str">
        <f t="shared" ca="1" si="56"/>
        <v/>
      </c>
      <c r="B1812">
        <f t="shared" ca="1" si="57"/>
        <v>0</v>
      </c>
    </row>
    <row r="1813" spans="1:2">
      <c r="A1813" t="str">
        <f t="shared" ca="1" si="56"/>
        <v/>
      </c>
      <c r="B1813">
        <f t="shared" ca="1" si="57"/>
        <v>0</v>
      </c>
    </row>
    <row r="1814" spans="1:2">
      <c r="A1814" t="str">
        <f t="shared" ca="1" si="56"/>
        <v/>
      </c>
      <c r="B1814">
        <f t="shared" ca="1" si="57"/>
        <v>0</v>
      </c>
    </row>
    <row r="1815" spans="1:2">
      <c r="A1815" t="str">
        <f t="shared" ca="1" si="56"/>
        <v/>
      </c>
      <c r="B1815">
        <f t="shared" ca="1" si="57"/>
        <v>0</v>
      </c>
    </row>
    <row r="1816" spans="1:2">
      <c r="A1816" t="str">
        <f t="shared" ca="1" si="56"/>
        <v/>
      </c>
      <c r="B1816">
        <f t="shared" ca="1" si="57"/>
        <v>0</v>
      </c>
    </row>
    <row r="1817" spans="1:2">
      <c r="A1817" t="str">
        <f t="shared" ca="1" si="56"/>
        <v/>
      </c>
      <c r="B1817">
        <f t="shared" ca="1" si="57"/>
        <v>0</v>
      </c>
    </row>
    <row r="1818" spans="1:2">
      <c r="A1818" t="str">
        <f t="shared" ca="1" si="56"/>
        <v/>
      </c>
      <c r="B1818">
        <f t="shared" ca="1" si="57"/>
        <v>0</v>
      </c>
    </row>
    <row r="1819" spans="1:2">
      <c r="A1819" t="str">
        <f t="shared" ca="1" si="56"/>
        <v/>
      </c>
      <c r="B1819">
        <f t="shared" ca="1" si="57"/>
        <v>0</v>
      </c>
    </row>
    <row r="1820" spans="1:2">
      <c r="A1820" t="str">
        <f t="shared" ca="1" si="56"/>
        <v/>
      </c>
      <c r="B1820">
        <f t="shared" ca="1" si="57"/>
        <v>0</v>
      </c>
    </row>
    <row r="1821" spans="1:2">
      <c r="A1821" t="str">
        <f t="shared" ca="1" si="56"/>
        <v/>
      </c>
      <c r="B1821">
        <f t="shared" ca="1" si="57"/>
        <v>0</v>
      </c>
    </row>
    <row r="1822" spans="1:2">
      <c r="A1822" t="str">
        <f t="shared" ca="1" si="56"/>
        <v/>
      </c>
      <c r="B1822">
        <f t="shared" ca="1" si="57"/>
        <v>0</v>
      </c>
    </row>
    <row r="1823" spans="1:2">
      <c r="A1823" t="str">
        <f t="shared" ca="1" si="56"/>
        <v/>
      </c>
      <c r="B1823">
        <f t="shared" ca="1" si="57"/>
        <v>0</v>
      </c>
    </row>
    <row r="1824" spans="1:2">
      <c r="A1824" t="str">
        <f t="shared" ca="1" si="56"/>
        <v/>
      </c>
      <c r="B1824">
        <f t="shared" ca="1" si="57"/>
        <v>0</v>
      </c>
    </row>
    <row r="1825" spans="1:2">
      <c r="A1825" t="str">
        <f t="shared" ca="1" si="56"/>
        <v/>
      </c>
      <c r="B1825">
        <f t="shared" ca="1" si="57"/>
        <v>0</v>
      </c>
    </row>
    <row r="1826" spans="1:2">
      <c r="A1826" t="str">
        <f t="shared" ca="1" si="56"/>
        <v/>
      </c>
      <c r="B1826">
        <f t="shared" ca="1" si="57"/>
        <v>0</v>
      </c>
    </row>
    <row r="1827" spans="1:2">
      <c r="A1827" t="str">
        <f t="shared" ca="1" si="56"/>
        <v/>
      </c>
      <c r="B1827">
        <f t="shared" ca="1" si="57"/>
        <v>0</v>
      </c>
    </row>
    <row r="1828" spans="1:2">
      <c r="A1828" t="str">
        <f t="shared" ca="1" si="56"/>
        <v/>
      </c>
      <c r="B1828">
        <f t="shared" ca="1" si="57"/>
        <v>0</v>
      </c>
    </row>
    <row r="1829" spans="1:2">
      <c r="A1829" t="str">
        <f t="shared" ca="1" si="56"/>
        <v/>
      </c>
      <c r="B1829">
        <f t="shared" ca="1" si="57"/>
        <v>0</v>
      </c>
    </row>
    <row r="1830" spans="1:2">
      <c r="A1830" t="str">
        <f t="shared" ca="1" si="56"/>
        <v/>
      </c>
      <c r="B1830">
        <f t="shared" ca="1" si="57"/>
        <v>0</v>
      </c>
    </row>
    <row r="1831" spans="1:2">
      <c r="A1831" t="str">
        <f t="shared" ca="1" si="56"/>
        <v/>
      </c>
      <c r="B1831">
        <f t="shared" ca="1" si="57"/>
        <v>0</v>
      </c>
    </row>
    <row r="1832" spans="1:2">
      <c r="A1832" t="str">
        <f t="shared" ca="1" si="56"/>
        <v/>
      </c>
      <c r="B1832">
        <f t="shared" ca="1" si="57"/>
        <v>0</v>
      </c>
    </row>
    <row r="1833" spans="1:2">
      <c r="A1833" t="str">
        <f t="shared" ca="1" si="56"/>
        <v/>
      </c>
      <c r="B1833">
        <f t="shared" ca="1" si="57"/>
        <v>0</v>
      </c>
    </row>
    <row r="1834" spans="1:2">
      <c r="A1834" t="str">
        <f t="shared" ca="1" si="56"/>
        <v/>
      </c>
      <c r="B1834">
        <f t="shared" ca="1" si="57"/>
        <v>0</v>
      </c>
    </row>
    <row r="1835" spans="1:2">
      <c r="A1835" t="str">
        <f t="shared" ca="1" si="56"/>
        <v/>
      </c>
      <c r="B1835">
        <f t="shared" ca="1" si="57"/>
        <v>0</v>
      </c>
    </row>
    <row r="1836" spans="1:2">
      <c r="A1836" t="str">
        <f t="shared" ca="1" si="56"/>
        <v/>
      </c>
      <c r="B1836">
        <f t="shared" ca="1" si="57"/>
        <v>0</v>
      </c>
    </row>
    <row r="1837" spans="1:2">
      <c r="A1837" t="str">
        <f t="shared" ca="1" si="56"/>
        <v/>
      </c>
      <c r="B1837">
        <f t="shared" ca="1" si="57"/>
        <v>0</v>
      </c>
    </row>
    <row r="1838" spans="1:2">
      <c r="A1838" t="str">
        <f t="shared" ca="1" si="56"/>
        <v/>
      </c>
      <c r="B1838">
        <f t="shared" ca="1" si="57"/>
        <v>0</v>
      </c>
    </row>
    <row r="1839" spans="1:2">
      <c r="A1839" t="str">
        <f t="shared" ca="1" si="56"/>
        <v/>
      </c>
      <c r="B1839">
        <f t="shared" ca="1" si="57"/>
        <v>0</v>
      </c>
    </row>
    <row r="1840" spans="1:2">
      <c r="A1840" t="str">
        <f t="shared" ca="1" si="56"/>
        <v/>
      </c>
      <c r="B1840">
        <f t="shared" ca="1" si="57"/>
        <v>0</v>
      </c>
    </row>
    <row r="1841" spans="1:2">
      <c r="A1841" t="str">
        <f t="shared" ca="1" si="56"/>
        <v/>
      </c>
      <c r="B1841">
        <f t="shared" ca="1" si="57"/>
        <v>0</v>
      </c>
    </row>
    <row r="1842" spans="1:2">
      <c r="A1842" t="str">
        <f t="shared" ca="1" si="56"/>
        <v/>
      </c>
      <c r="B1842">
        <f t="shared" ca="1" si="57"/>
        <v>0</v>
      </c>
    </row>
    <row r="1843" spans="1:2">
      <c r="A1843" t="str">
        <f t="shared" ca="1" si="56"/>
        <v/>
      </c>
      <c r="B1843">
        <f t="shared" ca="1" si="57"/>
        <v>0</v>
      </c>
    </row>
    <row r="1844" spans="1:2">
      <c r="A1844" t="str">
        <f t="shared" ca="1" si="56"/>
        <v/>
      </c>
      <c r="B1844">
        <f t="shared" ca="1" si="57"/>
        <v>0</v>
      </c>
    </row>
    <row r="1845" spans="1:2">
      <c r="A1845" t="str">
        <f t="shared" ca="1" si="56"/>
        <v/>
      </c>
      <c r="B1845">
        <f t="shared" ca="1" si="57"/>
        <v>0</v>
      </c>
    </row>
    <row r="1846" spans="1:2">
      <c r="A1846" t="str">
        <f t="shared" ca="1" si="56"/>
        <v/>
      </c>
      <c r="B1846">
        <f t="shared" ca="1" si="57"/>
        <v>0</v>
      </c>
    </row>
    <row r="1847" spans="1:2">
      <c r="A1847" t="str">
        <f t="shared" ca="1" si="56"/>
        <v/>
      </c>
      <c r="B1847">
        <f t="shared" ca="1" si="57"/>
        <v>0</v>
      </c>
    </row>
    <row r="1848" spans="1:2">
      <c r="A1848" t="str">
        <f t="shared" ca="1" si="56"/>
        <v/>
      </c>
      <c r="B1848">
        <f t="shared" ca="1" si="57"/>
        <v>0</v>
      </c>
    </row>
    <row r="1849" spans="1:2">
      <c r="A1849" t="str">
        <f t="shared" ca="1" si="56"/>
        <v/>
      </c>
      <c r="B1849">
        <f t="shared" ca="1" si="57"/>
        <v>0</v>
      </c>
    </row>
    <row r="1850" spans="1:2">
      <c r="A1850" t="str">
        <f t="shared" ca="1" si="56"/>
        <v/>
      </c>
      <c r="B1850">
        <f t="shared" ca="1" si="57"/>
        <v>0</v>
      </c>
    </row>
    <row r="1851" spans="1:2">
      <c r="A1851" t="str">
        <f t="shared" ca="1" si="56"/>
        <v/>
      </c>
      <c r="B1851">
        <f t="shared" ca="1" si="57"/>
        <v>0</v>
      </c>
    </row>
    <row r="1852" spans="1:2">
      <c r="A1852" t="str">
        <f t="shared" ca="1" si="56"/>
        <v/>
      </c>
      <c r="B1852">
        <f t="shared" ca="1" si="57"/>
        <v>0</v>
      </c>
    </row>
    <row r="1853" spans="1:2">
      <c r="A1853" t="str">
        <f t="shared" ca="1" si="56"/>
        <v/>
      </c>
      <c r="B1853">
        <f t="shared" ca="1" si="57"/>
        <v>0</v>
      </c>
    </row>
    <row r="1854" spans="1:2">
      <c r="A1854" t="str">
        <f t="shared" ca="1" si="56"/>
        <v/>
      </c>
      <c r="B1854">
        <f t="shared" ca="1" si="57"/>
        <v>0</v>
      </c>
    </row>
    <row r="1855" spans="1:2">
      <c r="A1855" t="str">
        <f t="shared" ca="1" si="56"/>
        <v/>
      </c>
      <c r="B1855">
        <f t="shared" ca="1" si="57"/>
        <v>0</v>
      </c>
    </row>
    <row r="1856" spans="1:2">
      <c r="A1856" t="str">
        <f t="shared" ca="1" si="56"/>
        <v/>
      </c>
      <c r="B1856">
        <f t="shared" ca="1" si="57"/>
        <v>0</v>
      </c>
    </row>
    <row r="1857" spans="1:2">
      <c r="A1857" t="str">
        <f t="shared" ca="1" si="56"/>
        <v/>
      </c>
      <c r="B1857">
        <f t="shared" ca="1" si="57"/>
        <v>0</v>
      </c>
    </row>
    <row r="1858" spans="1:2">
      <c r="A1858" t="str">
        <f t="shared" ref="A1858:A1921" ca="1" si="58">CONCATENATE(INDIRECT(ADDRESS(ROW(),3)))</f>
        <v/>
      </c>
      <c r="B1858">
        <f t="shared" ref="B1858:B1921" ca="1" si="59">IF(IF(INDIRECT(ADDRESS(ROW(),1))&lt;&gt;"",IF(ISNA(MATCH(LEFT(INDIRECT(ADDRESS(ROW(),1)),2),PCNG_MN,0))=TRUE,1,0),0)+IF(INDIRECT(ADDRESS(ROW(),1))&lt;&gt;"",IF(ISNA(MATCH(LEFT(INDIRECT(ADDRESS(ROW(),1)),3),PCNG_MN,0))=TRUE,1,0),0)+IF(INDIRECT(ADDRESS(ROW(),1))&lt;&gt;"",IF(ISNA(MATCH(LEFT(INDIRECT(ADDRESS(ROW(),1)),4),PCNG_MN,0))=TRUE,1,0),0)&gt;=3,1,0)</f>
        <v>0</v>
      </c>
    </row>
    <row r="1859" spans="1:2">
      <c r="A1859" t="str">
        <f t="shared" ca="1" si="58"/>
        <v/>
      </c>
      <c r="B1859">
        <f t="shared" ca="1" si="59"/>
        <v>0</v>
      </c>
    </row>
    <row r="1860" spans="1:2">
      <c r="A1860" t="str">
        <f t="shared" ca="1" si="58"/>
        <v/>
      </c>
      <c r="B1860">
        <f t="shared" ca="1" si="59"/>
        <v>0</v>
      </c>
    </row>
    <row r="1861" spans="1:2">
      <c r="A1861" t="str">
        <f t="shared" ca="1" si="58"/>
        <v/>
      </c>
      <c r="B1861">
        <f t="shared" ca="1" si="59"/>
        <v>0</v>
      </c>
    </row>
    <row r="1862" spans="1:2">
      <c r="A1862" t="str">
        <f t="shared" ca="1" si="58"/>
        <v/>
      </c>
      <c r="B1862">
        <f t="shared" ca="1" si="59"/>
        <v>0</v>
      </c>
    </row>
    <row r="1863" spans="1:2">
      <c r="A1863" t="str">
        <f t="shared" ca="1" si="58"/>
        <v/>
      </c>
      <c r="B1863">
        <f t="shared" ca="1" si="59"/>
        <v>0</v>
      </c>
    </row>
    <row r="1864" spans="1:2">
      <c r="A1864" t="str">
        <f t="shared" ca="1" si="58"/>
        <v/>
      </c>
      <c r="B1864">
        <f t="shared" ca="1" si="59"/>
        <v>0</v>
      </c>
    </row>
    <row r="1865" spans="1:2">
      <c r="A1865" t="str">
        <f t="shared" ca="1" si="58"/>
        <v/>
      </c>
      <c r="B1865">
        <f t="shared" ca="1" si="59"/>
        <v>0</v>
      </c>
    </row>
    <row r="1866" spans="1:2">
      <c r="A1866" t="str">
        <f t="shared" ca="1" si="58"/>
        <v/>
      </c>
      <c r="B1866">
        <f t="shared" ca="1" si="59"/>
        <v>0</v>
      </c>
    </row>
    <row r="1867" spans="1:2">
      <c r="A1867" t="str">
        <f t="shared" ca="1" si="58"/>
        <v/>
      </c>
      <c r="B1867">
        <f t="shared" ca="1" si="59"/>
        <v>0</v>
      </c>
    </row>
    <row r="1868" spans="1:2">
      <c r="A1868" t="str">
        <f t="shared" ca="1" si="58"/>
        <v/>
      </c>
      <c r="B1868">
        <f t="shared" ca="1" si="59"/>
        <v>0</v>
      </c>
    </row>
    <row r="1869" spans="1:2">
      <c r="A1869" t="str">
        <f t="shared" ca="1" si="58"/>
        <v/>
      </c>
      <c r="B1869">
        <f t="shared" ca="1" si="59"/>
        <v>0</v>
      </c>
    </row>
    <row r="1870" spans="1:2">
      <c r="A1870" t="str">
        <f t="shared" ca="1" si="58"/>
        <v/>
      </c>
      <c r="B1870">
        <f t="shared" ca="1" si="59"/>
        <v>0</v>
      </c>
    </row>
    <row r="1871" spans="1:2">
      <c r="A1871" t="str">
        <f t="shared" ca="1" si="58"/>
        <v/>
      </c>
      <c r="B1871">
        <f t="shared" ca="1" si="59"/>
        <v>0</v>
      </c>
    </row>
    <row r="1872" spans="1:2">
      <c r="A1872" t="str">
        <f t="shared" ca="1" si="58"/>
        <v/>
      </c>
      <c r="B1872">
        <f t="shared" ca="1" si="59"/>
        <v>0</v>
      </c>
    </row>
    <row r="1873" spans="1:2">
      <c r="A1873" t="str">
        <f t="shared" ca="1" si="58"/>
        <v/>
      </c>
      <c r="B1873">
        <f t="shared" ca="1" si="59"/>
        <v>0</v>
      </c>
    </row>
    <row r="1874" spans="1:2">
      <c r="A1874" t="str">
        <f t="shared" ca="1" si="58"/>
        <v/>
      </c>
      <c r="B1874">
        <f t="shared" ca="1" si="59"/>
        <v>0</v>
      </c>
    </row>
    <row r="1875" spans="1:2">
      <c r="A1875" t="str">
        <f t="shared" ca="1" si="58"/>
        <v/>
      </c>
      <c r="B1875">
        <f t="shared" ca="1" si="59"/>
        <v>0</v>
      </c>
    </row>
    <row r="1876" spans="1:2">
      <c r="A1876" t="str">
        <f t="shared" ca="1" si="58"/>
        <v/>
      </c>
      <c r="B1876">
        <f t="shared" ca="1" si="59"/>
        <v>0</v>
      </c>
    </row>
    <row r="1877" spans="1:2">
      <c r="A1877" t="str">
        <f t="shared" ca="1" si="58"/>
        <v/>
      </c>
      <c r="B1877">
        <f t="shared" ca="1" si="59"/>
        <v>0</v>
      </c>
    </row>
    <row r="1878" spans="1:2">
      <c r="A1878" t="str">
        <f t="shared" ca="1" si="58"/>
        <v/>
      </c>
      <c r="B1878">
        <f t="shared" ca="1" si="59"/>
        <v>0</v>
      </c>
    </row>
    <row r="1879" spans="1:2">
      <c r="A1879" t="str">
        <f t="shared" ca="1" si="58"/>
        <v/>
      </c>
      <c r="B1879">
        <f t="shared" ca="1" si="59"/>
        <v>0</v>
      </c>
    </row>
    <row r="1880" spans="1:2">
      <c r="A1880" t="str">
        <f t="shared" ca="1" si="58"/>
        <v/>
      </c>
      <c r="B1880">
        <f t="shared" ca="1" si="59"/>
        <v>0</v>
      </c>
    </row>
    <row r="1881" spans="1:2">
      <c r="A1881" t="str">
        <f t="shared" ca="1" si="58"/>
        <v/>
      </c>
      <c r="B1881">
        <f t="shared" ca="1" si="59"/>
        <v>0</v>
      </c>
    </row>
    <row r="1882" spans="1:2">
      <c r="A1882" t="str">
        <f t="shared" ca="1" si="58"/>
        <v/>
      </c>
      <c r="B1882">
        <f t="shared" ca="1" si="59"/>
        <v>0</v>
      </c>
    </row>
    <row r="1883" spans="1:2">
      <c r="A1883" t="str">
        <f t="shared" ca="1" si="58"/>
        <v/>
      </c>
      <c r="B1883">
        <f t="shared" ca="1" si="59"/>
        <v>0</v>
      </c>
    </row>
    <row r="1884" spans="1:2">
      <c r="A1884" t="str">
        <f t="shared" ca="1" si="58"/>
        <v/>
      </c>
      <c r="B1884">
        <f t="shared" ca="1" si="59"/>
        <v>0</v>
      </c>
    </row>
    <row r="1885" spans="1:2">
      <c r="A1885" t="str">
        <f t="shared" ca="1" si="58"/>
        <v/>
      </c>
      <c r="B1885">
        <f t="shared" ca="1" si="59"/>
        <v>0</v>
      </c>
    </row>
    <row r="1886" spans="1:2">
      <c r="A1886" t="str">
        <f t="shared" ca="1" si="58"/>
        <v/>
      </c>
      <c r="B1886">
        <f t="shared" ca="1" si="59"/>
        <v>0</v>
      </c>
    </row>
    <row r="1887" spans="1:2">
      <c r="A1887" t="str">
        <f t="shared" ca="1" si="58"/>
        <v/>
      </c>
      <c r="B1887">
        <f t="shared" ca="1" si="59"/>
        <v>0</v>
      </c>
    </row>
    <row r="1888" spans="1:2">
      <c r="A1888" t="str">
        <f t="shared" ca="1" si="58"/>
        <v/>
      </c>
      <c r="B1888">
        <f t="shared" ca="1" si="59"/>
        <v>0</v>
      </c>
    </row>
    <row r="1889" spans="1:2">
      <c r="A1889" t="str">
        <f t="shared" ca="1" si="58"/>
        <v/>
      </c>
      <c r="B1889">
        <f t="shared" ca="1" si="59"/>
        <v>0</v>
      </c>
    </row>
    <row r="1890" spans="1:2">
      <c r="A1890" t="str">
        <f t="shared" ca="1" si="58"/>
        <v/>
      </c>
      <c r="B1890">
        <f t="shared" ca="1" si="59"/>
        <v>0</v>
      </c>
    </row>
    <row r="1891" spans="1:2">
      <c r="A1891" t="str">
        <f t="shared" ca="1" si="58"/>
        <v/>
      </c>
      <c r="B1891">
        <f t="shared" ca="1" si="59"/>
        <v>0</v>
      </c>
    </row>
    <row r="1892" spans="1:2">
      <c r="A1892" t="str">
        <f t="shared" ca="1" si="58"/>
        <v/>
      </c>
      <c r="B1892">
        <f t="shared" ca="1" si="59"/>
        <v>0</v>
      </c>
    </row>
    <row r="1893" spans="1:2">
      <c r="A1893" t="str">
        <f t="shared" ca="1" si="58"/>
        <v/>
      </c>
      <c r="B1893">
        <f t="shared" ca="1" si="59"/>
        <v>0</v>
      </c>
    </row>
    <row r="1894" spans="1:2">
      <c r="A1894" t="str">
        <f t="shared" ca="1" si="58"/>
        <v/>
      </c>
      <c r="B1894">
        <f t="shared" ca="1" si="59"/>
        <v>0</v>
      </c>
    </row>
    <row r="1895" spans="1:2">
      <c r="A1895" t="str">
        <f t="shared" ca="1" si="58"/>
        <v/>
      </c>
      <c r="B1895">
        <f t="shared" ca="1" si="59"/>
        <v>0</v>
      </c>
    </row>
    <row r="1896" spans="1:2">
      <c r="A1896" t="str">
        <f t="shared" ca="1" si="58"/>
        <v/>
      </c>
      <c r="B1896">
        <f t="shared" ca="1" si="59"/>
        <v>0</v>
      </c>
    </row>
    <row r="1897" spans="1:2">
      <c r="A1897" t="str">
        <f t="shared" ca="1" si="58"/>
        <v/>
      </c>
      <c r="B1897">
        <f t="shared" ca="1" si="59"/>
        <v>0</v>
      </c>
    </row>
    <row r="1898" spans="1:2">
      <c r="A1898" t="str">
        <f t="shared" ca="1" si="58"/>
        <v/>
      </c>
      <c r="B1898">
        <f t="shared" ca="1" si="59"/>
        <v>0</v>
      </c>
    </row>
    <row r="1899" spans="1:2">
      <c r="A1899" t="str">
        <f t="shared" ca="1" si="58"/>
        <v/>
      </c>
      <c r="B1899">
        <f t="shared" ca="1" si="59"/>
        <v>0</v>
      </c>
    </row>
    <row r="1900" spans="1:2">
      <c r="A1900" t="str">
        <f t="shared" ca="1" si="58"/>
        <v/>
      </c>
      <c r="B1900">
        <f t="shared" ca="1" si="59"/>
        <v>0</v>
      </c>
    </row>
    <row r="1901" spans="1:2">
      <c r="A1901" t="str">
        <f t="shared" ca="1" si="58"/>
        <v/>
      </c>
      <c r="B1901">
        <f t="shared" ca="1" si="59"/>
        <v>0</v>
      </c>
    </row>
    <row r="1902" spans="1:2">
      <c r="A1902" t="str">
        <f t="shared" ca="1" si="58"/>
        <v/>
      </c>
      <c r="B1902">
        <f t="shared" ca="1" si="59"/>
        <v>0</v>
      </c>
    </row>
    <row r="1903" spans="1:2">
      <c r="A1903" t="str">
        <f t="shared" ca="1" si="58"/>
        <v/>
      </c>
      <c r="B1903">
        <f t="shared" ca="1" si="59"/>
        <v>0</v>
      </c>
    </row>
    <row r="1904" spans="1:2">
      <c r="A1904" t="str">
        <f t="shared" ca="1" si="58"/>
        <v/>
      </c>
      <c r="B1904">
        <f t="shared" ca="1" si="59"/>
        <v>0</v>
      </c>
    </row>
    <row r="1905" spans="1:2">
      <c r="A1905" t="str">
        <f t="shared" ca="1" si="58"/>
        <v/>
      </c>
      <c r="B1905">
        <f t="shared" ca="1" si="59"/>
        <v>0</v>
      </c>
    </row>
    <row r="1906" spans="1:2">
      <c r="A1906" t="str">
        <f t="shared" ca="1" si="58"/>
        <v/>
      </c>
      <c r="B1906">
        <f t="shared" ca="1" si="59"/>
        <v>0</v>
      </c>
    </row>
    <row r="1907" spans="1:2">
      <c r="A1907" t="str">
        <f t="shared" ca="1" si="58"/>
        <v/>
      </c>
      <c r="B1907">
        <f t="shared" ca="1" si="59"/>
        <v>0</v>
      </c>
    </row>
    <row r="1908" spans="1:2">
      <c r="A1908" t="str">
        <f t="shared" ca="1" si="58"/>
        <v/>
      </c>
      <c r="B1908">
        <f t="shared" ca="1" si="59"/>
        <v>0</v>
      </c>
    </row>
    <row r="1909" spans="1:2">
      <c r="A1909" t="str">
        <f t="shared" ca="1" si="58"/>
        <v/>
      </c>
      <c r="B1909">
        <f t="shared" ca="1" si="59"/>
        <v>0</v>
      </c>
    </row>
    <row r="1910" spans="1:2">
      <c r="A1910" t="str">
        <f t="shared" ca="1" si="58"/>
        <v/>
      </c>
      <c r="B1910">
        <f t="shared" ca="1" si="59"/>
        <v>0</v>
      </c>
    </row>
    <row r="1911" spans="1:2">
      <c r="A1911" t="str">
        <f t="shared" ca="1" si="58"/>
        <v/>
      </c>
      <c r="B1911">
        <f t="shared" ca="1" si="59"/>
        <v>0</v>
      </c>
    </row>
    <row r="1912" spans="1:2">
      <c r="A1912" t="str">
        <f t="shared" ca="1" si="58"/>
        <v/>
      </c>
      <c r="B1912">
        <f t="shared" ca="1" si="59"/>
        <v>0</v>
      </c>
    </row>
    <row r="1913" spans="1:2">
      <c r="A1913" t="str">
        <f t="shared" ca="1" si="58"/>
        <v/>
      </c>
      <c r="B1913">
        <f t="shared" ca="1" si="59"/>
        <v>0</v>
      </c>
    </row>
    <row r="1914" spans="1:2">
      <c r="A1914" t="str">
        <f t="shared" ca="1" si="58"/>
        <v/>
      </c>
      <c r="B1914">
        <f t="shared" ca="1" si="59"/>
        <v>0</v>
      </c>
    </row>
    <row r="1915" spans="1:2">
      <c r="A1915" t="str">
        <f t="shared" ca="1" si="58"/>
        <v/>
      </c>
      <c r="B1915">
        <f t="shared" ca="1" si="59"/>
        <v>0</v>
      </c>
    </row>
    <row r="1916" spans="1:2">
      <c r="A1916" t="str">
        <f t="shared" ca="1" si="58"/>
        <v/>
      </c>
      <c r="B1916">
        <f t="shared" ca="1" si="59"/>
        <v>0</v>
      </c>
    </row>
    <row r="1917" spans="1:2">
      <c r="A1917" t="str">
        <f t="shared" ca="1" si="58"/>
        <v/>
      </c>
      <c r="B1917">
        <f t="shared" ca="1" si="59"/>
        <v>0</v>
      </c>
    </row>
    <row r="1918" spans="1:2">
      <c r="A1918" t="str">
        <f t="shared" ca="1" si="58"/>
        <v/>
      </c>
      <c r="B1918">
        <f t="shared" ca="1" si="59"/>
        <v>0</v>
      </c>
    </row>
    <row r="1919" spans="1:2">
      <c r="A1919" t="str">
        <f t="shared" ca="1" si="58"/>
        <v/>
      </c>
      <c r="B1919">
        <f t="shared" ca="1" si="59"/>
        <v>0</v>
      </c>
    </row>
    <row r="1920" spans="1:2">
      <c r="A1920" t="str">
        <f t="shared" ca="1" si="58"/>
        <v/>
      </c>
      <c r="B1920">
        <f t="shared" ca="1" si="59"/>
        <v>0</v>
      </c>
    </row>
    <row r="1921" spans="1:2">
      <c r="A1921" t="str">
        <f t="shared" ca="1" si="58"/>
        <v/>
      </c>
      <c r="B1921">
        <f t="shared" ca="1" si="59"/>
        <v>0</v>
      </c>
    </row>
    <row r="1922" spans="1:2">
      <c r="A1922" t="str">
        <f t="shared" ref="A1922:A1985" ca="1" si="60">CONCATENATE(INDIRECT(ADDRESS(ROW(),3)))</f>
        <v/>
      </c>
      <c r="B1922">
        <f t="shared" ref="B1922:B1985" ca="1" si="61">IF(IF(INDIRECT(ADDRESS(ROW(),1))&lt;&gt;"",IF(ISNA(MATCH(LEFT(INDIRECT(ADDRESS(ROW(),1)),2),PCNG_MN,0))=TRUE,1,0),0)+IF(INDIRECT(ADDRESS(ROW(),1))&lt;&gt;"",IF(ISNA(MATCH(LEFT(INDIRECT(ADDRESS(ROW(),1)),3),PCNG_MN,0))=TRUE,1,0),0)+IF(INDIRECT(ADDRESS(ROW(),1))&lt;&gt;"",IF(ISNA(MATCH(LEFT(INDIRECT(ADDRESS(ROW(),1)),4),PCNG_MN,0))=TRUE,1,0),0)&gt;=3,1,0)</f>
        <v>0</v>
      </c>
    </row>
    <row r="1923" spans="1:2">
      <c r="A1923" t="str">
        <f t="shared" ca="1" si="60"/>
        <v/>
      </c>
      <c r="B1923">
        <f t="shared" ca="1" si="61"/>
        <v>0</v>
      </c>
    </row>
    <row r="1924" spans="1:2">
      <c r="A1924" t="str">
        <f t="shared" ca="1" si="60"/>
        <v/>
      </c>
      <c r="B1924">
        <f t="shared" ca="1" si="61"/>
        <v>0</v>
      </c>
    </row>
    <row r="1925" spans="1:2">
      <c r="A1925" t="str">
        <f t="shared" ca="1" si="60"/>
        <v/>
      </c>
      <c r="B1925">
        <f t="shared" ca="1" si="61"/>
        <v>0</v>
      </c>
    </row>
    <row r="1926" spans="1:2">
      <c r="A1926" t="str">
        <f t="shared" ca="1" si="60"/>
        <v/>
      </c>
      <c r="B1926">
        <f t="shared" ca="1" si="61"/>
        <v>0</v>
      </c>
    </row>
    <row r="1927" spans="1:2">
      <c r="A1927" t="str">
        <f t="shared" ca="1" si="60"/>
        <v/>
      </c>
      <c r="B1927">
        <f t="shared" ca="1" si="61"/>
        <v>0</v>
      </c>
    </row>
    <row r="1928" spans="1:2">
      <c r="A1928" t="str">
        <f t="shared" ca="1" si="60"/>
        <v/>
      </c>
      <c r="B1928">
        <f t="shared" ca="1" si="61"/>
        <v>0</v>
      </c>
    </row>
    <row r="1929" spans="1:2">
      <c r="A1929" t="str">
        <f t="shared" ca="1" si="60"/>
        <v/>
      </c>
      <c r="B1929">
        <f t="shared" ca="1" si="61"/>
        <v>0</v>
      </c>
    </row>
    <row r="1930" spans="1:2">
      <c r="A1930" t="str">
        <f t="shared" ca="1" si="60"/>
        <v/>
      </c>
      <c r="B1930">
        <f t="shared" ca="1" si="61"/>
        <v>0</v>
      </c>
    </row>
    <row r="1931" spans="1:2">
      <c r="A1931" t="str">
        <f t="shared" ca="1" si="60"/>
        <v/>
      </c>
      <c r="B1931">
        <f t="shared" ca="1" si="61"/>
        <v>0</v>
      </c>
    </row>
    <row r="1932" spans="1:2">
      <c r="A1932" t="str">
        <f t="shared" ca="1" si="60"/>
        <v/>
      </c>
      <c r="B1932">
        <f t="shared" ca="1" si="61"/>
        <v>0</v>
      </c>
    </row>
    <row r="1933" spans="1:2">
      <c r="A1933" t="str">
        <f t="shared" ca="1" si="60"/>
        <v/>
      </c>
      <c r="B1933">
        <f t="shared" ca="1" si="61"/>
        <v>0</v>
      </c>
    </row>
    <row r="1934" spans="1:2">
      <c r="A1934" t="str">
        <f t="shared" ca="1" si="60"/>
        <v/>
      </c>
      <c r="B1934">
        <f t="shared" ca="1" si="61"/>
        <v>0</v>
      </c>
    </row>
    <row r="1935" spans="1:2">
      <c r="A1935" t="str">
        <f t="shared" ca="1" si="60"/>
        <v/>
      </c>
      <c r="B1935">
        <f t="shared" ca="1" si="61"/>
        <v>0</v>
      </c>
    </row>
    <row r="1936" spans="1:2">
      <c r="A1936" t="str">
        <f t="shared" ca="1" si="60"/>
        <v/>
      </c>
      <c r="B1936">
        <f t="shared" ca="1" si="61"/>
        <v>0</v>
      </c>
    </row>
    <row r="1937" spans="1:2">
      <c r="A1937" t="str">
        <f t="shared" ca="1" si="60"/>
        <v/>
      </c>
      <c r="B1937">
        <f t="shared" ca="1" si="61"/>
        <v>0</v>
      </c>
    </row>
    <row r="1938" spans="1:2">
      <c r="A1938" t="str">
        <f t="shared" ca="1" si="60"/>
        <v/>
      </c>
      <c r="B1938">
        <f t="shared" ca="1" si="61"/>
        <v>0</v>
      </c>
    </row>
    <row r="1939" spans="1:2">
      <c r="A1939" t="str">
        <f t="shared" ca="1" si="60"/>
        <v/>
      </c>
      <c r="B1939">
        <f t="shared" ca="1" si="61"/>
        <v>0</v>
      </c>
    </row>
    <row r="1940" spans="1:2">
      <c r="A1940" t="str">
        <f t="shared" ca="1" si="60"/>
        <v/>
      </c>
      <c r="B1940">
        <f t="shared" ca="1" si="61"/>
        <v>0</v>
      </c>
    </row>
    <row r="1941" spans="1:2">
      <c r="A1941" t="str">
        <f t="shared" ca="1" si="60"/>
        <v/>
      </c>
      <c r="B1941">
        <f t="shared" ca="1" si="61"/>
        <v>0</v>
      </c>
    </row>
    <row r="1942" spans="1:2">
      <c r="A1942" t="str">
        <f t="shared" ca="1" si="60"/>
        <v/>
      </c>
      <c r="B1942">
        <f t="shared" ca="1" si="61"/>
        <v>0</v>
      </c>
    </row>
    <row r="1943" spans="1:2">
      <c r="A1943" t="str">
        <f t="shared" ca="1" si="60"/>
        <v/>
      </c>
      <c r="B1943">
        <f t="shared" ca="1" si="61"/>
        <v>0</v>
      </c>
    </row>
    <row r="1944" spans="1:2">
      <c r="A1944" t="str">
        <f t="shared" ca="1" si="60"/>
        <v/>
      </c>
      <c r="B1944">
        <f t="shared" ca="1" si="61"/>
        <v>0</v>
      </c>
    </row>
    <row r="1945" spans="1:2">
      <c r="A1945" t="str">
        <f t="shared" ca="1" si="60"/>
        <v/>
      </c>
      <c r="B1945">
        <f t="shared" ca="1" si="61"/>
        <v>0</v>
      </c>
    </row>
    <row r="1946" spans="1:2">
      <c r="A1946" t="str">
        <f t="shared" ca="1" si="60"/>
        <v/>
      </c>
      <c r="B1946">
        <f t="shared" ca="1" si="61"/>
        <v>0</v>
      </c>
    </row>
    <row r="1947" spans="1:2">
      <c r="A1947" t="str">
        <f t="shared" ca="1" si="60"/>
        <v/>
      </c>
      <c r="B1947">
        <f t="shared" ca="1" si="61"/>
        <v>0</v>
      </c>
    </row>
    <row r="1948" spans="1:2">
      <c r="A1948" t="str">
        <f t="shared" ca="1" si="60"/>
        <v/>
      </c>
      <c r="B1948">
        <f t="shared" ca="1" si="61"/>
        <v>0</v>
      </c>
    </row>
    <row r="1949" spans="1:2">
      <c r="A1949" t="str">
        <f t="shared" ca="1" si="60"/>
        <v/>
      </c>
      <c r="B1949">
        <f t="shared" ca="1" si="61"/>
        <v>0</v>
      </c>
    </row>
    <row r="1950" spans="1:2">
      <c r="A1950" t="str">
        <f t="shared" ca="1" si="60"/>
        <v/>
      </c>
      <c r="B1950">
        <f t="shared" ca="1" si="61"/>
        <v>0</v>
      </c>
    </row>
    <row r="1951" spans="1:2">
      <c r="A1951" t="str">
        <f t="shared" ca="1" si="60"/>
        <v/>
      </c>
      <c r="B1951">
        <f t="shared" ca="1" si="61"/>
        <v>0</v>
      </c>
    </row>
    <row r="1952" spans="1:2">
      <c r="A1952" t="str">
        <f t="shared" ca="1" si="60"/>
        <v/>
      </c>
      <c r="B1952">
        <f t="shared" ca="1" si="61"/>
        <v>0</v>
      </c>
    </row>
    <row r="1953" spans="1:2">
      <c r="A1953" t="str">
        <f t="shared" ca="1" si="60"/>
        <v/>
      </c>
      <c r="B1953">
        <f t="shared" ca="1" si="61"/>
        <v>0</v>
      </c>
    </row>
    <row r="1954" spans="1:2">
      <c r="A1954" t="str">
        <f t="shared" ca="1" si="60"/>
        <v/>
      </c>
      <c r="B1954">
        <f t="shared" ca="1" si="61"/>
        <v>0</v>
      </c>
    </row>
    <row r="1955" spans="1:2">
      <c r="A1955" t="str">
        <f t="shared" ca="1" si="60"/>
        <v/>
      </c>
      <c r="B1955">
        <f t="shared" ca="1" si="61"/>
        <v>0</v>
      </c>
    </row>
    <row r="1956" spans="1:2">
      <c r="A1956" t="str">
        <f t="shared" ca="1" si="60"/>
        <v/>
      </c>
      <c r="B1956">
        <f t="shared" ca="1" si="61"/>
        <v>0</v>
      </c>
    </row>
    <row r="1957" spans="1:2">
      <c r="A1957" t="str">
        <f t="shared" ca="1" si="60"/>
        <v/>
      </c>
      <c r="B1957">
        <f t="shared" ca="1" si="61"/>
        <v>0</v>
      </c>
    </row>
    <row r="1958" spans="1:2">
      <c r="A1958" t="str">
        <f t="shared" ca="1" si="60"/>
        <v/>
      </c>
      <c r="B1958">
        <f t="shared" ca="1" si="61"/>
        <v>0</v>
      </c>
    </row>
    <row r="1959" spans="1:2">
      <c r="A1959" t="str">
        <f t="shared" ca="1" si="60"/>
        <v/>
      </c>
      <c r="B1959">
        <f t="shared" ca="1" si="61"/>
        <v>0</v>
      </c>
    </row>
    <row r="1960" spans="1:2">
      <c r="A1960" t="str">
        <f t="shared" ca="1" si="60"/>
        <v/>
      </c>
      <c r="B1960">
        <f t="shared" ca="1" si="61"/>
        <v>0</v>
      </c>
    </row>
    <row r="1961" spans="1:2">
      <c r="A1961" t="str">
        <f t="shared" ca="1" si="60"/>
        <v/>
      </c>
      <c r="B1961">
        <f t="shared" ca="1" si="61"/>
        <v>0</v>
      </c>
    </row>
    <row r="1962" spans="1:2">
      <c r="A1962" t="str">
        <f t="shared" ca="1" si="60"/>
        <v/>
      </c>
      <c r="B1962">
        <f t="shared" ca="1" si="61"/>
        <v>0</v>
      </c>
    </row>
    <row r="1963" spans="1:2">
      <c r="A1963" t="str">
        <f t="shared" ca="1" si="60"/>
        <v/>
      </c>
      <c r="B1963">
        <f t="shared" ca="1" si="61"/>
        <v>0</v>
      </c>
    </row>
    <row r="1964" spans="1:2">
      <c r="A1964" t="str">
        <f t="shared" ca="1" si="60"/>
        <v/>
      </c>
      <c r="B1964">
        <f t="shared" ca="1" si="61"/>
        <v>0</v>
      </c>
    </row>
    <row r="1965" spans="1:2">
      <c r="A1965" t="str">
        <f t="shared" ca="1" si="60"/>
        <v/>
      </c>
      <c r="B1965">
        <f t="shared" ca="1" si="61"/>
        <v>0</v>
      </c>
    </row>
    <row r="1966" spans="1:2">
      <c r="A1966" t="str">
        <f t="shared" ca="1" si="60"/>
        <v/>
      </c>
      <c r="B1966">
        <f t="shared" ca="1" si="61"/>
        <v>0</v>
      </c>
    </row>
    <row r="1967" spans="1:2">
      <c r="A1967" t="str">
        <f t="shared" ca="1" si="60"/>
        <v/>
      </c>
      <c r="B1967">
        <f t="shared" ca="1" si="61"/>
        <v>0</v>
      </c>
    </row>
    <row r="1968" spans="1:2">
      <c r="A1968" t="str">
        <f t="shared" ca="1" si="60"/>
        <v/>
      </c>
      <c r="B1968">
        <f t="shared" ca="1" si="61"/>
        <v>0</v>
      </c>
    </row>
    <row r="1969" spans="1:2">
      <c r="A1969" t="str">
        <f t="shared" ca="1" si="60"/>
        <v/>
      </c>
      <c r="B1969">
        <f t="shared" ca="1" si="61"/>
        <v>0</v>
      </c>
    </row>
    <row r="1970" spans="1:2">
      <c r="A1970" t="str">
        <f t="shared" ca="1" si="60"/>
        <v/>
      </c>
      <c r="B1970">
        <f t="shared" ca="1" si="61"/>
        <v>0</v>
      </c>
    </row>
    <row r="1971" spans="1:2">
      <c r="A1971" t="str">
        <f t="shared" ca="1" si="60"/>
        <v/>
      </c>
      <c r="B1971">
        <f t="shared" ca="1" si="61"/>
        <v>0</v>
      </c>
    </row>
    <row r="1972" spans="1:2">
      <c r="A1972" t="str">
        <f t="shared" ca="1" si="60"/>
        <v/>
      </c>
      <c r="B1972">
        <f t="shared" ca="1" si="61"/>
        <v>0</v>
      </c>
    </row>
    <row r="1973" spans="1:2">
      <c r="A1973" t="str">
        <f t="shared" ca="1" si="60"/>
        <v/>
      </c>
      <c r="B1973">
        <f t="shared" ca="1" si="61"/>
        <v>0</v>
      </c>
    </row>
    <row r="1974" spans="1:2">
      <c r="A1974" t="str">
        <f t="shared" ca="1" si="60"/>
        <v/>
      </c>
      <c r="B1974">
        <f t="shared" ca="1" si="61"/>
        <v>0</v>
      </c>
    </row>
    <row r="1975" spans="1:2">
      <c r="A1975" t="str">
        <f t="shared" ca="1" si="60"/>
        <v/>
      </c>
      <c r="B1975">
        <f t="shared" ca="1" si="61"/>
        <v>0</v>
      </c>
    </row>
    <row r="1976" spans="1:2">
      <c r="A1976" t="str">
        <f t="shared" ca="1" si="60"/>
        <v/>
      </c>
      <c r="B1976">
        <f t="shared" ca="1" si="61"/>
        <v>0</v>
      </c>
    </row>
    <row r="1977" spans="1:2">
      <c r="A1977" t="str">
        <f t="shared" ca="1" si="60"/>
        <v/>
      </c>
      <c r="B1977">
        <f t="shared" ca="1" si="61"/>
        <v>0</v>
      </c>
    </row>
    <row r="1978" spans="1:2">
      <c r="A1978" t="str">
        <f t="shared" ca="1" si="60"/>
        <v/>
      </c>
      <c r="B1978">
        <f t="shared" ca="1" si="61"/>
        <v>0</v>
      </c>
    </row>
    <row r="1979" spans="1:2">
      <c r="A1979" t="str">
        <f t="shared" ca="1" si="60"/>
        <v/>
      </c>
      <c r="B1979">
        <f t="shared" ca="1" si="61"/>
        <v>0</v>
      </c>
    </row>
    <row r="1980" spans="1:2">
      <c r="A1980" t="str">
        <f t="shared" ca="1" si="60"/>
        <v/>
      </c>
      <c r="B1980">
        <f t="shared" ca="1" si="61"/>
        <v>0</v>
      </c>
    </row>
    <row r="1981" spans="1:2">
      <c r="A1981" t="str">
        <f t="shared" ca="1" si="60"/>
        <v/>
      </c>
      <c r="B1981">
        <f t="shared" ca="1" si="61"/>
        <v>0</v>
      </c>
    </row>
    <row r="1982" spans="1:2">
      <c r="A1982" t="str">
        <f t="shared" ca="1" si="60"/>
        <v/>
      </c>
      <c r="B1982">
        <f t="shared" ca="1" si="61"/>
        <v>0</v>
      </c>
    </row>
    <row r="1983" spans="1:2">
      <c r="A1983" t="str">
        <f t="shared" ca="1" si="60"/>
        <v/>
      </c>
      <c r="B1983">
        <f t="shared" ca="1" si="61"/>
        <v>0</v>
      </c>
    </row>
    <row r="1984" spans="1:2">
      <c r="A1984" t="str">
        <f t="shared" ca="1" si="60"/>
        <v/>
      </c>
      <c r="B1984">
        <f t="shared" ca="1" si="61"/>
        <v>0</v>
      </c>
    </row>
    <row r="1985" spans="1:2">
      <c r="A1985" t="str">
        <f t="shared" ca="1" si="60"/>
        <v/>
      </c>
      <c r="B1985">
        <f t="shared" ca="1" si="61"/>
        <v>0</v>
      </c>
    </row>
    <row r="1986" spans="1:2">
      <c r="A1986" t="str">
        <f t="shared" ref="A1986:A2049" ca="1" si="62">CONCATENATE(INDIRECT(ADDRESS(ROW(),3)))</f>
        <v/>
      </c>
      <c r="B1986">
        <f t="shared" ref="B1986:B2049" ca="1" si="63">IF(IF(INDIRECT(ADDRESS(ROW(),1))&lt;&gt;"",IF(ISNA(MATCH(LEFT(INDIRECT(ADDRESS(ROW(),1)),2),PCNG_MN,0))=TRUE,1,0),0)+IF(INDIRECT(ADDRESS(ROW(),1))&lt;&gt;"",IF(ISNA(MATCH(LEFT(INDIRECT(ADDRESS(ROW(),1)),3),PCNG_MN,0))=TRUE,1,0),0)+IF(INDIRECT(ADDRESS(ROW(),1))&lt;&gt;"",IF(ISNA(MATCH(LEFT(INDIRECT(ADDRESS(ROW(),1)),4),PCNG_MN,0))=TRUE,1,0),0)&gt;=3,1,0)</f>
        <v>0</v>
      </c>
    </row>
    <row r="1987" spans="1:2">
      <c r="A1987" t="str">
        <f t="shared" ca="1" si="62"/>
        <v/>
      </c>
      <c r="B1987">
        <f t="shared" ca="1" si="63"/>
        <v>0</v>
      </c>
    </row>
    <row r="1988" spans="1:2">
      <c r="A1988" t="str">
        <f t="shared" ca="1" si="62"/>
        <v/>
      </c>
      <c r="B1988">
        <f t="shared" ca="1" si="63"/>
        <v>0</v>
      </c>
    </row>
    <row r="1989" spans="1:2">
      <c r="A1989" t="str">
        <f t="shared" ca="1" si="62"/>
        <v/>
      </c>
      <c r="B1989">
        <f t="shared" ca="1" si="63"/>
        <v>0</v>
      </c>
    </row>
    <row r="1990" spans="1:2">
      <c r="A1990" t="str">
        <f t="shared" ca="1" si="62"/>
        <v/>
      </c>
      <c r="B1990">
        <f t="shared" ca="1" si="63"/>
        <v>0</v>
      </c>
    </row>
    <row r="1991" spans="1:2">
      <c r="A1991" t="str">
        <f t="shared" ca="1" si="62"/>
        <v/>
      </c>
      <c r="B1991">
        <f t="shared" ca="1" si="63"/>
        <v>0</v>
      </c>
    </row>
    <row r="1992" spans="1:2">
      <c r="A1992" t="str">
        <f t="shared" ca="1" si="62"/>
        <v/>
      </c>
      <c r="B1992">
        <f t="shared" ca="1" si="63"/>
        <v>0</v>
      </c>
    </row>
    <row r="1993" spans="1:2">
      <c r="A1993" t="str">
        <f t="shared" ca="1" si="62"/>
        <v/>
      </c>
      <c r="B1993">
        <f t="shared" ca="1" si="63"/>
        <v>0</v>
      </c>
    </row>
    <row r="1994" spans="1:2">
      <c r="A1994" t="str">
        <f t="shared" ca="1" si="62"/>
        <v/>
      </c>
      <c r="B1994">
        <f t="shared" ca="1" si="63"/>
        <v>0</v>
      </c>
    </row>
    <row r="1995" spans="1:2">
      <c r="A1995" t="str">
        <f t="shared" ca="1" si="62"/>
        <v/>
      </c>
      <c r="B1995">
        <f t="shared" ca="1" si="63"/>
        <v>0</v>
      </c>
    </row>
    <row r="1996" spans="1:2">
      <c r="A1996" t="str">
        <f t="shared" ca="1" si="62"/>
        <v/>
      </c>
      <c r="B1996">
        <f t="shared" ca="1" si="63"/>
        <v>0</v>
      </c>
    </row>
    <row r="1997" spans="1:2">
      <c r="A1997" t="str">
        <f t="shared" ca="1" si="62"/>
        <v/>
      </c>
      <c r="B1997">
        <f t="shared" ca="1" si="63"/>
        <v>0</v>
      </c>
    </row>
    <row r="1998" spans="1:2">
      <c r="A1998" t="str">
        <f t="shared" ca="1" si="62"/>
        <v/>
      </c>
      <c r="B1998">
        <f t="shared" ca="1" si="63"/>
        <v>0</v>
      </c>
    </row>
    <row r="1999" spans="1:2">
      <c r="A1999" t="str">
        <f t="shared" ca="1" si="62"/>
        <v/>
      </c>
      <c r="B1999">
        <f t="shared" ca="1" si="63"/>
        <v>0</v>
      </c>
    </row>
    <row r="2000" spans="1:2">
      <c r="A2000" t="str">
        <f t="shared" ca="1" si="62"/>
        <v/>
      </c>
      <c r="B2000">
        <f t="shared" ca="1" si="63"/>
        <v>0</v>
      </c>
    </row>
    <row r="2001" spans="1:2">
      <c r="A2001" t="str">
        <f t="shared" ca="1" si="62"/>
        <v/>
      </c>
      <c r="B2001">
        <f t="shared" ca="1" si="63"/>
        <v>0</v>
      </c>
    </row>
    <row r="2002" spans="1:2">
      <c r="A2002" t="str">
        <f t="shared" ca="1" si="62"/>
        <v/>
      </c>
      <c r="B2002">
        <f t="shared" ca="1" si="63"/>
        <v>0</v>
      </c>
    </row>
    <row r="2003" spans="1:2">
      <c r="A2003" t="str">
        <f t="shared" ca="1" si="62"/>
        <v/>
      </c>
      <c r="B2003">
        <f t="shared" ca="1" si="63"/>
        <v>0</v>
      </c>
    </row>
    <row r="2004" spans="1:2">
      <c r="A2004" t="str">
        <f t="shared" ca="1" si="62"/>
        <v/>
      </c>
      <c r="B2004">
        <f t="shared" ca="1" si="63"/>
        <v>0</v>
      </c>
    </row>
    <row r="2005" spans="1:2">
      <c r="A2005" t="str">
        <f t="shared" ca="1" si="62"/>
        <v/>
      </c>
      <c r="B2005">
        <f t="shared" ca="1" si="63"/>
        <v>0</v>
      </c>
    </row>
    <row r="2006" spans="1:2">
      <c r="A2006" t="str">
        <f t="shared" ca="1" si="62"/>
        <v/>
      </c>
      <c r="B2006">
        <f t="shared" ca="1" si="63"/>
        <v>0</v>
      </c>
    </row>
    <row r="2007" spans="1:2">
      <c r="A2007" t="str">
        <f t="shared" ca="1" si="62"/>
        <v/>
      </c>
      <c r="B2007">
        <f t="shared" ca="1" si="63"/>
        <v>0</v>
      </c>
    </row>
    <row r="2008" spans="1:2">
      <c r="A2008" t="str">
        <f t="shared" ca="1" si="62"/>
        <v/>
      </c>
      <c r="B2008">
        <f t="shared" ca="1" si="63"/>
        <v>0</v>
      </c>
    </row>
    <row r="2009" spans="1:2">
      <c r="A2009" t="str">
        <f t="shared" ca="1" si="62"/>
        <v/>
      </c>
      <c r="B2009">
        <f t="shared" ca="1" si="63"/>
        <v>0</v>
      </c>
    </row>
    <row r="2010" spans="1:2">
      <c r="A2010" t="str">
        <f t="shared" ca="1" si="62"/>
        <v/>
      </c>
      <c r="B2010">
        <f t="shared" ca="1" si="63"/>
        <v>0</v>
      </c>
    </row>
    <row r="2011" spans="1:2">
      <c r="A2011" t="str">
        <f t="shared" ca="1" si="62"/>
        <v/>
      </c>
      <c r="B2011">
        <f t="shared" ca="1" si="63"/>
        <v>0</v>
      </c>
    </row>
    <row r="2012" spans="1:2">
      <c r="A2012" t="str">
        <f t="shared" ca="1" si="62"/>
        <v/>
      </c>
      <c r="B2012">
        <f t="shared" ca="1" si="63"/>
        <v>0</v>
      </c>
    </row>
    <row r="2013" spans="1:2">
      <c r="A2013" t="str">
        <f t="shared" ca="1" si="62"/>
        <v/>
      </c>
      <c r="B2013">
        <f t="shared" ca="1" si="63"/>
        <v>0</v>
      </c>
    </row>
    <row r="2014" spans="1:2">
      <c r="A2014" t="str">
        <f t="shared" ca="1" si="62"/>
        <v/>
      </c>
      <c r="B2014">
        <f t="shared" ca="1" si="63"/>
        <v>0</v>
      </c>
    </row>
    <row r="2015" spans="1:2">
      <c r="A2015" t="str">
        <f t="shared" ca="1" si="62"/>
        <v/>
      </c>
      <c r="B2015">
        <f t="shared" ca="1" si="63"/>
        <v>0</v>
      </c>
    </row>
    <row r="2016" spans="1:2">
      <c r="A2016" t="str">
        <f t="shared" ca="1" si="62"/>
        <v/>
      </c>
      <c r="B2016">
        <f t="shared" ca="1" si="63"/>
        <v>0</v>
      </c>
    </row>
    <row r="2017" spans="1:2">
      <c r="A2017" t="str">
        <f t="shared" ca="1" si="62"/>
        <v/>
      </c>
      <c r="B2017">
        <f t="shared" ca="1" si="63"/>
        <v>0</v>
      </c>
    </row>
    <row r="2018" spans="1:2">
      <c r="A2018" t="str">
        <f t="shared" ca="1" si="62"/>
        <v/>
      </c>
      <c r="B2018">
        <f t="shared" ca="1" si="63"/>
        <v>0</v>
      </c>
    </row>
    <row r="2019" spans="1:2">
      <c r="A2019" t="str">
        <f t="shared" ca="1" si="62"/>
        <v/>
      </c>
      <c r="B2019">
        <f t="shared" ca="1" si="63"/>
        <v>0</v>
      </c>
    </row>
    <row r="2020" spans="1:2">
      <c r="A2020" t="str">
        <f t="shared" ca="1" si="62"/>
        <v/>
      </c>
      <c r="B2020">
        <f t="shared" ca="1" si="63"/>
        <v>0</v>
      </c>
    </row>
    <row r="2021" spans="1:2">
      <c r="A2021" t="str">
        <f t="shared" ca="1" si="62"/>
        <v/>
      </c>
      <c r="B2021">
        <f t="shared" ca="1" si="63"/>
        <v>0</v>
      </c>
    </row>
    <row r="2022" spans="1:2">
      <c r="A2022" t="str">
        <f t="shared" ca="1" si="62"/>
        <v/>
      </c>
      <c r="B2022">
        <f t="shared" ca="1" si="63"/>
        <v>0</v>
      </c>
    </row>
    <row r="2023" spans="1:2">
      <c r="A2023" t="str">
        <f t="shared" ca="1" si="62"/>
        <v/>
      </c>
      <c r="B2023">
        <f t="shared" ca="1" si="63"/>
        <v>0</v>
      </c>
    </row>
    <row r="2024" spans="1:2">
      <c r="A2024" t="str">
        <f t="shared" ca="1" si="62"/>
        <v/>
      </c>
      <c r="B2024">
        <f t="shared" ca="1" si="63"/>
        <v>0</v>
      </c>
    </row>
    <row r="2025" spans="1:2">
      <c r="A2025" t="str">
        <f t="shared" ca="1" si="62"/>
        <v/>
      </c>
      <c r="B2025">
        <f t="shared" ca="1" si="63"/>
        <v>0</v>
      </c>
    </row>
    <row r="2026" spans="1:2">
      <c r="A2026" t="str">
        <f t="shared" ca="1" si="62"/>
        <v/>
      </c>
      <c r="B2026">
        <f t="shared" ca="1" si="63"/>
        <v>0</v>
      </c>
    </row>
    <row r="2027" spans="1:2">
      <c r="A2027" t="str">
        <f t="shared" ca="1" si="62"/>
        <v/>
      </c>
      <c r="B2027">
        <f t="shared" ca="1" si="63"/>
        <v>0</v>
      </c>
    </row>
    <row r="2028" spans="1:2">
      <c r="A2028" t="str">
        <f t="shared" ca="1" si="62"/>
        <v/>
      </c>
      <c r="B2028">
        <f t="shared" ca="1" si="63"/>
        <v>0</v>
      </c>
    </row>
    <row r="2029" spans="1:2">
      <c r="A2029" t="str">
        <f t="shared" ca="1" si="62"/>
        <v/>
      </c>
      <c r="B2029">
        <f t="shared" ca="1" si="63"/>
        <v>0</v>
      </c>
    </row>
    <row r="2030" spans="1:2">
      <c r="A2030" t="str">
        <f t="shared" ca="1" si="62"/>
        <v/>
      </c>
      <c r="B2030">
        <f t="shared" ca="1" si="63"/>
        <v>0</v>
      </c>
    </row>
    <row r="2031" spans="1:2">
      <c r="A2031" t="str">
        <f t="shared" ca="1" si="62"/>
        <v/>
      </c>
      <c r="B2031">
        <f t="shared" ca="1" si="63"/>
        <v>0</v>
      </c>
    </row>
    <row r="2032" spans="1:2">
      <c r="A2032" t="str">
        <f t="shared" ca="1" si="62"/>
        <v/>
      </c>
      <c r="B2032">
        <f t="shared" ca="1" si="63"/>
        <v>0</v>
      </c>
    </row>
    <row r="2033" spans="1:2">
      <c r="A2033" t="str">
        <f t="shared" ca="1" si="62"/>
        <v/>
      </c>
      <c r="B2033">
        <f t="shared" ca="1" si="63"/>
        <v>0</v>
      </c>
    </row>
    <row r="2034" spans="1:2">
      <c r="A2034" t="str">
        <f t="shared" ca="1" si="62"/>
        <v/>
      </c>
      <c r="B2034">
        <f t="shared" ca="1" si="63"/>
        <v>0</v>
      </c>
    </row>
    <row r="2035" spans="1:2">
      <c r="A2035" t="str">
        <f t="shared" ca="1" si="62"/>
        <v/>
      </c>
      <c r="B2035">
        <f t="shared" ca="1" si="63"/>
        <v>0</v>
      </c>
    </row>
    <row r="2036" spans="1:2">
      <c r="A2036" t="str">
        <f t="shared" ca="1" si="62"/>
        <v/>
      </c>
      <c r="B2036">
        <f t="shared" ca="1" si="63"/>
        <v>0</v>
      </c>
    </row>
    <row r="2037" spans="1:2">
      <c r="A2037" t="str">
        <f t="shared" ca="1" si="62"/>
        <v/>
      </c>
      <c r="B2037">
        <f t="shared" ca="1" si="63"/>
        <v>0</v>
      </c>
    </row>
    <row r="2038" spans="1:2">
      <c r="A2038" t="str">
        <f t="shared" ca="1" si="62"/>
        <v/>
      </c>
      <c r="B2038">
        <f t="shared" ca="1" si="63"/>
        <v>0</v>
      </c>
    </row>
    <row r="2039" spans="1:2">
      <c r="A2039" t="str">
        <f t="shared" ca="1" si="62"/>
        <v/>
      </c>
      <c r="B2039">
        <f t="shared" ca="1" si="63"/>
        <v>0</v>
      </c>
    </row>
    <row r="2040" spans="1:2">
      <c r="A2040" t="str">
        <f t="shared" ca="1" si="62"/>
        <v/>
      </c>
      <c r="B2040">
        <f t="shared" ca="1" si="63"/>
        <v>0</v>
      </c>
    </row>
    <row r="2041" spans="1:2">
      <c r="A2041" t="str">
        <f t="shared" ca="1" si="62"/>
        <v/>
      </c>
      <c r="B2041">
        <f t="shared" ca="1" si="63"/>
        <v>0</v>
      </c>
    </row>
    <row r="2042" spans="1:2">
      <c r="A2042" t="str">
        <f t="shared" ca="1" si="62"/>
        <v/>
      </c>
      <c r="B2042">
        <f t="shared" ca="1" si="63"/>
        <v>0</v>
      </c>
    </row>
    <row r="2043" spans="1:2">
      <c r="A2043" t="str">
        <f t="shared" ca="1" si="62"/>
        <v/>
      </c>
      <c r="B2043">
        <f t="shared" ca="1" si="63"/>
        <v>0</v>
      </c>
    </row>
    <row r="2044" spans="1:2">
      <c r="A2044" t="str">
        <f t="shared" ca="1" si="62"/>
        <v/>
      </c>
      <c r="B2044">
        <f t="shared" ca="1" si="63"/>
        <v>0</v>
      </c>
    </row>
    <row r="2045" spans="1:2">
      <c r="A2045" t="str">
        <f t="shared" ca="1" si="62"/>
        <v/>
      </c>
      <c r="B2045">
        <f t="shared" ca="1" si="63"/>
        <v>0</v>
      </c>
    </row>
    <row r="2046" spans="1:2">
      <c r="A2046" t="str">
        <f t="shared" ca="1" si="62"/>
        <v/>
      </c>
      <c r="B2046">
        <f t="shared" ca="1" si="63"/>
        <v>0</v>
      </c>
    </row>
    <row r="2047" spans="1:2">
      <c r="A2047" t="str">
        <f t="shared" ca="1" si="62"/>
        <v/>
      </c>
      <c r="B2047">
        <f t="shared" ca="1" si="63"/>
        <v>0</v>
      </c>
    </row>
    <row r="2048" spans="1:2">
      <c r="A2048" t="str">
        <f t="shared" ca="1" si="62"/>
        <v/>
      </c>
      <c r="B2048">
        <f t="shared" ca="1" si="63"/>
        <v>0</v>
      </c>
    </row>
    <row r="2049" spans="1:2">
      <c r="A2049" t="str">
        <f t="shared" ca="1" si="62"/>
        <v/>
      </c>
      <c r="B2049">
        <f t="shared" ca="1" si="63"/>
        <v>0</v>
      </c>
    </row>
    <row r="2050" spans="1:2">
      <c r="A2050" t="str">
        <f t="shared" ref="A2050:A2113" ca="1" si="64">CONCATENATE(INDIRECT(ADDRESS(ROW(),3)))</f>
        <v/>
      </c>
      <c r="B2050">
        <f t="shared" ref="B2050:B2113" ca="1" si="65">IF(IF(INDIRECT(ADDRESS(ROW(),1))&lt;&gt;"",IF(ISNA(MATCH(LEFT(INDIRECT(ADDRESS(ROW(),1)),2),PCNG_MN,0))=TRUE,1,0),0)+IF(INDIRECT(ADDRESS(ROW(),1))&lt;&gt;"",IF(ISNA(MATCH(LEFT(INDIRECT(ADDRESS(ROW(),1)),3),PCNG_MN,0))=TRUE,1,0),0)+IF(INDIRECT(ADDRESS(ROW(),1))&lt;&gt;"",IF(ISNA(MATCH(LEFT(INDIRECT(ADDRESS(ROW(),1)),4),PCNG_MN,0))=TRUE,1,0),0)&gt;=3,1,0)</f>
        <v>0</v>
      </c>
    </row>
    <row r="2051" spans="1:2">
      <c r="A2051" t="str">
        <f t="shared" ca="1" si="64"/>
        <v/>
      </c>
      <c r="B2051">
        <f t="shared" ca="1" si="65"/>
        <v>0</v>
      </c>
    </row>
    <row r="2052" spans="1:2">
      <c r="A2052" t="str">
        <f t="shared" ca="1" si="64"/>
        <v/>
      </c>
      <c r="B2052">
        <f t="shared" ca="1" si="65"/>
        <v>0</v>
      </c>
    </row>
    <row r="2053" spans="1:2">
      <c r="A2053" t="str">
        <f t="shared" ca="1" si="64"/>
        <v/>
      </c>
      <c r="B2053">
        <f t="shared" ca="1" si="65"/>
        <v>0</v>
      </c>
    </row>
    <row r="2054" spans="1:2">
      <c r="A2054" t="str">
        <f t="shared" ca="1" si="64"/>
        <v/>
      </c>
      <c r="B2054">
        <f t="shared" ca="1" si="65"/>
        <v>0</v>
      </c>
    </row>
    <row r="2055" spans="1:2">
      <c r="A2055" t="str">
        <f t="shared" ca="1" si="64"/>
        <v/>
      </c>
      <c r="B2055">
        <f t="shared" ca="1" si="65"/>
        <v>0</v>
      </c>
    </row>
    <row r="2056" spans="1:2">
      <c r="A2056" t="str">
        <f t="shared" ca="1" si="64"/>
        <v/>
      </c>
      <c r="B2056">
        <f t="shared" ca="1" si="65"/>
        <v>0</v>
      </c>
    </row>
    <row r="2057" spans="1:2">
      <c r="A2057" t="str">
        <f t="shared" ca="1" si="64"/>
        <v/>
      </c>
      <c r="B2057">
        <f t="shared" ca="1" si="65"/>
        <v>0</v>
      </c>
    </row>
    <row r="2058" spans="1:2">
      <c r="A2058" t="str">
        <f t="shared" ca="1" si="64"/>
        <v/>
      </c>
      <c r="B2058">
        <f t="shared" ca="1" si="65"/>
        <v>0</v>
      </c>
    </row>
    <row r="2059" spans="1:2">
      <c r="A2059" t="str">
        <f t="shared" ca="1" si="64"/>
        <v/>
      </c>
      <c r="B2059">
        <f t="shared" ca="1" si="65"/>
        <v>0</v>
      </c>
    </row>
    <row r="2060" spans="1:2">
      <c r="A2060" t="str">
        <f t="shared" ca="1" si="64"/>
        <v/>
      </c>
      <c r="B2060">
        <f t="shared" ca="1" si="65"/>
        <v>0</v>
      </c>
    </row>
    <row r="2061" spans="1:2">
      <c r="A2061" t="str">
        <f t="shared" ca="1" si="64"/>
        <v/>
      </c>
      <c r="B2061">
        <f t="shared" ca="1" si="65"/>
        <v>0</v>
      </c>
    </row>
    <row r="2062" spans="1:2">
      <c r="A2062" t="str">
        <f t="shared" ca="1" si="64"/>
        <v/>
      </c>
      <c r="B2062">
        <f t="shared" ca="1" si="65"/>
        <v>0</v>
      </c>
    </row>
    <row r="2063" spans="1:2">
      <c r="A2063" t="str">
        <f t="shared" ca="1" si="64"/>
        <v/>
      </c>
      <c r="B2063">
        <f t="shared" ca="1" si="65"/>
        <v>0</v>
      </c>
    </row>
    <row r="2064" spans="1:2">
      <c r="A2064" t="str">
        <f t="shared" ca="1" si="64"/>
        <v/>
      </c>
      <c r="B2064">
        <f t="shared" ca="1" si="65"/>
        <v>0</v>
      </c>
    </row>
    <row r="2065" spans="1:2">
      <c r="A2065" t="str">
        <f t="shared" ca="1" si="64"/>
        <v/>
      </c>
      <c r="B2065">
        <f t="shared" ca="1" si="65"/>
        <v>0</v>
      </c>
    </row>
    <row r="2066" spans="1:2">
      <c r="A2066" t="str">
        <f t="shared" ca="1" si="64"/>
        <v/>
      </c>
      <c r="B2066">
        <f t="shared" ca="1" si="65"/>
        <v>0</v>
      </c>
    </row>
    <row r="2067" spans="1:2">
      <c r="A2067" t="str">
        <f t="shared" ca="1" si="64"/>
        <v/>
      </c>
      <c r="B2067">
        <f t="shared" ca="1" si="65"/>
        <v>0</v>
      </c>
    </row>
    <row r="2068" spans="1:2">
      <c r="A2068" t="str">
        <f t="shared" ca="1" si="64"/>
        <v/>
      </c>
      <c r="B2068">
        <f t="shared" ca="1" si="65"/>
        <v>0</v>
      </c>
    </row>
    <row r="2069" spans="1:2">
      <c r="A2069" t="str">
        <f t="shared" ca="1" si="64"/>
        <v/>
      </c>
      <c r="B2069">
        <f t="shared" ca="1" si="65"/>
        <v>0</v>
      </c>
    </row>
    <row r="2070" spans="1:2">
      <c r="A2070" t="str">
        <f t="shared" ca="1" si="64"/>
        <v/>
      </c>
      <c r="B2070">
        <f t="shared" ca="1" si="65"/>
        <v>0</v>
      </c>
    </row>
    <row r="2071" spans="1:2">
      <c r="A2071" t="str">
        <f t="shared" ca="1" si="64"/>
        <v/>
      </c>
      <c r="B2071">
        <f t="shared" ca="1" si="65"/>
        <v>0</v>
      </c>
    </row>
    <row r="2072" spans="1:2">
      <c r="A2072" t="str">
        <f t="shared" ca="1" si="64"/>
        <v/>
      </c>
      <c r="B2072">
        <f t="shared" ca="1" si="65"/>
        <v>0</v>
      </c>
    </row>
    <row r="2073" spans="1:2">
      <c r="A2073" t="str">
        <f t="shared" ca="1" si="64"/>
        <v/>
      </c>
      <c r="B2073">
        <f t="shared" ca="1" si="65"/>
        <v>0</v>
      </c>
    </row>
    <row r="2074" spans="1:2">
      <c r="A2074" t="str">
        <f t="shared" ca="1" si="64"/>
        <v/>
      </c>
      <c r="B2074">
        <f t="shared" ca="1" si="65"/>
        <v>0</v>
      </c>
    </row>
    <row r="2075" spans="1:2">
      <c r="A2075" t="str">
        <f t="shared" ca="1" si="64"/>
        <v/>
      </c>
      <c r="B2075">
        <f t="shared" ca="1" si="65"/>
        <v>0</v>
      </c>
    </row>
    <row r="2076" spans="1:2">
      <c r="A2076" t="str">
        <f t="shared" ca="1" si="64"/>
        <v/>
      </c>
      <c r="B2076">
        <f t="shared" ca="1" si="65"/>
        <v>0</v>
      </c>
    </row>
    <row r="2077" spans="1:2">
      <c r="A2077" t="str">
        <f t="shared" ca="1" si="64"/>
        <v/>
      </c>
      <c r="B2077">
        <f t="shared" ca="1" si="65"/>
        <v>0</v>
      </c>
    </row>
    <row r="2078" spans="1:2">
      <c r="A2078" t="str">
        <f t="shared" ca="1" si="64"/>
        <v/>
      </c>
      <c r="B2078">
        <f t="shared" ca="1" si="65"/>
        <v>0</v>
      </c>
    </row>
    <row r="2079" spans="1:2">
      <c r="A2079" t="str">
        <f t="shared" ca="1" si="64"/>
        <v/>
      </c>
      <c r="B2079">
        <f t="shared" ca="1" si="65"/>
        <v>0</v>
      </c>
    </row>
    <row r="2080" spans="1:2">
      <c r="A2080" t="str">
        <f t="shared" ca="1" si="64"/>
        <v/>
      </c>
      <c r="B2080">
        <f t="shared" ca="1" si="65"/>
        <v>0</v>
      </c>
    </row>
    <row r="2081" spans="1:2">
      <c r="A2081" t="str">
        <f t="shared" ca="1" si="64"/>
        <v/>
      </c>
      <c r="B2081">
        <f t="shared" ca="1" si="65"/>
        <v>0</v>
      </c>
    </row>
    <row r="2082" spans="1:2">
      <c r="A2082" t="str">
        <f t="shared" ca="1" si="64"/>
        <v/>
      </c>
      <c r="B2082">
        <f t="shared" ca="1" si="65"/>
        <v>0</v>
      </c>
    </row>
    <row r="2083" spans="1:2">
      <c r="A2083" t="str">
        <f t="shared" ca="1" si="64"/>
        <v/>
      </c>
      <c r="B2083">
        <f t="shared" ca="1" si="65"/>
        <v>0</v>
      </c>
    </row>
    <row r="2084" spans="1:2">
      <c r="A2084" t="str">
        <f t="shared" ca="1" si="64"/>
        <v/>
      </c>
      <c r="B2084">
        <f t="shared" ca="1" si="65"/>
        <v>0</v>
      </c>
    </row>
    <row r="2085" spans="1:2">
      <c r="A2085" t="str">
        <f t="shared" ca="1" si="64"/>
        <v/>
      </c>
      <c r="B2085">
        <f t="shared" ca="1" si="65"/>
        <v>0</v>
      </c>
    </row>
    <row r="2086" spans="1:2">
      <c r="A2086" t="str">
        <f t="shared" ca="1" si="64"/>
        <v/>
      </c>
      <c r="B2086">
        <f t="shared" ca="1" si="65"/>
        <v>0</v>
      </c>
    </row>
    <row r="2087" spans="1:2">
      <c r="A2087" t="str">
        <f t="shared" ca="1" si="64"/>
        <v/>
      </c>
      <c r="B2087">
        <f t="shared" ca="1" si="65"/>
        <v>0</v>
      </c>
    </row>
    <row r="2088" spans="1:2">
      <c r="A2088" t="str">
        <f t="shared" ca="1" si="64"/>
        <v/>
      </c>
      <c r="B2088">
        <f t="shared" ca="1" si="65"/>
        <v>0</v>
      </c>
    </row>
    <row r="2089" spans="1:2">
      <c r="A2089" t="str">
        <f t="shared" ca="1" si="64"/>
        <v/>
      </c>
      <c r="B2089">
        <f t="shared" ca="1" si="65"/>
        <v>0</v>
      </c>
    </row>
    <row r="2090" spans="1:2">
      <c r="A2090" t="str">
        <f t="shared" ca="1" si="64"/>
        <v/>
      </c>
      <c r="B2090">
        <f t="shared" ca="1" si="65"/>
        <v>0</v>
      </c>
    </row>
    <row r="2091" spans="1:2">
      <c r="A2091" t="str">
        <f t="shared" ca="1" si="64"/>
        <v/>
      </c>
      <c r="B2091">
        <f t="shared" ca="1" si="65"/>
        <v>0</v>
      </c>
    </row>
    <row r="2092" spans="1:2">
      <c r="A2092" t="str">
        <f t="shared" ca="1" si="64"/>
        <v/>
      </c>
      <c r="B2092">
        <f t="shared" ca="1" si="65"/>
        <v>0</v>
      </c>
    </row>
    <row r="2093" spans="1:2">
      <c r="A2093" t="str">
        <f t="shared" ca="1" si="64"/>
        <v/>
      </c>
      <c r="B2093">
        <f t="shared" ca="1" si="65"/>
        <v>0</v>
      </c>
    </row>
    <row r="2094" spans="1:2">
      <c r="A2094" t="str">
        <f t="shared" ca="1" si="64"/>
        <v/>
      </c>
      <c r="B2094">
        <f t="shared" ca="1" si="65"/>
        <v>0</v>
      </c>
    </row>
    <row r="2095" spans="1:2">
      <c r="A2095" t="str">
        <f t="shared" ca="1" si="64"/>
        <v/>
      </c>
      <c r="B2095">
        <f t="shared" ca="1" si="65"/>
        <v>0</v>
      </c>
    </row>
    <row r="2096" spans="1:2">
      <c r="A2096" t="str">
        <f t="shared" ca="1" si="64"/>
        <v/>
      </c>
      <c r="B2096">
        <f t="shared" ca="1" si="65"/>
        <v>0</v>
      </c>
    </row>
    <row r="2097" spans="1:2">
      <c r="A2097" t="str">
        <f t="shared" ca="1" si="64"/>
        <v/>
      </c>
      <c r="B2097">
        <f t="shared" ca="1" si="65"/>
        <v>0</v>
      </c>
    </row>
    <row r="2098" spans="1:2">
      <c r="A2098" t="str">
        <f t="shared" ca="1" si="64"/>
        <v/>
      </c>
      <c r="B2098">
        <f t="shared" ca="1" si="65"/>
        <v>0</v>
      </c>
    </row>
    <row r="2099" spans="1:2">
      <c r="A2099" t="str">
        <f t="shared" ca="1" si="64"/>
        <v/>
      </c>
      <c r="B2099">
        <f t="shared" ca="1" si="65"/>
        <v>0</v>
      </c>
    </row>
    <row r="2100" spans="1:2">
      <c r="A2100" t="str">
        <f t="shared" ca="1" si="64"/>
        <v/>
      </c>
      <c r="B2100">
        <f t="shared" ca="1" si="65"/>
        <v>0</v>
      </c>
    </row>
    <row r="2101" spans="1:2">
      <c r="A2101" t="str">
        <f t="shared" ca="1" si="64"/>
        <v/>
      </c>
      <c r="B2101">
        <f t="shared" ca="1" si="65"/>
        <v>0</v>
      </c>
    </row>
    <row r="2102" spans="1:2">
      <c r="A2102" t="str">
        <f t="shared" ca="1" si="64"/>
        <v/>
      </c>
      <c r="B2102">
        <f t="shared" ca="1" si="65"/>
        <v>0</v>
      </c>
    </row>
    <row r="2103" spans="1:2">
      <c r="A2103" t="str">
        <f t="shared" ca="1" si="64"/>
        <v/>
      </c>
      <c r="B2103">
        <f t="shared" ca="1" si="65"/>
        <v>0</v>
      </c>
    </row>
    <row r="2104" spans="1:2">
      <c r="A2104" t="str">
        <f t="shared" ca="1" si="64"/>
        <v/>
      </c>
      <c r="B2104">
        <f t="shared" ca="1" si="65"/>
        <v>0</v>
      </c>
    </row>
    <row r="2105" spans="1:2">
      <c r="A2105" t="str">
        <f t="shared" ca="1" si="64"/>
        <v/>
      </c>
      <c r="B2105">
        <f t="shared" ca="1" si="65"/>
        <v>0</v>
      </c>
    </row>
    <row r="2106" spans="1:2">
      <c r="A2106" t="str">
        <f t="shared" ca="1" si="64"/>
        <v/>
      </c>
      <c r="B2106">
        <f t="shared" ca="1" si="65"/>
        <v>0</v>
      </c>
    </row>
    <row r="2107" spans="1:2">
      <c r="A2107" t="str">
        <f t="shared" ca="1" si="64"/>
        <v/>
      </c>
      <c r="B2107">
        <f t="shared" ca="1" si="65"/>
        <v>0</v>
      </c>
    </row>
    <row r="2108" spans="1:2">
      <c r="A2108" t="str">
        <f t="shared" ca="1" si="64"/>
        <v/>
      </c>
      <c r="B2108">
        <f t="shared" ca="1" si="65"/>
        <v>0</v>
      </c>
    </row>
    <row r="2109" spans="1:2">
      <c r="A2109" t="str">
        <f t="shared" ca="1" si="64"/>
        <v/>
      </c>
      <c r="B2109">
        <f t="shared" ca="1" si="65"/>
        <v>0</v>
      </c>
    </row>
    <row r="2110" spans="1:2">
      <c r="A2110" t="str">
        <f t="shared" ca="1" si="64"/>
        <v/>
      </c>
      <c r="B2110">
        <f t="shared" ca="1" si="65"/>
        <v>0</v>
      </c>
    </row>
    <row r="2111" spans="1:2">
      <c r="A2111" t="str">
        <f t="shared" ca="1" si="64"/>
        <v/>
      </c>
      <c r="B2111">
        <f t="shared" ca="1" si="65"/>
        <v>0</v>
      </c>
    </row>
    <row r="2112" spans="1:2">
      <c r="A2112" t="str">
        <f t="shared" ca="1" si="64"/>
        <v/>
      </c>
      <c r="B2112">
        <f t="shared" ca="1" si="65"/>
        <v>0</v>
      </c>
    </row>
    <row r="2113" spans="1:2">
      <c r="A2113" t="str">
        <f t="shared" ca="1" si="64"/>
        <v/>
      </c>
      <c r="B2113">
        <f t="shared" ca="1" si="65"/>
        <v>0</v>
      </c>
    </row>
    <row r="2114" spans="1:2">
      <c r="A2114" t="str">
        <f t="shared" ref="A2114:A2177" ca="1" si="66">CONCATENATE(INDIRECT(ADDRESS(ROW(),3)))</f>
        <v/>
      </c>
      <c r="B2114">
        <f t="shared" ref="B2114:B2177" ca="1" si="67">IF(IF(INDIRECT(ADDRESS(ROW(),1))&lt;&gt;"",IF(ISNA(MATCH(LEFT(INDIRECT(ADDRESS(ROW(),1)),2),PCNG_MN,0))=TRUE,1,0),0)+IF(INDIRECT(ADDRESS(ROW(),1))&lt;&gt;"",IF(ISNA(MATCH(LEFT(INDIRECT(ADDRESS(ROW(),1)),3),PCNG_MN,0))=TRUE,1,0),0)+IF(INDIRECT(ADDRESS(ROW(),1))&lt;&gt;"",IF(ISNA(MATCH(LEFT(INDIRECT(ADDRESS(ROW(),1)),4),PCNG_MN,0))=TRUE,1,0),0)&gt;=3,1,0)</f>
        <v>0</v>
      </c>
    </row>
    <row r="2115" spans="1:2">
      <c r="A2115" t="str">
        <f t="shared" ca="1" si="66"/>
        <v/>
      </c>
      <c r="B2115">
        <f t="shared" ca="1" si="67"/>
        <v>0</v>
      </c>
    </row>
    <row r="2116" spans="1:2">
      <c r="A2116" t="str">
        <f t="shared" ca="1" si="66"/>
        <v/>
      </c>
      <c r="B2116">
        <f t="shared" ca="1" si="67"/>
        <v>0</v>
      </c>
    </row>
    <row r="2117" spans="1:2">
      <c r="A2117" t="str">
        <f t="shared" ca="1" si="66"/>
        <v/>
      </c>
      <c r="B2117">
        <f t="shared" ca="1" si="67"/>
        <v>0</v>
      </c>
    </row>
    <row r="2118" spans="1:2">
      <c r="A2118" t="str">
        <f t="shared" ca="1" si="66"/>
        <v/>
      </c>
      <c r="B2118">
        <f t="shared" ca="1" si="67"/>
        <v>0</v>
      </c>
    </row>
    <row r="2119" spans="1:2">
      <c r="A2119" t="str">
        <f t="shared" ca="1" si="66"/>
        <v/>
      </c>
      <c r="B2119">
        <f t="shared" ca="1" si="67"/>
        <v>0</v>
      </c>
    </row>
    <row r="2120" spans="1:2">
      <c r="A2120" t="str">
        <f t="shared" ca="1" si="66"/>
        <v/>
      </c>
      <c r="B2120">
        <f t="shared" ca="1" si="67"/>
        <v>0</v>
      </c>
    </row>
    <row r="2121" spans="1:2">
      <c r="A2121" t="str">
        <f t="shared" ca="1" si="66"/>
        <v/>
      </c>
      <c r="B2121">
        <f t="shared" ca="1" si="67"/>
        <v>0</v>
      </c>
    </row>
    <row r="2122" spans="1:2">
      <c r="A2122" t="str">
        <f t="shared" ca="1" si="66"/>
        <v/>
      </c>
      <c r="B2122">
        <f t="shared" ca="1" si="67"/>
        <v>0</v>
      </c>
    </row>
    <row r="2123" spans="1:2">
      <c r="A2123" t="str">
        <f t="shared" ca="1" si="66"/>
        <v/>
      </c>
      <c r="B2123">
        <f t="shared" ca="1" si="67"/>
        <v>0</v>
      </c>
    </row>
    <row r="2124" spans="1:2">
      <c r="A2124" t="str">
        <f t="shared" ca="1" si="66"/>
        <v/>
      </c>
      <c r="B2124">
        <f t="shared" ca="1" si="67"/>
        <v>0</v>
      </c>
    </row>
    <row r="2125" spans="1:2">
      <c r="A2125" t="str">
        <f t="shared" ca="1" si="66"/>
        <v/>
      </c>
      <c r="B2125">
        <f t="shared" ca="1" si="67"/>
        <v>0</v>
      </c>
    </row>
    <row r="2126" spans="1:2">
      <c r="A2126" t="str">
        <f t="shared" ca="1" si="66"/>
        <v/>
      </c>
      <c r="B2126">
        <f t="shared" ca="1" si="67"/>
        <v>0</v>
      </c>
    </row>
    <row r="2127" spans="1:2">
      <c r="A2127" t="str">
        <f t="shared" ca="1" si="66"/>
        <v/>
      </c>
      <c r="B2127">
        <f t="shared" ca="1" si="67"/>
        <v>0</v>
      </c>
    </row>
    <row r="2128" spans="1:2">
      <c r="A2128" t="str">
        <f t="shared" ca="1" si="66"/>
        <v/>
      </c>
      <c r="B2128">
        <f t="shared" ca="1" si="67"/>
        <v>0</v>
      </c>
    </row>
    <row r="2129" spans="1:2">
      <c r="A2129" t="str">
        <f t="shared" ca="1" si="66"/>
        <v/>
      </c>
      <c r="B2129">
        <f t="shared" ca="1" si="67"/>
        <v>0</v>
      </c>
    </row>
    <row r="2130" spans="1:2">
      <c r="A2130" t="str">
        <f t="shared" ca="1" si="66"/>
        <v/>
      </c>
      <c r="B2130">
        <f t="shared" ca="1" si="67"/>
        <v>0</v>
      </c>
    </row>
    <row r="2131" spans="1:2">
      <c r="A2131" t="str">
        <f t="shared" ca="1" si="66"/>
        <v/>
      </c>
      <c r="B2131">
        <f t="shared" ca="1" si="67"/>
        <v>0</v>
      </c>
    </row>
    <row r="2132" spans="1:2">
      <c r="A2132" t="str">
        <f t="shared" ca="1" si="66"/>
        <v/>
      </c>
      <c r="B2132">
        <f t="shared" ca="1" si="67"/>
        <v>0</v>
      </c>
    </row>
    <row r="2133" spans="1:2">
      <c r="A2133" t="str">
        <f t="shared" ca="1" si="66"/>
        <v/>
      </c>
      <c r="B2133">
        <f t="shared" ca="1" si="67"/>
        <v>0</v>
      </c>
    </row>
    <row r="2134" spans="1:2">
      <c r="A2134" t="str">
        <f t="shared" ca="1" si="66"/>
        <v/>
      </c>
      <c r="B2134">
        <f t="shared" ca="1" si="67"/>
        <v>0</v>
      </c>
    </row>
    <row r="2135" spans="1:2">
      <c r="A2135" t="str">
        <f t="shared" ca="1" si="66"/>
        <v/>
      </c>
      <c r="B2135">
        <f t="shared" ca="1" si="67"/>
        <v>0</v>
      </c>
    </row>
    <row r="2136" spans="1:2">
      <c r="A2136" t="str">
        <f t="shared" ca="1" si="66"/>
        <v/>
      </c>
      <c r="B2136">
        <f t="shared" ca="1" si="67"/>
        <v>0</v>
      </c>
    </row>
    <row r="2137" spans="1:2">
      <c r="A2137" t="str">
        <f t="shared" ca="1" si="66"/>
        <v/>
      </c>
      <c r="B2137">
        <f t="shared" ca="1" si="67"/>
        <v>0</v>
      </c>
    </row>
    <row r="2138" spans="1:2">
      <c r="A2138" t="str">
        <f t="shared" ca="1" si="66"/>
        <v/>
      </c>
      <c r="B2138">
        <f t="shared" ca="1" si="67"/>
        <v>0</v>
      </c>
    </row>
    <row r="2139" spans="1:2">
      <c r="A2139" t="str">
        <f t="shared" ca="1" si="66"/>
        <v/>
      </c>
      <c r="B2139">
        <f t="shared" ca="1" si="67"/>
        <v>0</v>
      </c>
    </row>
    <row r="2140" spans="1:2">
      <c r="A2140" t="str">
        <f t="shared" ca="1" si="66"/>
        <v/>
      </c>
      <c r="B2140">
        <f t="shared" ca="1" si="67"/>
        <v>0</v>
      </c>
    </row>
    <row r="2141" spans="1:2">
      <c r="A2141" t="str">
        <f t="shared" ca="1" si="66"/>
        <v/>
      </c>
      <c r="B2141">
        <f t="shared" ca="1" si="67"/>
        <v>0</v>
      </c>
    </row>
    <row r="2142" spans="1:2">
      <c r="A2142" t="str">
        <f t="shared" ca="1" si="66"/>
        <v/>
      </c>
      <c r="B2142">
        <f t="shared" ca="1" si="67"/>
        <v>0</v>
      </c>
    </row>
    <row r="2143" spans="1:2">
      <c r="A2143" t="str">
        <f t="shared" ca="1" si="66"/>
        <v/>
      </c>
      <c r="B2143">
        <f t="shared" ca="1" si="67"/>
        <v>0</v>
      </c>
    </row>
    <row r="2144" spans="1:2">
      <c r="A2144" t="str">
        <f t="shared" ca="1" si="66"/>
        <v/>
      </c>
      <c r="B2144">
        <f t="shared" ca="1" si="67"/>
        <v>0</v>
      </c>
    </row>
    <row r="2145" spans="1:2">
      <c r="A2145" t="str">
        <f t="shared" ca="1" si="66"/>
        <v/>
      </c>
      <c r="B2145">
        <f t="shared" ca="1" si="67"/>
        <v>0</v>
      </c>
    </row>
    <row r="2146" spans="1:2">
      <c r="A2146" t="str">
        <f t="shared" ca="1" si="66"/>
        <v/>
      </c>
      <c r="B2146">
        <f t="shared" ca="1" si="67"/>
        <v>0</v>
      </c>
    </row>
    <row r="2147" spans="1:2">
      <c r="A2147" t="str">
        <f t="shared" ca="1" si="66"/>
        <v/>
      </c>
      <c r="B2147">
        <f t="shared" ca="1" si="67"/>
        <v>0</v>
      </c>
    </row>
    <row r="2148" spans="1:2">
      <c r="A2148" t="str">
        <f t="shared" ca="1" si="66"/>
        <v/>
      </c>
      <c r="B2148">
        <f t="shared" ca="1" si="67"/>
        <v>0</v>
      </c>
    </row>
    <row r="2149" spans="1:2">
      <c r="A2149" t="str">
        <f t="shared" ca="1" si="66"/>
        <v/>
      </c>
      <c r="B2149">
        <f t="shared" ca="1" si="67"/>
        <v>0</v>
      </c>
    </row>
    <row r="2150" spans="1:2">
      <c r="A2150" t="str">
        <f t="shared" ca="1" si="66"/>
        <v/>
      </c>
      <c r="B2150">
        <f t="shared" ca="1" si="67"/>
        <v>0</v>
      </c>
    </row>
    <row r="2151" spans="1:2">
      <c r="A2151" t="str">
        <f t="shared" ca="1" si="66"/>
        <v/>
      </c>
      <c r="B2151">
        <f t="shared" ca="1" si="67"/>
        <v>0</v>
      </c>
    </row>
    <row r="2152" spans="1:2">
      <c r="A2152" t="str">
        <f t="shared" ca="1" si="66"/>
        <v/>
      </c>
      <c r="B2152">
        <f t="shared" ca="1" si="67"/>
        <v>0</v>
      </c>
    </row>
    <row r="2153" spans="1:2">
      <c r="A2153" t="str">
        <f t="shared" ca="1" si="66"/>
        <v/>
      </c>
      <c r="B2153">
        <f t="shared" ca="1" si="67"/>
        <v>0</v>
      </c>
    </row>
    <row r="2154" spans="1:2">
      <c r="A2154" t="str">
        <f t="shared" ca="1" si="66"/>
        <v/>
      </c>
      <c r="B2154">
        <f t="shared" ca="1" si="67"/>
        <v>0</v>
      </c>
    </row>
    <row r="2155" spans="1:2">
      <c r="A2155" t="str">
        <f t="shared" ca="1" si="66"/>
        <v/>
      </c>
      <c r="B2155">
        <f t="shared" ca="1" si="67"/>
        <v>0</v>
      </c>
    </row>
    <row r="2156" spans="1:2">
      <c r="A2156" t="str">
        <f t="shared" ca="1" si="66"/>
        <v/>
      </c>
      <c r="B2156">
        <f t="shared" ca="1" si="67"/>
        <v>0</v>
      </c>
    </row>
    <row r="2157" spans="1:2">
      <c r="A2157" t="str">
        <f t="shared" ca="1" si="66"/>
        <v/>
      </c>
      <c r="B2157">
        <f t="shared" ca="1" si="67"/>
        <v>0</v>
      </c>
    </row>
    <row r="2158" spans="1:2">
      <c r="A2158" t="str">
        <f t="shared" ca="1" si="66"/>
        <v/>
      </c>
      <c r="B2158">
        <f t="shared" ca="1" si="67"/>
        <v>0</v>
      </c>
    </row>
    <row r="2159" spans="1:2">
      <c r="A2159" t="str">
        <f t="shared" ca="1" si="66"/>
        <v/>
      </c>
      <c r="B2159">
        <f t="shared" ca="1" si="67"/>
        <v>0</v>
      </c>
    </row>
    <row r="2160" spans="1:2">
      <c r="A2160" t="str">
        <f t="shared" ca="1" si="66"/>
        <v/>
      </c>
      <c r="B2160">
        <f t="shared" ca="1" si="67"/>
        <v>0</v>
      </c>
    </row>
    <row r="2161" spans="1:2">
      <c r="A2161" t="str">
        <f t="shared" ca="1" si="66"/>
        <v/>
      </c>
      <c r="B2161">
        <f t="shared" ca="1" si="67"/>
        <v>0</v>
      </c>
    </row>
    <row r="2162" spans="1:2">
      <c r="A2162" t="str">
        <f t="shared" ca="1" si="66"/>
        <v/>
      </c>
      <c r="B2162">
        <f t="shared" ca="1" si="67"/>
        <v>0</v>
      </c>
    </row>
    <row r="2163" spans="1:2">
      <c r="A2163" t="str">
        <f t="shared" ca="1" si="66"/>
        <v/>
      </c>
      <c r="B2163">
        <f t="shared" ca="1" si="67"/>
        <v>0</v>
      </c>
    </row>
    <row r="2164" spans="1:2">
      <c r="A2164" t="str">
        <f t="shared" ca="1" si="66"/>
        <v/>
      </c>
      <c r="B2164">
        <f t="shared" ca="1" si="67"/>
        <v>0</v>
      </c>
    </row>
    <row r="2165" spans="1:2">
      <c r="A2165" t="str">
        <f t="shared" ca="1" si="66"/>
        <v/>
      </c>
      <c r="B2165">
        <f t="shared" ca="1" si="67"/>
        <v>0</v>
      </c>
    </row>
    <row r="2166" spans="1:2">
      <c r="A2166" t="str">
        <f t="shared" ca="1" si="66"/>
        <v/>
      </c>
      <c r="B2166">
        <f t="shared" ca="1" si="67"/>
        <v>0</v>
      </c>
    </row>
    <row r="2167" spans="1:2">
      <c r="A2167" t="str">
        <f t="shared" ca="1" si="66"/>
        <v/>
      </c>
      <c r="B2167">
        <f t="shared" ca="1" si="67"/>
        <v>0</v>
      </c>
    </row>
    <row r="2168" spans="1:2">
      <c r="A2168" t="str">
        <f t="shared" ca="1" si="66"/>
        <v/>
      </c>
      <c r="B2168">
        <f t="shared" ca="1" si="67"/>
        <v>0</v>
      </c>
    </row>
    <row r="2169" spans="1:2">
      <c r="A2169" t="str">
        <f t="shared" ca="1" si="66"/>
        <v/>
      </c>
      <c r="B2169">
        <f t="shared" ca="1" si="67"/>
        <v>0</v>
      </c>
    </row>
    <row r="2170" spans="1:2">
      <c r="A2170" t="str">
        <f t="shared" ca="1" si="66"/>
        <v/>
      </c>
      <c r="B2170">
        <f t="shared" ca="1" si="67"/>
        <v>0</v>
      </c>
    </row>
    <row r="2171" spans="1:2">
      <c r="A2171" t="str">
        <f t="shared" ca="1" si="66"/>
        <v/>
      </c>
      <c r="B2171">
        <f t="shared" ca="1" si="67"/>
        <v>0</v>
      </c>
    </row>
    <row r="2172" spans="1:2">
      <c r="A2172" t="str">
        <f t="shared" ca="1" si="66"/>
        <v/>
      </c>
      <c r="B2172">
        <f t="shared" ca="1" si="67"/>
        <v>0</v>
      </c>
    </row>
    <row r="2173" spans="1:2">
      <c r="A2173" t="str">
        <f t="shared" ca="1" si="66"/>
        <v/>
      </c>
      <c r="B2173">
        <f t="shared" ca="1" si="67"/>
        <v>0</v>
      </c>
    </row>
    <row r="2174" spans="1:2">
      <c r="A2174" t="str">
        <f t="shared" ca="1" si="66"/>
        <v/>
      </c>
      <c r="B2174">
        <f t="shared" ca="1" si="67"/>
        <v>0</v>
      </c>
    </row>
    <row r="2175" spans="1:2">
      <c r="A2175" t="str">
        <f t="shared" ca="1" si="66"/>
        <v/>
      </c>
      <c r="B2175">
        <f t="shared" ca="1" si="67"/>
        <v>0</v>
      </c>
    </row>
    <row r="2176" spans="1:2">
      <c r="A2176" t="str">
        <f t="shared" ca="1" si="66"/>
        <v/>
      </c>
      <c r="B2176">
        <f t="shared" ca="1" si="67"/>
        <v>0</v>
      </c>
    </row>
    <row r="2177" spans="1:2">
      <c r="A2177" t="str">
        <f t="shared" ca="1" si="66"/>
        <v/>
      </c>
      <c r="B2177">
        <f t="shared" ca="1" si="67"/>
        <v>0</v>
      </c>
    </row>
    <row r="2178" spans="1:2">
      <c r="A2178" t="str">
        <f t="shared" ref="A2178:A2241" ca="1" si="68">CONCATENATE(INDIRECT(ADDRESS(ROW(),3)))</f>
        <v/>
      </c>
      <c r="B2178">
        <f t="shared" ref="B2178:B2241" ca="1" si="69">IF(IF(INDIRECT(ADDRESS(ROW(),1))&lt;&gt;"",IF(ISNA(MATCH(LEFT(INDIRECT(ADDRESS(ROW(),1)),2),PCNG_MN,0))=TRUE,1,0),0)+IF(INDIRECT(ADDRESS(ROW(),1))&lt;&gt;"",IF(ISNA(MATCH(LEFT(INDIRECT(ADDRESS(ROW(),1)),3),PCNG_MN,0))=TRUE,1,0),0)+IF(INDIRECT(ADDRESS(ROW(),1))&lt;&gt;"",IF(ISNA(MATCH(LEFT(INDIRECT(ADDRESS(ROW(),1)),4),PCNG_MN,0))=TRUE,1,0),0)&gt;=3,1,0)</f>
        <v>0</v>
      </c>
    </row>
    <row r="2179" spans="1:2">
      <c r="A2179" t="str">
        <f t="shared" ca="1" si="68"/>
        <v/>
      </c>
      <c r="B2179">
        <f t="shared" ca="1" si="69"/>
        <v>0</v>
      </c>
    </row>
    <row r="2180" spans="1:2">
      <c r="A2180" t="str">
        <f t="shared" ca="1" si="68"/>
        <v/>
      </c>
      <c r="B2180">
        <f t="shared" ca="1" si="69"/>
        <v>0</v>
      </c>
    </row>
    <row r="2181" spans="1:2">
      <c r="A2181" t="str">
        <f t="shared" ca="1" si="68"/>
        <v/>
      </c>
      <c r="B2181">
        <f t="shared" ca="1" si="69"/>
        <v>0</v>
      </c>
    </row>
    <row r="2182" spans="1:2">
      <c r="A2182" t="str">
        <f t="shared" ca="1" si="68"/>
        <v/>
      </c>
      <c r="B2182">
        <f t="shared" ca="1" si="69"/>
        <v>0</v>
      </c>
    </row>
    <row r="2183" spans="1:2">
      <c r="A2183" t="str">
        <f t="shared" ca="1" si="68"/>
        <v/>
      </c>
      <c r="B2183">
        <f t="shared" ca="1" si="69"/>
        <v>0</v>
      </c>
    </row>
    <row r="2184" spans="1:2">
      <c r="A2184" t="str">
        <f t="shared" ca="1" si="68"/>
        <v/>
      </c>
      <c r="B2184">
        <f t="shared" ca="1" si="69"/>
        <v>0</v>
      </c>
    </row>
    <row r="2185" spans="1:2">
      <c r="A2185" t="str">
        <f t="shared" ca="1" si="68"/>
        <v/>
      </c>
      <c r="B2185">
        <f t="shared" ca="1" si="69"/>
        <v>0</v>
      </c>
    </row>
    <row r="2186" spans="1:2">
      <c r="A2186" t="str">
        <f t="shared" ca="1" si="68"/>
        <v/>
      </c>
      <c r="B2186">
        <f t="shared" ca="1" si="69"/>
        <v>0</v>
      </c>
    </row>
    <row r="2187" spans="1:2">
      <c r="A2187" t="str">
        <f t="shared" ca="1" si="68"/>
        <v/>
      </c>
      <c r="B2187">
        <f t="shared" ca="1" si="69"/>
        <v>0</v>
      </c>
    </row>
    <row r="2188" spans="1:2">
      <c r="A2188" t="str">
        <f t="shared" ca="1" si="68"/>
        <v/>
      </c>
      <c r="B2188">
        <f t="shared" ca="1" si="69"/>
        <v>0</v>
      </c>
    </row>
    <row r="2189" spans="1:2">
      <c r="A2189" t="str">
        <f t="shared" ca="1" si="68"/>
        <v/>
      </c>
      <c r="B2189">
        <f t="shared" ca="1" si="69"/>
        <v>0</v>
      </c>
    </row>
    <row r="2190" spans="1:2">
      <c r="A2190" t="str">
        <f t="shared" ca="1" si="68"/>
        <v/>
      </c>
      <c r="B2190">
        <f t="shared" ca="1" si="69"/>
        <v>0</v>
      </c>
    </row>
    <row r="2191" spans="1:2">
      <c r="A2191" t="str">
        <f t="shared" ca="1" si="68"/>
        <v/>
      </c>
      <c r="B2191">
        <f t="shared" ca="1" si="69"/>
        <v>0</v>
      </c>
    </row>
    <row r="2192" spans="1:2">
      <c r="A2192" t="str">
        <f t="shared" ca="1" si="68"/>
        <v/>
      </c>
      <c r="B2192">
        <f t="shared" ca="1" si="69"/>
        <v>0</v>
      </c>
    </row>
    <row r="2193" spans="1:2">
      <c r="A2193" t="str">
        <f t="shared" ca="1" si="68"/>
        <v/>
      </c>
      <c r="B2193">
        <f t="shared" ca="1" si="69"/>
        <v>0</v>
      </c>
    </row>
    <row r="2194" spans="1:2">
      <c r="A2194" t="str">
        <f t="shared" ca="1" si="68"/>
        <v/>
      </c>
      <c r="B2194">
        <f t="shared" ca="1" si="69"/>
        <v>0</v>
      </c>
    </row>
    <row r="2195" spans="1:2">
      <c r="A2195" t="str">
        <f t="shared" ca="1" si="68"/>
        <v/>
      </c>
      <c r="B2195">
        <f t="shared" ca="1" si="69"/>
        <v>0</v>
      </c>
    </row>
    <row r="2196" spans="1:2">
      <c r="A2196" t="str">
        <f t="shared" ca="1" si="68"/>
        <v/>
      </c>
      <c r="B2196">
        <f t="shared" ca="1" si="69"/>
        <v>0</v>
      </c>
    </row>
    <row r="2197" spans="1:2">
      <c r="A2197" t="str">
        <f t="shared" ca="1" si="68"/>
        <v/>
      </c>
      <c r="B2197">
        <f t="shared" ca="1" si="69"/>
        <v>0</v>
      </c>
    </row>
    <row r="2198" spans="1:2">
      <c r="A2198" t="str">
        <f t="shared" ca="1" si="68"/>
        <v/>
      </c>
      <c r="B2198">
        <f t="shared" ca="1" si="69"/>
        <v>0</v>
      </c>
    </row>
    <row r="2199" spans="1:2">
      <c r="A2199" t="str">
        <f t="shared" ca="1" si="68"/>
        <v/>
      </c>
      <c r="B2199">
        <f t="shared" ca="1" si="69"/>
        <v>0</v>
      </c>
    </row>
    <row r="2200" spans="1:2">
      <c r="A2200" t="str">
        <f t="shared" ca="1" si="68"/>
        <v/>
      </c>
      <c r="B2200">
        <f t="shared" ca="1" si="69"/>
        <v>0</v>
      </c>
    </row>
    <row r="2201" spans="1:2">
      <c r="A2201" t="str">
        <f t="shared" ca="1" si="68"/>
        <v/>
      </c>
      <c r="B2201">
        <f t="shared" ca="1" si="69"/>
        <v>0</v>
      </c>
    </row>
    <row r="2202" spans="1:2">
      <c r="A2202" t="str">
        <f t="shared" ca="1" si="68"/>
        <v/>
      </c>
      <c r="B2202">
        <f t="shared" ca="1" si="69"/>
        <v>0</v>
      </c>
    </row>
    <row r="2203" spans="1:2">
      <c r="A2203" t="str">
        <f t="shared" ca="1" si="68"/>
        <v/>
      </c>
      <c r="B2203">
        <f t="shared" ca="1" si="69"/>
        <v>0</v>
      </c>
    </row>
    <row r="2204" spans="1:2">
      <c r="A2204" t="str">
        <f t="shared" ca="1" si="68"/>
        <v/>
      </c>
      <c r="B2204">
        <f t="shared" ca="1" si="69"/>
        <v>0</v>
      </c>
    </row>
    <row r="2205" spans="1:2">
      <c r="A2205" t="str">
        <f t="shared" ca="1" si="68"/>
        <v/>
      </c>
      <c r="B2205">
        <f t="shared" ca="1" si="69"/>
        <v>0</v>
      </c>
    </row>
    <row r="2206" spans="1:2">
      <c r="A2206" t="str">
        <f t="shared" ca="1" si="68"/>
        <v/>
      </c>
      <c r="B2206">
        <f t="shared" ca="1" si="69"/>
        <v>0</v>
      </c>
    </row>
    <row r="2207" spans="1:2">
      <c r="A2207" t="str">
        <f t="shared" ca="1" si="68"/>
        <v/>
      </c>
      <c r="B2207">
        <f t="shared" ca="1" si="69"/>
        <v>0</v>
      </c>
    </row>
    <row r="2208" spans="1:2">
      <c r="A2208" t="str">
        <f t="shared" ca="1" si="68"/>
        <v/>
      </c>
      <c r="B2208">
        <f t="shared" ca="1" si="69"/>
        <v>0</v>
      </c>
    </row>
    <row r="2209" spans="1:2">
      <c r="A2209" t="str">
        <f t="shared" ca="1" si="68"/>
        <v/>
      </c>
      <c r="B2209">
        <f t="shared" ca="1" si="69"/>
        <v>0</v>
      </c>
    </row>
    <row r="2210" spans="1:2">
      <c r="A2210" t="str">
        <f t="shared" ca="1" si="68"/>
        <v/>
      </c>
      <c r="B2210">
        <f t="shared" ca="1" si="69"/>
        <v>0</v>
      </c>
    </row>
    <row r="2211" spans="1:2">
      <c r="A2211" t="str">
        <f t="shared" ca="1" si="68"/>
        <v/>
      </c>
      <c r="B2211">
        <f t="shared" ca="1" si="69"/>
        <v>0</v>
      </c>
    </row>
    <row r="2212" spans="1:2">
      <c r="A2212" t="str">
        <f t="shared" ca="1" si="68"/>
        <v/>
      </c>
      <c r="B2212">
        <f t="shared" ca="1" si="69"/>
        <v>0</v>
      </c>
    </row>
    <row r="2213" spans="1:2">
      <c r="A2213" t="str">
        <f t="shared" ca="1" si="68"/>
        <v/>
      </c>
      <c r="B2213">
        <f t="shared" ca="1" si="69"/>
        <v>0</v>
      </c>
    </row>
    <row r="2214" spans="1:2">
      <c r="A2214" t="str">
        <f t="shared" ca="1" si="68"/>
        <v/>
      </c>
      <c r="B2214">
        <f t="shared" ca="1" si="69"/>
        <v>0</v>
      </c>
    </row>
    <row r="2215" spans="1:2">
      <c r="A2215" t="str">
        <f t="shared" ca="1" si="68"/>
        <v/>
      </c>
      <c r="B2215">
        <f t="shared" ca="1" si="69"/>
        <v>0</v>
      </c>
    </row>
    <row r="2216" spans="1:2">
      <c r="A2216" t="str">
        <f t="shared" ca="1" si="68"/>
        <v/>
      </c>
      <c r="B2216">
        <f t="shared" ca="1" si="69"/>
        <v>0</v>
      </c>
    </row>
    <row r="2217" spans="1:2">
      <c r="A2217" t="str">
        <f t="shared" ca="1" si="68"/>
        <v/>
      </c>
      <c r="B2217">
        <f t="shared" ca="1" si="69"/>
        <v>0</v>
      </c>
    </row>
    <row r="2218" spans="1:2">
      <c r="A2218" t="str">
        <f t="shared" ca="1" si="68"/>
        <v/>
      </c>
      <c r="B2218">
        <f t="shared" ca="1" si="69"/>
        <v>0</v>
      </c>
    </row>
    <row r="2219" spans="1:2">
      <c r="A2219" t="str">
        <f t="shared" ca="1" si="68"/>
        <v/>
      </c>
      <c r="B2219">
        <f t="shared" ca="1" si="69"/>
        <v>0</v>
      </c>
    </row>
    <row r="2220" spans="1:2">
      <c r="A2220" t="str">
        <f t="shared" ca="1" si="68"/>
        <v/>
      </c>
      <c r="B2220">
        <f t="shared" ca="1" si="69"/>
        <v>0</v>
      </c>
    </row>
    <row r="2221" spans="1:2">
      <c r="A2221" t="str">
        <f t="shared" ca="1" si="68"/>
        <v/>
      </c>
      <c r="B2221">
        <f t="shared" ca="1" si="69"/>
        <v>0</v>
      </c>
    </row>
    <row r="2222" spans="1:2">
      <c r="A2222" t="str">
        <f t="shared" ca="1" si="68"/>
        <v/>
      </c>
      <c r="B2222">
        <f t="shared" ca="1" si="69"/>
        <v>0</v>
      </c>
    </row>
    <row r="2223" spans="1:2">
      <c r="A2223" t="str">
        <f t="shared" ca="1" si="68"/>
        <v/>
      </c>
      <c r="B2223">
        <f t="shared" ca="1" si="69"/>
        <v>0</v>
      </c>
    </row>
    <row r="2224" spans="1:2">
      <c r="A2224" t="str">
        <f t="shared" ca="1" si="68"/>
        <v/>
      </c>
      <c r="B2224">
        <f t="shared" ca="1" si="69"/>
        <v>0</v>
      </c>
    </row>
    <row r="2225" spans="1:2">
      <c r="A2225" t="str">
        <f t="shared" ca="1" si="68"/>
        <v/>
      </c>
      <c r="B2225">
        <f t="shared" ca="1" si="69"/>
        <v>0</v>
      </c>
    </row>
    <row r="2226" spans="1:2">
      <c r="A2226" t="str">
        <f t="shared" ca="1" si="68"/>
        <v/>
      </c>
      <c r="B2226">
        <f t="shared" ca="1" si="69"/>
        <v>0</v>
      </c>
    </row>
    <row r="2227" spans="1:2">
      <c r="A2227" t="str">
        <f t="shared" ca="1" si="68"/>
        <v/>
      </c>
      <c r="B2227">
        <f t="shared" ca="1" si="69"/>
        <v>0</v>
      </c>
    </row>
    <row r="2228" spans="1:2">
      <c r="A2228" t="str">
        <f t="shared" ca="1" si="68"/>
        <v/>
      </c>
      <c r="B2228">
        <f t="shared" ca="1" si="69"/>
        <v>0</v>
      </c>
    </row>
    <row r="2229" spans="1:2">
      <c r="A2229" t="str">
        <f t="shared" ca="1" si="68"/>
        <v/>
      </c>
      <c r="B2229">
        <f t="shared" ca="1" si="69"/>
        <v>0</v>
      </c>
    </row>
    <row r="2230" spans="1:2">
      <c r="A2230" t="str">
        <f t="shared" ca="1" si="68"/>
        <v/>
      </c>
      <c r="B2230">
        <f t="shared" ca="1" si="69"/>
        <v>0</v>
      </c>
    </row>
    <row r="2231" spans="1:2">
      <c r="A2231" t="str">
        <f t="shared" ca="1" si="68"/>
        <v/>
      </c>
      <c r="B2231">
        <f t="shared" ca="1" si="69"/>
        <v>0</v>
      </c>
    </row>
    <row r="2232" spans="1:2">
      <c r="A2232" t="str">
        <f t="shared" ca="1" si="68"/>
        <v/>
      </c>
      <c r="B2232">
        <f t="shared" ca="1" si="69"/>
        <v>0</v>
      </c>
    </row>
    <row r="2233" spans="1:2">
      <c r="A2233" t="str">
        <f t="shared" ca="1" si="68"/>
        <v/>
      </c>
      <c r="B2233">
        <f t="shared" ca="1" si="69"/>
        <v>0</v>
      </c>
    </row>
    <row r="2234" spans="1:2">
      <c r="A2234" t="str">
        <f t="shared" ca="1" si="68"/>
        <v/>
      </c>
      <c r="B2234">
        <f t="shared" ca="1" si="69"/>
        <v>0</v>
      </c>
    </row>
    <row r="2235" spans="1:2">
      <c r="A2235" t="str">
        <f t="shared" ca="1" si="68"/>
        <v/>
      </c>
      <c r="B2235">
        <f t="shared" ca="1" si="69"/>
        <v>0</v>
      </c>
    </row>
    <row r="2236" spans="1:2">
      <c r="A2236" t="str">
        <f t="shared" ca="1" si="68"/>
        <v/>
      </c>
      <c r="B2236">
        <f t="shared" ca="1" si="69"/>
        <v>0</v>
      </c>
    </row>
    <row r="2237" spans="1:2">
      <c r="A2237" t="str">
        <f t="shared" ca="1" si="68"/>
        <v/>
      </c>
      <c r="B2237">
        <f t="shared" ca="1" si="69"/>
        <v>0</v>
      </c>
    </row>
    <row r="2238" spans="1:2">
      <c r="A2238" t="str">
        <f t="shared" ca="1" si="68"/>
        <v/>
      </c>
      <c r="B2238">
        <f t="shared" ca="1" si="69"/>
        <v>0</v>
      </c>
    </row>
    <row r="2239" spans="1:2">
      <c r="A2239" t="str">
        <f t="shared" ca="1" si="68"/>
        <v/>
      </c>
      <c r="B2239">
        <f t="shared" ca="1" si="69"/>
        <v>0</v>
      </c>
    </row>
    <row r="2240" spans="1:2">
      <c r="A2240" t="str">
        <f t="shared" ca="1" si="68"/>
        <v/>
      </c>
      <c r="B2240">
        <f t="shared" ca="1" si="69"/>
        <v>0</v>
      </c>
    </row>
    <row r="2241" spans="1:2">
      <c r="A2241" t="str">
        <f t="shared" ca="1" si="68"/>
        <v/>
      </c>
      <c r="B2241">
        <f t="shared" ca="1" si="69"/>
        <v>0</v>
      </c>
    </row>
    <row r="2242" spans="1:2">
      <c r="A2242" t="str">
        <f t="shared" ref="A2242:A2305" ca="1" si="70">CONCATENATE(INDIRECT(ADDRESS(ROW(),3)))</f>
        <v/>
      </c>
      <c r="B2242">
        <f t="shared" ref="B2242:B2305" ca="1" si="71">IF(IF(INDIRECT(ADDRESS(ROW(),1))&lt;&gt;"",IF(ISNA(MATCH(LEFT(INDIRECT(ADDRESS(ROW(),1)),2),PCNG_MN,0))=TRUE,1,0),0)+IF(INDIRECT(ADDRESS(ROW(),1))&lt;&gt;"",IF(ISNA(MATCH(LEFT(INDIRECT(ADDRESS(ROW(),1)),3),PCNG_MN,0))=TRUE,1,0),0)+IF(INDIRECT(ADDRESS(ROW(),1))&lt;&gt;"",IF(ISNA(MATCH(LEFT(INDIRECT(ADDRESS(ROW(),1)),4),PCNG_MN,0))=TRUE,1,0),0)&gt;=3,1,0)</f>
        <v>0</v>
      </c>
    </row>
    <row r="2243" spans="1:2">
      <c r="A2243" t="str">
        <f t="shared" ca="1" si="70"/>
        <v/>
      </c>
      <c r="B2243">
        <f t="shared" ca="1" si="71"/>
        <v>0</v>
      </c>
    </row>
    <row r="2244" spans="1:2">
      <c r="A2244" t="str">
        <f t="shared" ca="1" si="70"/>
        <v/>
      </c>
      <c r="B2244">
        <f t="shared" ca="1" si="71"/>
        <v>0</v>
      </c>
    </row>
    <row r="2245" spans="1:2">
      <c r="A2245" t="str">
        <f t="shared" ca="1" si="70"/>
        <v/>
      </c>
      <c r="B2245">
        <f t="shared" ca="1" si="71"/>
        <v>0</v>
      </c>
    </row>
    <row r="2246" spans="1:2">
      <c r="A2246" t="str">
        <f t="shared" ca="1" si="70"/>
        <v/>
      </c>
      <c r="B2246">
        <f t="shared" ca="1" si="71"/>
        <v>0</v>
      </c>
    </row>
    <row r="2247" spans="1:2">
      <c r="A2247" t="str">
        <f t="shared" ca="1" si="70"/>
        <v/>
      </c>
      <c r="B2247">
        <f t="shared" ca="1" si="71"/>
        <v>0</v>
      </c>
    </row>
    <row r="2248" spans="1:2">
      <c r="A2248" t="str">
        <f t="shared" ca="1" si="70"/>
        <v/>
      </c>
      <c r="B2248">
        <f t="shared" ca="1" si="71"/>
        <v>0</v>
      </c>
    </row>
    <row r="2249" spans="1:2">
      <c r="A2249" t="str">
        <f t="shared" ca="1" si="70"/>
        <v/>
      </c>
      <c r="B2249">
        <f t="shared" ca="1" si="71"/>
        <v>0</v>
      </c>
    </row>
    <row r="2250" spans="1:2">
      <c r="A2250" t="str">
        <f t="shared" ca="1" si="70"/>
        <v/>
      </c>
      <c r="B2250">
        <f t="shared" ca="1" si="71"/>
        <v>0</v>
      </c>
    </row>
    <row r="2251" spans="1:2">
      <c r="A2251" t="str">
        <f t="shared" ca="1" si="70"/>
        <v/>
      </c>
      <c r="B2251">
        <f t="shared" ca="1" si="71"/>
        <v>0</v>
      </c>
    </row>
    <row r="2252" spans="1:2">
      <c r="A2252" t="str">
        <f t="shared" ca="1" si="70"/>
        <v/>
      </c>
      <c r="B2252">
        <f t="shared" ca="1" si="71"/>
        <v>0</v>
      </c>
    </row>
    <row r="2253" spans="1:2">
      <c r="A2253" t="str">
        <f t="shared" ca="1" si="70"/>
        <v/>
      </c>
      <c r="B2253">
        <f t="shared" ca="1" si="71"/>
        <v>0</v>
      </c>
    </row>
    <row r="2254" spans="1:2">
      <c r="A2254" t="str">
        <f t="shared" ca="1" si="70"/>
        <v/>
      </c>
      <c r="B2254">
        <f t="shared" ca="1" si="71"/>
        <v>0</v>
      </c>
    </row>
    <row r="2255" spans="1:2">
      <c r="A2255" t="str">
        <f t="shared" ca="1" si="70"/>
        <v/>
      </c>
      <c r="B2255">
        <f t="shared" ca="1" si="71"/>
        <v>0</v>
      </c>
    </row>
    <row r="2256" spans="1:2">
      <c r="A2256" t="str">
        <f t="shared" ca="1" si="70"/>
        <v/>
      </c>
      <c r="B2256">
        <f t="shared" ca="1" si="71"/>
        <v>0</v>
      </c>
    </row>
    <row r="2257" spans="1:2">
      <c r="A2257" t="str">
        <f t="shared" ca="1" si="70"/>
        <v/>
      </c>
      <c r="B2257">
        <f t="shared" ca="1" si="71"/>
        <v>0</v>
      </c>
    </row>
    <row r="2258" spans="1:2">
      <c r="A2258" t="str">
        <f t="shared" ca="1" si="70"/>
        <v/>
      </c>
      <c r="B2258">
        <f t="shared" ca="1" si="71"/>
        <v>0</v>
      </c>
    </row>
    <row r="2259" spans="1:2">
      <c r="A2259" t="str">
        <f t="shared" ca="1" si="70"/>
        <v/>
      </c>
      <c r="B2259">
        <f t="shared" ca="1" si="71"/>
        <v>0</v>
      </c>
    </row>
    <row r="2260" spans="1:2">
      <c r="A2260" t="str">
        <f t="shared" ca="1" si="70"/>
        <v/>
      </c>
      <c r="B2260">
        <f t="shared" ca="1" si="71"/>
        <v>0</v>
      </c>
    </row>
    <row r="2261" spans="1:2">
      <c r="A2261" t="str">
        <f t="shared" ca="1" si="70"/>
        <v/>
      </c>
      <c r="B2261">
        <f t="shared" ca="1" si="71"/>
        <v>0</v>
      </c>
    </row>
    <row r="2262" spans="1:2">
      <c r="A2262" t="str">
        <f t="shared" ca="1" si="70"/>
        <v/>
      </c>
      <c r="B2262">
        <f t="shared" ca="1" si="71"/>
        <v>0</v>
      </c>
    </row>
    <row r="2263" spans="1:2">
      <c r="A2263" t="str">
        <f t="shared" ca="1" si="70"/>
        <v/>
      </c>
      <c r="B2263">
        <f t="shared" ca="1" si="71"/>
        <v>0</v>
      </c>
    </row>
    <row r="2264" spans="1:2">
      <c r="A2264" t="str">
        <f t="shared" ca="1" si="70"/>
        <v/>
      </c>
      <c r="B2264">
        <f t="shared" ca="1" si="71"/>
        <v>0</v>
      </c>
    </row>
    <row r="2265" spans="1:2">
      <c r="A2265" t="str">
        <f t="shared" ca="1" si="70"/>
        <v/>
      </c>
      <c r="B2265">
        <f t="shared" ca="1" si="71"/>
        <v>0</v>
      </c>
    </row>
    <row r="2266" spans="1:2">
      <c r="A2266" t="str">
        <f t="shared" ca="1" si="70"/>
        <v/>
      </c>
      <c r="B2266">
        <f t="shared" ca="1" si="71"/>
        <v>0</v>
      </c>
    </row>
    <row r="2267" spans="1:2">
      <c r="A2267" t="str">
        <f t="shared" ca="1" si="70"/>
        <v/>
      </c>
      <c r="B2267">
        <f t="shared" ca="1" si="71"/>
        <v>0</v>
      </c>
    </row>
    <row r="2268" spans="1:2">
      <c r="A2268" t="str">
        <f t="shared" ca="1" si="70"/>
        <v/>
      </c>
      <c r="B2268">
        <f t="shared" ca="1" si="71"/>
        <v>0</v>
      </c>
    </row>
    <row r="2269" spans="1:2">
      <c r="A2269" t="str">
        <f t="shared" ca="1" si="70"/>
        <v/>
      </c>
      <c r="B2269">
        <f t="shared" ca="1" si="71"/>
        <v>0</v>
      </c>
    </row>
    <row r="2270" spans="1:2">
      <c r="A2270" t="str">
        <f t="shared" ca="1" si="70"/>
        <v/>
      </c>
      <c r="B2270">
        <f t="shared" ca="1" si="71"/>
        <v>0</v>
      </c>
    </row>
    <row r="2271" spans="1:2">
      <c r="A2271" t="str">
        <f t="shared" ca="1" si="70"/>
        <v/>
      </c>
      <c r="B2271">
        <f t="shared" ca="1" si="71"/>
        <v>0</v>
      </c>
    </row>
    <row r="2272" spans="1:2">
      <c r="A2272" t="str">
        <f t="shared" ca="1" si="70"/>
        <v/>
      </c>
      <c r="B2272">
        <f t="shared" ca="1" si="71"/>
        <v>0</v>
      </c>
    </row>
    <row r="2273" spans="1:2">
      <c r="A2273" t="str">
        <f t="shared" ca="1" si="70"/>
        <v/>
      </c>
      <c r="B2273">
        <f t="shared" ca="1" si="71"/>
        <v>0</v>
      </c>
    </row>
    <row r="2274" spans="1:2">
      <c r="A2274" t="str">
        <f t="shared" ca="1" si="70"/>
        <v/>
      </c>
      <c r="B2274">
        <f t="shared" ca="1" si="71"/>
        <v>0</v>
      </c>
    </row>
    <row r="2275" spans="1:2">
      <c r="A2275" t="str">
        <f t="shared" ca="1" si="70"/>
        <v/>
      </c>
      <c r="B2275">
        <f t="shared" ca="1" si="71"/>
        <v>0</v>
      </c>
    </row>
    <row r="2276" spans="1:2">
      <c r="A2276" t="str">
        <f t="shared" ca="1" si="70"/>
        <v/>
      </c>
      <c r="B2276">
        <f t="shared" ca="1" si="71"/>
        <v>0</v>
      </c>
    </row>
    <row r="2277" spans="1:2">
      <c r="A2277" t="str">
        <f t="shared" ca="1" si="70"/>
        <v/>
      </c>
      <c r="B2277">
        <f t="shared" ca="1" si="71"/>
        <v>0</v>
      </c>
    </row>
    <row r="2278" spans="1:2">
      <c r="A2278" t="str">
        <f t="shared" ca="1" si="70"/>
        <v/>
      </c>
      <c r="B2278">
        <f t="shared" ca="1" si="71"/>
        <v>0</v>
      </c>
    </row>
    <row r="2279" spans="1:2">
      <c r="A2279" t="str">
        <f t="shared" ca="1" si="70"/>
        <v/>
      </c>
      <c r="B2279">
        <f t="shared" ca="1" si="71"/>
        <v>0</v>
      </c>
    </row>
    <row r="2280" spans="1:2">
      <c r="A2280" t="str">
        <f t="shared" ca="1" si="70"/>
        <v/>
      </c>
      <c r="B2280">
        <f t="shared" ca="1" si="71"/>
        <v>0</v>
      </c>
    </row>
    <row r="2281" spans="1:2">
      <c r="A2281" t="str">
        <f t="shared" ca="1" si="70"/>
        <v/>
      </c>
      <c r="B2281">
        <f t="shared" ca="1" si="71"/>
        <v>0</v>
      </c>
    </row>
    <row r="2282" spans="1:2">
      <c r="A2282" t="str">
        <f t="shared" ca="1" si="70"/>
        <v/>
      </c>
      <c r="B2282">
        <f t="shared" ca="1" si="71"/>
        <v>0</v>
      </c>
    </row>
    <row r="2283" spans="1:2">
      <c r="A2283" t="str">
        <f t="shared" ca="1" si="70"/>
        <v/>
      </c>
      <c r="B2283">
        <f t="shared" ca="1" si="71"/>
        <v>0</v>
      </c>
    </row>
    <row r="2284" spans="1:2">
      <c r="A2284" t="str">
        <f t="shared" ca="1" si="70"/>
        <v/>
      </c>
      <c r="B2284">
        <f t="shared" ca="1" si="71"/>
        <v>0</v>
      </c>
    </row>
    <row r="2285" spans="1:2">
      <c r="A2285" t="str">
        <f t="shared" ca="1" si="70"/>
        <v/>
      </c>
      <c r="B2285">
        <f t="shared" ca="1" si="71"/>
        <v>0</v>
      </c>
    </row>
    <row r="2286" spans="1:2">
      <c r="A2286" t="str">
        <f t="shared" ca="1" si="70"/>
        <v/>
      </c>
      <c r="B2286">
        <f t="shared" ca="1" si="71"/>
        <v>0</v>
      </c>
    </row>
    <row r="2287" spans="1:2">
      <c r="A2287" t="str">
        <f t="shared" ca="1" si="70"/>
        <v/>
      </c>
      <c r="B2287">
        <f t="shared" ca="1" si="71"/>
        <v>0</v>
      </c>
    </row>
    <row r="2288" spans="1:2">
      <c r="A2288" t="str">
        <f t="shared" ca="1" si="70"/>
        <v/>
      </c>
      <c r="B2288">
        <f t="shared" ca="1" si="71"/>
        <v>0</v>
      </c>
    </row>
    <row r="2289" spans="1:2">
      <c r="A2289" t="str">
        <f t="shared" ca="1" si="70"/>
        <v/>
      </c>
      <c r="B2289">
        <f t="shared" ca="1" si="71"/>
        <v>0</v>
      </c>
    </row>
    <row r="2290" spans="1:2">
      <c r="A2290" t="str">
        <f t="shared" ca="1" si="70"/>
        <v/>
      </c>
      <c r="B2290">
        <f t="shared" ca="1" si="71"/>
        <v>0</v>
      </c>
    </row>
    <row r="2291" spans="1:2">
      <c r="A2291" t="str">
        <f t="shared" ca="1" si="70"/>
        <v/>
      </c>
      <c r="B2291">
        <f t="shared" ca="1" si="71"/>
        <v>0</v>
      </c>
    </row>
    <row r="2292" spans="1:2">
      <c r="A2292" t="str">
        <f t="shared" ca="1" si="70"/>
        <v/>
      </c>
      <c r="B2292">
        <f t="shared" ca="1" si="71"/>
        <v>0</v>
      </c>
    </row>
    <row r="2293" spans="1:2">
      <c r="A2293" t="str">
        <f t="shared" ca="1" si="70"/>
        <v/>
      </c>
      <c r="B2293">
        <f t="shared" ca="1" si="71"/>
        <v>0</v>
      </c>
    </row>
    <row r="2294" spans="1:2">
      <c r="A2294" t="str">
        <f t="shared" ca="1" si="70"/>
        <v/>
      </c>
      <c r="B2294">
        <f t="shared" ca="1" si="71"/>
        <v>0</v>
      </c>
    </row>
    <row r="2295" spans="1:2">
      <c r="A2295" t="str">
        <f t="shared" ca="1" si="70"/>
        <v/>
      </c>
      <c r="B2295">
        <f t="shared" ca="1" si="71"/>
        <v>0</v>
      </c>
    </row>
    <row r="2296" spans="1:2">
      <c r="A2296" t="str">
        <f t="shared" ca="1" si="70"/>
        <v/>
      </c>
      <c r="B2296">
        <f t="shared" ca="1" si="71"/>
        <v>0</v>
      </c>
    </row>
    <row r="2297" spans="1:2">
      <c r="A2297" t="str">
        <f t="shared" ca="1" si="70"/>
        <v/>
      </c>
      <c r="B2297">
        <f t="shared" ca="1" si="71"/>
        <v>0</v>
      </c>
    </row>
    <row r="2298" spans="1:2">
      <c r="A2298" t="str">
        <f t="shared" ca="1" si="70"/>
        <v/>
      </c>
      <c r="B2298">
        <f t="shared" ca="1" si="71"/>
        <v>0</v>
      </c>
    </row>
    <row r="2299" spans="1:2">
      <c r="A2299" t="str">
        <f t="shared" ca="1" si="70"/>
        <v/>
      </c>
      <c r="B2299">
        <f t="shared" ca="1" si="71"/>
        <v>0</v>
      </c>
    </row>
    <row r="2300" spans="1:2">
      <c r="A2300" t="str">
        <f t="shared" ca="1" si="70"/>
        <v/>
      </c>
      <c r="B2300">
        <f t="shared" ca="1" si="71"/>
        <v>0</v>
      </c>
    </row>
    <row r="2301" spans="1:2">
      <c r="A2301" t="str">
        <f t="shared" ca="1" si="70"/>
        <v/>
      </c>
      <c r="B2301">
        <f t="shared" ca="1" si="71"/>
        <v>0</v>
      </c>
    </row>
    <row r="2302" spans="1:2">
      <c r="A2302" t="str">
        <f t="shared" ca="1" si="70"/>
        <v/>
      </c>
      <c r="B2302">
        <f t="shared" ca="1" si="71"/>
        <v>0</v>
      </c>
    </row>
    <row r="2303" spans="1:2">
      <c r="A2303" t="str">
        <f t="shared" ca="1" si="70"/>
        <v/>
      </c>
      <c r="B2303">
        <f t="shared" ca="1" si="71"/>
        <v>0</v>
      </c>
    </row>
    <row r="2304" spans="1:2">
      <c r="A2304" t="str">
        <f t="shared" ca="1" si="70"/>
        <v/>
      </c>
      <c r="B2304">
        <f t="shared" ca="1" si="71"/>
        <v>0</v>
      </c>
    </row>
    <row r="2305" spans="1:2">
      <c r="A2305" t="str">
        <f t="shared" ca="1" si="70"/>
        <v/>
      </c>
      <c r="B2305">
        <f t="shared" ca="1" si="71"/>
        <v>0</v>
      </c>
    </row>
    <row r="2306" spans="1:2">
      <c r="A2306" t="str">
        <f t="shared" ref="A2306:A2369" ca="1" si="72">CONCATENATE(INDIRECT(ADDRESS(ROW(),3)))</f>
        <v/>
      </c>
      <c r="B2306">
        <f t="shared" ref="B2306:B2369" ca="1" si="73">IF(IF(INDIRECT(ADDRESS(ROW(),1))&lt;&gt;"",IF(ISNA(MATCH(LEFT(INDIRECT(ADDRESS(ROW(),1)),2),PCNG_MN,0))=TRUE,1,0),0)+IF(INDIRECT(ADDRESS(ROW(),1))&lt;&gt;"",IF(ISNA(MATCH(LEFT(INDIRECT(ADDRESS(ROW(),1)),3),PCNG_MN,0))=TRUE,1,0),0)+IF(INDIRECT(ADDRESS(ROW(),1))&lt;&gt;"",IF(ISNA(MATCH(LEFT(INDIRECT(ADDRESS(ROW(),1)),4),PCNG_MN,0))=TRUE,1,0),0)&gt;=3,1,0)</f>
        <v>0</v>
      </c>
    </row>
    <row r="2307" spans="1:2">
      <c r="A2307" t="str">
        <f t="shared" ca="1" si="72"/>
        <v/>
      </c>
      <c r="B2307">
        <f t="shared" ca="1" si="73"/>
        <v>0</v>
      </c>
    </row>
    <row r="2308" spans="1:2">
      <c r="A2308" t="str">
        <f t="shared" ca="1" si="72"/>
        <v/>
      </c>
      <c r="B2308">
        <f t="shared" ca="1" si="73"/>
        <v>0</v>
      </c>
    </row>
    <row r="2309" spans="1:2">
      <c r="A2309" t="str">
        <f t="shared" ca="1" si="72"/>
        <v/>
      </c>
      <c r="B2309">
        <f t="shared" ca="1" si="73"/>
        <v>0</v>
      </c>
    </row>
    <row r="2310" spans="1:2">
      <c r="A2310" t="str">
        <f t="shared" ca="1" si="72"/>
        <v/>
      </c>
      <c r="B2310">
        <f t="shared" ca="1" si="73"/>
        <v>0</v>
      </c>
    </row>
    <row r="2311" spans="1:2">
      <c r="A2311" t="str">
        <f t="shared" ca="1" si="72"/>
        <v/>
      </c>
      <c r="B2311">
        <f t="shared" ca="1" si="73"/>
        <v>0</v>
      </c>
    </row>
    <row r="2312" spans="1:2">
      <c r="A2312" t="str">
        <f t="shared" ca="1" si="72"/>
        <v/>
      </c>
      <c r="B2312">
        <f t="shared" ca="1" si="73"/>
        <v>0</v>
      </c>
    </row>
    <row r="2313" spans="1:2">
      <c r="A2313" t="str">
        <f t="shared" ca="1" si="72"/>
        <v/>
      </c>
      <c r="B2313">
        <f t="shared" ca="1" si="73"/>
        <v>0</v>
      </c>
    </row>
    <row r="2314" spans="1:2">
      <c r="A2314" t="str">
        <f t="shared" ca="1" si="72"/>
        <v/>
      </c>
      <c r="B2314">
        <f t="shared" ca="1" si="73"/>
        <v>0</v>
      </c>
    </row>
    <row r="2315" spans="1:2">
      <c r="A2315" t="str">
        <f t="shared" ca="1" si="72"/>
        <v/>
      </c>
      <c r="B2315">
        <f t="shared" ca="1" si="73"/>
        <v>0</v>
      </c>
    </row>
    <row r="2316" spans="1:2">
      <c r="A2316" t="str">
        <f t="shared" ca="1" si="72"/>
        <v/>
      </c>
      <c r="B2316">
        <f t="shared" ca="1" si="73"/>
        <v>0</v>
      </c>
    </row>
    <row r="2317" spans="1:2">
      <c r="A2317" t="str">
        <f t="shared" ca="1" si="72"/>
        <v/>
      </c>
      <c r="B2317">
        <f t="shared" ca="1" si="73"/>
        <v>0</v>
      </c>
    </row>
    <row r="2318" spans="1:2">
      <c r="A2318" t="str">
        <f t="shared" ca="1" si="72"/>
        <v/>
      </c>
      <c r="B2318">
        <f t="shared" ca="1" si="73"/>
        <v>0</v>
      </c>
    </row>
    <row r="2319" spans="1:2">
      <c r="A2319" t="str">
        <f t="shared" ca="1" si="72"/>
        <v/>
      </c>
      <c r="B2319">
        <f t="shared" ca="1" si="73"/>
        <v>0</v>
      </c>
    </row>
    <row r="2320" spans="1:2">
      <c r="A2320" t="str">
        <f t="shared" ca="1" si="72"/>
        <v/>
      </c>
      <c r="B2320">
        <f t="shared" ca="1" si="73"/>
        <v>0</v>
      </c>
    </row>
    <row r="2321" spans="1:2">
      <c r="A2321" t="str">
        <f t="shared" ca="1" si="72"/>
        <v/>
      </c>
      <c r="B2321">
        <f t="shared" ca="1" si="73"/>
        <v>0</v>
      </c>
    </row>
    <row r="2322" spans="1:2">
      <c r="A2322" t="str">
        <f t="shared" ca="1" si="72"/>
        <v/>
      </c>
      <c r="B2322">
        <f t="shared" ca="1" si="73"/>
        <v>0</v>
      </c>
    </row>
    <row r="2323" spans="1:2">
      <c r="A2323" t="str">
        <f t="shared" ca="1" si="72"/>
        <v/>
      </c>
      <c r="B2323">
        <f t="shared" ca="1" si="73"/>
        <v>0</v>
      </c>
    </row>
    <row r="2324" spans="1:2">
      <c r="A2324" t="str">
        <f t="shared" ca="1" si="72"/>
        <v/>
      </c>
      <c r="B2324">
        <f t="shared" ca="1" si="73"/>
        <v>0</v>
      </c>
    </row>
    <row r="2325" spans="1:2">
      <c r="A2325" t="str">
        <f t="shared" ca="1" si="72"/>
        <v/>
      </c>
      <c r="B2325">
        <f t="shared" ca="1" si="73"/>
        <v>0</v>
      </c>
    </row>
    <row r="2326" spans="1:2">
      <c r="A2326" t="str">
        <f t="shared" ca="1" si="72"/>
        <v/>
      </c>
      <c r="B2326">
        <f t="shared" ca="1" si="73"/>
        <v>0</v>
      </c>
    </row>
    <row r="2327" spans="1:2">
      <c r="A2327" t="str">
        <f t="shared" ca="1" si="72"/>
        <v/>
      </c>
      <c r="B2327">
        <f t="shared" ca="1" si="73"/>
        <v>0</v>
      </c>
    </row>
    <row r="2328" spans="1:2">
      <c r="A2328" t="str">
        <f t="shared" ca="1" si="72"/>
        <v/>
      </c>
      <c r="B2328">
        <f t="shared" ca="1" si="73"/>
        <v>0</v>
      </c>
    </row>
    <row r="2329" spans="1:2">
      <c r="A2329" t="str">
        <f t="shared" ca="1" si="72"/>
        <v/>
      </c>
      <c r="B2329">
        <f t="shared" ca="1" si="73"/>
        <v>0</v>
      </c>
    </row>
    <row r="2330" spans="1:2">
      <c r="A2330" t="str">
        <f t="shared" ca="1" si="72"/>
        <v/>
      </c>
      <c r="B2330">
        <f t="shared" ca="1" si="73"/>
        <v>0</v>
      </c>
    </row>
    <row r="2331" spans="1:2">
      <c r="A2331" t="str">
        <f t="shared" ca="1" si="72"/>
        <v/>
      </c>
      <c r="B2331">
        <f t="shared" ca="1" si="73"/>
        <v>0</v>
      </c>
    </row>
    <row r="2332" spans="1:2">
      <c r="A2332" t="str">
        <f t="shared" ca="1" si="72"/>
        <v/>
      </c>
      <c r="B2332">
        <f t="shared" ca="1" si="73"/>
        <v>0</v>
      </c>
    </row>
    <row r="2333" spans="1:2">
      <c r="A2333" t="str">
        <f t="shared" ca="1" si="72"/>
        <v/>
      </c>
      <c r="B2333">
        <f t="shared" ca="1" si="73"/>
        <v>0</v>
      </c>
    </row>
    <row r="2334" spans="1:2">
      <c r="A2334" t="str">
        <f t="shared" ca="1" si="72"/>
        <v/>
      </c>
      <c r="B2334">
        <f t="shared" ca="1" si="73"/>
        <v>0</v>
      </c>
    </row>
    <row r="2335" spans="1:2">
      <c r="A2335" t="str">
        <f t="shared" ca="1" si="72"/>
        <v/>
      </c>
      <c r="B2335">
        <f t="shared" ca="1" si="73"/>
        <v>0</v>
      </c>
    </row>
    <row r="2336" spans="1:2">
      <c r="A2336" t="str">
        <f t="shared" ca="1" si="72"/>
        <v/>
      </c>
      <c r="B2336">
        <f t="shared" ca="1" si="73"/>
        <v>0</v>
      </c>
    </row>
    <row r="2337" spans="1:2">
      <c r="A2337" t="str">
        <f t="shared" ca="1" si="72"/>
        <v/>
      </c>
      <c r="B2337">
        <f t="shared" ca="1" si="73"/>
        <v>0</v>
      </c>
    </row>
    <row r="2338" spans="1:2">
      <c r="A2338" t="str">
        <f t="shared" ca="1" si="72"/>
        <v/>
      </c>
      <c r="B2338">
        <f t="shared" ca="1" si="73"/>
        <v>0</v>
      </c>
    </row>
    <row r="2339" spans="1:2">
      <c r="A2339" t="str">
        <f t="shared" ca="1" si="72"/>
        <v/>
      </c>
      <c r="B2339">
        <f t="shared" ca="1" si="73"/>
        <v>0</v>
      </c>
    </row>
    <row r="2340" spans="1:2">
      <c r="A2340" t="str">
        <f t="shared" ca="1" si="72"/>
        <v/>
      </c>
      <c r="B2340">
        <f t="shared" ca="1" si="73"/>
        <v>0</v>
      </c>
    </row>
    <row r="2341" spans="1:2">
      <c r="A2341" t="str">
        <f t="shared" ca="1" si="72"/>
        <v/>
      </c>
      <c r="B2341">
        <f t="shared" ca="1" si="73"/>
        <v>0</v>
      </c>
    </row>
    <row r="2342" spans="1:2">
      <c r="A2342" t="str">
        <f t="shared" ca="1" si="72"/>
        <v/>
      </c>
      <c r="B2342">
        <f t="shared" ca="1" si="73"/>
        <v>0</v>
      </c>
    </row>
    <row r="2343" spans="1:2">
      <c r="A2343" t="str">
        <f t="shared" ca="1" si="72"/>
        <v/>
      </c>
      <c r="B2343">
        <f t="shared" ca="1" si="73"/>
        <v>0</v>
      </c>
    </row>
    <row r="2344" spans="1:2">
      <c r="A2344" t="str">
        <f t="shared" ca="1" si="72"/>
        <v/>
      </c>
      <c r="B2344">
        <f t="shared" ca="1" si="73"/>
        <v>0</v>
      </c>
    </row>
    <row r="2345" spans="1:2">
      <c r="A2345" t="str">
        <f t="shared" ca="1" si="72"/>
        <v/>
      </c>
      <c r="B2345">
        <f t="shared" ca="1" si="73"/>
        <v>0</v>
      </c>
    </row>
    <row r="2346" spans="1:2">
      <c r="A2346" t="str">
        <f t="shared" ca="1" si="72"/>
        <v/>
      </c>
      <c r="B2346">
        <f t="shared" ca="1" si="73"/>
        <v>0</v>
      </c>
    </row>
    <row r="2347" spans="1:2">
      <c r="A2347" t="str">
        <f t="shared" ca="1" si="72"/>
        <v/>
      </c>
      <c r="B2347">
        <f t="shared" ca="1" si="73"/>
        <v>0</v>
      </c>
    </row>
    <row r="2348" spans="1:2">
      <c r="A2348" t="str">
        <f t="shared" ca="1" si="72"/>
        <v/>
      </c>
      <c r="B2348">
        <f t="shared" ca="1" si="73"/>
        <v>0</v>
      </c>
    </row>
    <row r="2349" spans="1:2">
      <c r="A2349" t="str">
        <f t="shared" ca="1" si="72"/>
        <v/>
      </c>
      <c r="B2349">
        <f t="shared" ca="1" si="73"/>
        <v>0</v>
      </c>
    </row>
    <row r="2350" spans="1:2">
      <c r="A2350" t="str">
        <f t="shared" ca="1" si="72"/>
        <v/>
      </c>
      <c r="B2350">
        <f t="shared" ca="1" si="73"/>
        <v>0</v>
      </c>
    </row>
    <row r="2351" spans="1:2">
      <c r="A2351" t="str">
        <f t="shared" ca="1" si="72"/>
        <v/>
      </c>
      <c r="B2351">
        <f t="shared" ca="1" si="73"/>
        <v>0</v>
      </c>
    </row>
    <row r="2352" spans="1:2">
      <c r="A2352" t="str">
        <f t="shared" ca="1" si="72"/>
        <v/>
      </c>
      <c r="B2352">
        <f t="shared" ca="1" si="73"/>
        <v>0</v>
      </c>
    </row>
    <row r="2353" spans="1:2">
      <c r="A2353" t="str">
        <f t="shared" ca="1" si="72"/>
        <v/>
      </c>
      <c r="B2353">
        <f t="shared" ca="1" si="73"/>
        <v>0</v>
      </c>
    </row>
    <row r="2354" spans="1:2">
      <c r="A2354" t="str">
        <f t="shared" ca="1" si="72"/>
        <v/>
      </c>
      <c r="B2354">
        <f t="shared" ca="1" si="73"/>
        <v>0</v>
      </c>
    </row>
    <row r="2355" spans="1:2">
      <c r="A2355" t="str">
        <f t="shared" ca="1" si="72"/>
        <v/>
      </c>
      <c r="B2355">
        <f t="shared" ca="1" si="73"/>
        <v>0</v>
      </c>
    </row>
    <row r="2356" spans="1:2">
      <c r="A2356" t="str">
        <f t="shared" ca="1" si="72"/>
        <v/>
      </c>
      <c r="B2356">
        <f t="shared" ca="1" si="73"/>
        <v>0</v>
      </c>
    </row>
    <row r="2357" spans="1:2">
      <c r="A2357" t="str">
        <f t="shared" ca="1" si="72"/>
        <v/>
      </c>
      <c r="B2357">
        <f t="shared" ca="1" si="73"/>
        <v>0</v>
      </c>
    </row>
    <row r="2358" spans="1:2">
      <c r="A2358" t="str">
        <f t="shared" ca="1" si="72"/>
        <v/>
      </c>
      <c r="B2358">
        <f t="shared" ca="1" si="73"/>
        <v>0</v>
      </c>
    </row>
    <row r="2359" spans="1:2">
      <c r="A2359" t="str">
        <f t="shared" ca="1" si="72"/>
        <v/>
      </c>
      <c r="B2359">
        <f t="shared" ca="1" si="73"/>
        <v>0</v>
      </c>
    </row>
    <row r="2360" spans="1:2">
      <c r="A2360" t="str">
        <f t="shared" ca="1" si="72"/>
        <v/>
      </c>
      <c r="B2360">
        <f t="shared" ca="1" si="73"/>
        <v>0</v>
      </c>
    </row>
    <row r="2361" spans="1:2">
      <c r="A2361" t="str">
        <f t="shared" ca="1" si="72"/>
        <v/>
      </c>
      <c r="B2361">
        <f t="shared" ca="1" si="73"/>
        <v>0</v>
      </c>
    </row>
    <row r="2362" spans="1:2">
      <c r="A2362" t="str">
        <f t="shared" ca="1" si="72"/>
        <v/>
      </c>
      <c r="B2362">
        <f t="shared" ca="1" si="73"/>
        <v>0</v>
      </c>
    </row>
    <row r="2363" spans="1:2">
      <c r="A2363" t="str">
        <f t="shared" ca="1" si="72"/>
        <v/>
      </c>
      <c r="B2363">
        <f t="shared" ca="1" si="73"/>
        <v>0</v>
      </c>
    </row>
    <row r="2364" spans="1:2">
      <c r="A2364" t="str">
        <f t="shared" ca="1" si="72"/>
        <v/>
      </c>
      <c r="B2364">
        <f t="shared" ca="1" si="73"/>
        <v>0</v>
      </c>
    </row>
    <row r="2365" spans="1:2">
      <c r="A2365" t="str">
        <f t="shared" ca="1" si="72"/>
        <v/>
      </c>
      <c r="B2365">
        <f t="shared" ca="1" si="73"/>
        <v>0</v>
      </c>
    </row>
    <row r="2366" spans="1:2">
      <c r="A2366" t="str">
        <f t="shared" ca="1" si="72"/>
        <v/>
      </c>
      <c r="B2366">
        <f t="shared" ca="1" si="73"/>
        <v>0</v>
      </c>
    </row>
    <row r="2367" spans="1:2">
      <c r="A2367" t="str">
        <f t="shared" ca="1" si="72"/>
        <v/>
      </c>
      <c r="B2367">
        <f t="shared" ca="1" si="73"/>
        <v>0</v>
      </c>
    </row>
    <row r="2368" spans="1:2">
      <c r="A2368" t="str">
        <f t="shared" ca="1" si="72"/>
        <v/>
      </c>
      <c r="B2368">
        <f t="shared" ca="1" si="73"/>
        <v>0</v>
      </c>
    </row>
    <row r="2369" spans="1:2">
      <c r="A2369" t="str">
        <f t="shared" ca="1" si="72"/>
        <v/>
      </c>
      <c r="B2369">
        <f t="shared" ca="1" si="73"/>
        <v>0</v>
      </c>
    </row>
    <row r="2370" spans="1:2">
      <c r="A2370" t="str">
        <f t="shared" ref="A2370:A2433" ca="1" si="74">CONCATENATE(INDIRECT(ADDRESS(ROW(),3)))</f>
        <v/>
      </c>
      <c r="B2370">
        <f t="shared" ref="B2370:B2433" ca="1" si="75">IF(IF(INDIRECT(ADDRESS(ROW(),1))&lt;&gt;"",IF(ISNA(MATCH(LEFT(INDIRECT(ADDRESS(ROW(),1)),2),PCNG_MN,0))=TRUE,1,0),0)+IF(INDIRECT(ADDRESS(ROW(),1))&lt;&gt;"",IF(ISNA(MATCH(LEFT(INDIRECT(ADDRESS(ROW(),1)),3),PCNG_MN,0))=TRUE,1,0),0)+IF(INDIRECT(ADDRESS(ROW(),1))&lt;&gt;"",IF(ISNA(MATCH(LEFT(INDIRECT(ADDRESS(ROW(),1)),4),PCNG_MN,0))=TRUE,1,0),0)&gt;=3,1,0)</f>
        <v>0</v>
      </c>
    </row>
    <row r="2371" spans="1:2">
      <c r="A2371" t="str">
        <f t="shared" ca="1" si="74"/>
        <v/>
      </c>
      <c r="B2371">
        <f t="shared" ca="1" si="75"/>
        <v>0</v>
      </c>
    </row>
    <row r="2372" spans="1:2">
      <c r="A2372" t="str">
        <f t="shared" ca="1" si="74"/>
        <v/>
      </c>
      <c r="B2372">
        <f t="shared" ca="1" si="75"/>
        <v>0</v>
      </c>
    </row>
    <row r="2373" spans="1:2">
      <c r="A2373" t="str">
        <f t="shared" ca="1" si="74"/>
        <v/>
      </c>
      <c r="B2373">
        <f t="shared" ca="1" si="75"/>
        <v>0</v>
      </c>
    </row>
    <row r="2374" spans="1:2">
      <c r="A2374" t="str">
        <f t="shared" ca="1" si="74"/>
        <v/>
      </c>
      <c r="B2374">
        <f t="shared" ca="1" si="75"/>
        <v>0</v>
      </c>
    </row>
    <row r="2375" spans="1:2">
      <c r="A2375" t="str">
        <f t="shared" ca="1" si="74"/>
        <v/>
      </c>
      <c r="B2375">
        <f t="shared" ca="1" si="75"/>
        <v>0</v>
      </c>
    </row>
    <row r="2376" spans="1:2">
      <c r="A2376" t="str">
        <f t="shared" ca="1" si="74"/>
        <v/>
      </c>
      <c r="B2376">
        <f t="shared" ca="1" si="75"/>
        <v>0</v>
      </c>
    </row>
    <row r="2377" spans="1:2">
      <c r="A2377" t="str">
        <f t="shared" ca="1" si="74"/>
        <v/>
      </c>
      <c r="B2377">
        <f t="shared" ca="1" si="75"/>
        <v>0</v>
      </c>
    </row>
    <row r="2378" spans="1:2">
      <c r="A2378" t="str">
        <f t="shared" ca="1" si="74"/>
        <v/>
      </c>
      <c r="B2378">
        <f t="shared" ca="1" si="75"/>
        <v>0</v>
      </c>
    </row>
    <row r="2379" spans="1:2">
      <c r="A2379" t="str">
        <f t="shared" ca="1" si="74"/>
        <v/>
      </c>
      <c r="B2379">
        <f t="shared" ca="1" si="75"/>
        <v>0</v>
      </c>
    </row>
    <row r="2380" spans="1:2">
      <c r="A2380" t="str">
        <f t="shared" ca="1" si="74"/>
        <v/>
      </c>
      <c r="B2380">
        <f t="shared" ca="1" si="75"/>
        <v>0</v>
      </c>
    </row>
    <row r="2381" spans="1:2">
      <c r="A2381" t="str">
        <f t="shared" ca="1" si="74"/>
        <v/>
      </c>
      <c r="B2381">
        <f t="shared" ca="1" si="75"/>
        <v>0</v>
      </c>
    </row>
    <row r="2382" spans="1:2">
      <c r="A2382" t="str">
        <f t="shared" ca="1" si="74"/>
        <v/>
      </c>
      <c r="B2382">
        <f t="shared" ca="1" si="75"/>
        <v>0</v>
      </c>
    </row>
    <row r="2383" spans="1:2">
      <c r="A2383" t="str">
        <f t="shared" ca="1" si="74"/>
        <v/>
      </c>
      <c r="B2383">
        <f t="shared" ca="1" si="75"/>
        <v>0</v>
      </c>
    </row>
    <row r="2384" spans="1:2">
      <c r="A2384" t="str">
        <f t="shared" ca="1" si="74"/>
        <v/>
      </c>
      <c r="B2384">
        <f t="shared" ca="1" si="75"/>
        <v>0</v>
      </c>
    </row>
    <row r="2385" spans="1:2">
      <c r="A2385" t="str">
        <f t="shared" ca="1" si="74"/>
        <v/>
      </c>
      <c r="B2385">
        <f t="shared" ca="1" si="75"/>
        <v>0</v>
      </c>
    </row>
    <row r="2386" spans="1:2">
      <c r="A2386" t="str">
        <f t="shared" ca="1" si="74"/>
        <v/>
      </c>
      <c r="B2386">
        <f t="shared" ca="1" si="75"/>
        <v>0</v>
      </c>
    </row>
    <row r="2387" spans="1:2">
      <c r="A2387" t="str">
        <f t="shared" ca="1" si="74"/>
        <v/>
      </c>
      <c r="B2387">
        <f t="shared" ca="1" si="75"/>
        <v>0</v>
      </c>
    </row>
    <row r="2388" spans="1:2">
      <c r="A2388" t="str">
        <f t="shared" ca="1" si="74"/>
        <v/>
      </c>
      <c r="B2388">
        <f t="shared" ca="1" si="75"/>
        <v>0</v>
      </c>
    </row>
    <row r="2389" spans="1:2">
      <c r="A2389" t="str">
        <f t="shared" ca="1" si="74"/>
        <v/>
      </c>
      <c r="B2389">
        <f t="shared" ca="1" si="75"/>
        <v>0</v>
      </c>
    </row>
    <row r="2390" spans="1:2">
      <c r="A2390" t="str">
        <f t="shared" ca="1" si="74"/>
        <v/>
      </c>
      <c r="B2390">
        <f t="shared" ca="1" si="75"/>
        <v>0</v>
      </c>
    </row>
    <row r="2391" spans="1:2">
      <c r="A2391" t="str">
        <f t="shared" ca="1" si="74"/>
        <v/>
      </c>
      <c r="B2391">
        <f t="shared" ca="1" si="75"/>
        <v>0</v>
      </c>
    </row>
    <row r="2392" spans="1:2">
      <c r="A2392" t="str">
        <f t="shared" ca="1" si="74"/>
        <v/>
      </c>
      <c r="B2392">
        <f t="shared" ca="1" si="75"/>
        <v>0</v>
      </c>
    </row>
    <row r="2393" spans="1:2">
      <c r="A2393" t="str">
        <f t="shared" ca="1" si="74"/>
        <v/>
      </c>
      <c r="B2393">
        <f t="shared" ca="1" si="75"/>
        <v>0</v>
      </c>
    </row>
    <row r="2394" spans="1:2">
      <c r="A2394" t="str">
        <f t="shared" ca="1" si="74"/>
        <v/>
      </c>
      <c r="B2394">
        <f t="shared" ca="1" si="75"/>
        <v>0</v>
      </c>
    </row>
    <row r="2395" spans="1:2">
      <c r="A2395" t="str">
        <f t="shared" ca="1" si="74"/>
        <v/>
      </c>
      <c r="B2395">
        <f t="shared" ca="1" si="75"/>
        <v>0</v>
      </c>
    </row>
    <row r="2396" spans="1:2">
      <c r="A2396" t="str">
        <f t="shared" ca="1" si="74"/>
        <v/>
      </c>
      <c r="B2396">
        <f t="shared" ca="1" si="75"/>
        <v>0</v>
      </c>
    </row>
    <row r="2397" spans="1:2">
      <c r="A2397" t="str">
        <f t="shared" ca="1" si="74"/>
        <v/>
      </c>
      <c r="B2397">
        <f t="shared" ca="1" si="75"/>
        <v>0</v>
      </c>
    </row>
    <row r="2398" spans="1:2">
      <c r="A2398" t="str">
        <f t="shared" ca="1" si="74"/>
        <v/>
      </c>
      <c r="B2398">
        <f t="shared" ca="1" si="75"/>
        <v>0</v>
      </c>
    </row>
    <row r="2399" spans="1:2">
      <c r="A2399" t="str">
        <f t="shared" ca="1" si="74"/>
        <v/>
      </c>
      <c r="B2399">
        <f t="shared" ca="1" si="75"/>
        <v>0</v>
      </c>
    </row>
    <row r="2400" spans="1:2">
      <c r="A2400" t="str">
        <f t="shared" ca="1" si="74"/>
        <v/>
      </c>
      <c r="B2400">
        <f t="shared" ca="1" si="75"/>
        <v>0</v>
      </c>
    </row>
    <row r="2401" spans="1:2">
      <c r="A2401" t="str">
        <f t="shared" ca="1" si="74"/>
        <v/>
      </c>
      <c r="B2401">
        <f t="shared" ca="1" si="75"/>
        <v>0</v>
      </c>
    </row>
    <row r="2402" spans="1:2">
      <c r="A2402" t="str">
        <f t="shared" ca="1" si="74"/>
        <v/>
      </c>
      <c r="B2402">
        <f t="shared" ca="1" si="75"/>
        <v>0</v>
      </c>
    </row>
    <row r="2403" spans="1:2">
      <c r="A2403" t="str">
        <f t="shared" ca="1" si="74"/>
        <v/>
      </c>
      <c r="B2403">
        <f t="shared" ca="1" si="75"/>
        <v>0</v>
      </c>
    </row>
    <row r="2404" spans="1:2">
      <c r="A2404" t="str">
        <f t="shared" ca="1" si="74"/>
        <v/>
      </c>
      <c r="B2404">
        <f t="shared" ca="1" si="75"/>
        <v>0</v>
      </c>
    </row>
    <row r="2405" spans="1:2">
      <c r="A2405" t="str">
        <f t="shared" ca="1" si="74"/>
        <v/>
      </c>
      <c r="B2405">
        <f t="shared" ca="1" si="75"/>
        <v>0</v>
      </c>
    </row>
    <row r="2406" spans="1:2">
      <c r="A2406" t="str">
        <f t="shared" ca="1" si="74"/>
        <v/>
      </c>
      <c r="B2406">
        <f t="shared" ca="1" si="75"/>
        <v>0</v>
      </c>
    </row>
    <row r="2407" spans="1:2">
      <c r="A2407" t="str">
        <f t="shared" ca="1" si="74"/>
        <v/>
      </c>
      <c r="B2407">
        <f t="shared" ca="1" si="75"/>
        <v>0</v>
      </c>
    </row>
    <row r="2408" spans="1:2">
      <c r="A2408" t="str">
        <f t="shared" ca="1" si="74"/>
        <v/>
      </c>
      <c r="B2408">
        <f t="shared" ca="1" si="75"/>
        <v>0</v>
      </c>
    </row>
    <row r="2409" spans="1:2">
      <c r="A2409" t="str">
        <f t="shared" ca="1" si="74"/>
        <v/>
      </c>
      <c r="B2409">
        <f t="shared" ca="1" si="75"/>
        <v>0</v>
      </c>
    </row>
    <row r="2410" spans="1:2">
      <c r="A2410" t="str">
        <f t="shared" ca="1" si="74"/>
        <v/>
      </c>
      <c r="B2410">
        <f t="shared" ca="1" si="75"/>
        <v>0</v>
      </c>
    </row>
    <row r="2411" spans="1:2">
      <c r="A2411" t="str">
        <f t="shared" ca="1" si="74"/>
        <v/>
      </c>
      <c r="B2411">
        <f t="shared" ca="1" si="75"/>
        <v>0</v>
      </c>
    </row>
    <row r="2412" spans="1:2">
      <c r="A2412" t="str">
        <f t="shared" ca="1" si="74"/>
        <v/>
      </c>
      <c r="B2412">
        <f t="shared" ca="1" si="75"/>
        <v>0</v>
      </c>
    </row>
    <row r="2413" spans="1:2">
      <c r="A2413" t="str">
        <f t="shared" ca="1" si="74"/>
        <v/>
      </c>
      <c r="B2413">
        <f t="shared" ca="1" si="75"/>
        <v>0</v>
      </c>
    </row>
    <row r="2414" spans="1:2">
      <c r="A2414" t="str">
        <f t="shared" ca="1" si="74"/>
        <v/>
      </c>
      <c r="B2414">
        <f t="shared" ca="1" si="75"/>
        <v>0</v>
      </c>
    </row>
    <row r="2415" spans="1:2">
      <c r="A2415" t="str">
        <f t="shared" ca="1" si="74"/>
        <v/>
      </c>
      <c r="B2415">
        <f t="shared" ca="1" si="75"/>
        <v>0</v>
      </c>
    </row>
    <row r="2416" spans="1:2">
      <c r="A2416" t="str">
        <f t="shared" ca="1" si="74"/>
        <v/>
      </c>
      <c r="B2416">
        <f t="shared" ca="1" si="75"/>
        <v>0</v>
      </c>
    </row>
    <row r="2417" spans="1:2">
      <c r="A2417" t="str">
        <f t="shared" ca="1" si="74"/>
        <v/>
      </c>
      <c r="B2417">
        <f t="shared" ca="1" si="75"/>
        <v>0</v>
      </c>
    </row>
    <row r="2418" spans="1:2">
      <c r="A2418" t="str">
        <f t="shared" ca="1" si="74"/>
        <v/>
      </c>
      <c r="B2418">
        <f t="shared" ca="1" si="75"/>
        <v>0</v>
      </c>
    </row>
    <row r="2419" spans="1:2">
      <c r="A2419" t="str">
        <f t="shared" ca="1" si="74"/>
        <v/>
      </c>
      <c r="B2419">
        <f t="shared" ca="1" si="75"/>
        <v>0</v>
      </c>
    </row>
    <row r="2420" spans="1:2">
      <c r="A2420" t="str">
        <f t="shared" ca="1" si="74"/>
        <v/>
      </c>
      <c r="B2420">
        <f t="shared" ca="1" si="75"/>
        <v>0</v>
      </c>
    </row>
    <row r="2421" spans="1:2">
      <c r="A2421" t="str">
        <f t="shared" ca="1" si="74"/>
        <v/>
      </c>
      <c r="B2421">
        <f t="shared" ca="1" si="75"/>
        <v>0</v>
      </c>
    </row>
    <row r="2422" spans="1:2">
      <c r="A2422" t="str">
        <f t="shared" ca="1" si="74"/>
        <v/>
      </c>
      <c r="B2422">
        <f t="shared" ca="1" si="75"/>
        <v>0</v>
      </c>
    </row>
    <row r="2423" spans="1:2">
      <c r="A2423" t="str">
        <f t="shared" ca="1" si="74"/>
        <v/>
      </c>
      <c r="B2423">
        <f t="shared" ca="1" si="75"/>
        <v>0</v>
      </c>
    </row>
    <row r="2424" spans="1:2">
      <c r="A2424" t="str">
        <f t="shared" ca="1" si="74"/>
        <v/>
      </c>
      <c r="B2424">
        <f t="shared" ca="1" si="75"/>
        <v>0</v>
      </c>
    </row>
    <row r="2425" spans="1:2">
      <c r="A2425" t="str">
        <f t="shared" ca="1" si="74"/>
        <v/>
      </c>
      <c r="B2425">
        <f t="shared" ca="1" si="75"/>
        <v>0</v>
      </c>
    </row>
    <row r="2426" spans="1:2">
      <c r="A2426" t="str">
        <f t="shared" ca="1" si="74"/>
        <v/>
      </c>
      <c r="B2426">
        <f t="shared" ca="1" si="75"/>
        <v>0</v>
      </c>
    </row>
    <row r="2427" spans="1:2">
      <c r="A2427" t="str">
        <f t="shared" ca="1" si="74"/>
        <v/>
      </c>
      <c r="B2427">
        <f t="shared" ca="1" si="75"/>
        <v>0</v>
      </c>
    </row>
    <row r="2428" spans="1:2">
      <c r="A2428" t="str">
        <f t="shared" ca="1" si="74"/>
        <v/>
      </c>
      <c r="B2428">
        <f t="shared" ca="1" si="75"/>
        <v>0</v>
      </c>
    </row>
    <row r="2429" spans="1:2">
      <c r="A2429" t="str">
        <f t="shared" ca="1" si="74"/>
        <v/>
      </c>
      <c r="B2429">
        <f t="shared" ca="1" si="75"/>
        <v>0</v>
      </c>
    </row>
    <row r="2430" spans="1:2">
      <c r="A2430" t="str">
        <f t="shared" ca="1" si="74"/>
        <v/>
      </c>
      <c r="B2430">
        <f t="shared" ca="1" si="75"/>
        <v>0</v>
      </c>
    </row>
    <row r="2431" spans="1:2">
      <c r="A2431" t="str">
        <f t="shared" ca="1" si="74"/>
        <v/>
      </c>
      <c r="B2431">
        <f t="shared" ca="1" si="75"/>
        <v>0</v>
      </c>
    </row>
    <row r="2432" spans="1:2">
      <c r="A2432" t="str">
        <f t="shared" ca="1" si="74"/>
        <v/>
      </c>
      <c r="B2432">
        <f t="shared" ca="1" si="75"/>
        <v>0</v>
      </c>
    </row>
    <row r="2433" spans="1:2">
      <c r="A2433" t="str">
        <f t="shared" ca="1" si="74"/>
        <v/>
      </c>
      <c r="B2433">
        <f t="shared" ca="1" si="75"/>
        <v>0</v>
      </c>
    </row>
    <row r="2434" spans="1:2">
      <c r="A2434" t="str">
        <f t="shared" ref="A2434:A2497" ca="1" si="76">CONCATENATE(INDIRECT(ADDRESS(ROW(),3)))</f>
        <v/>
      </c>
      <c r="B2434">
        <f t="shared" ref="B2434:B2497" ca="1" si="77">IF(IF(INDIRECT(ADDRESS(ROW(),1))&lt;&gt;"",IF(ISNA(MATCH(LEFT(INDIRECT(ADDRESS(ROW(),1)),2),PCNG_MN,0))=TRUE,1,0),0)+IF(INDIRECT(ADDRESS(ROW(),1))&lt;&gt;"",IF(ISNA(MATCH(LEFT(INDIRECT(ADDRESS(ROW(),1)),3),PCNG_MN,0))=TRUE,1,0),0)+IF(INDIRECT(ADDRESS(ROW(),1))&lt;&gt;"",IF(ISNA(MATCH(LEFT(INDIRECT(ADDRESS(ROW(),1)),4),PCNG_MN,0))=TRUE,1,0),0)&gt;=3,1,0)</f>
        <v>0</v>
      </c>
    </row>
    <row r="2435" spans="1:2">
      <c r="A2435" t="str">
        <f t="shared" ca="1" si="76"/>
        <v/>
      </c>
      <c r="B2435">
        <f t="shared" ca="1" si="77"/>
        <v>0</v>
      </c>
    </row>
    <row r="2436" spans="1:2">
      <c r="A2436" t="str">
        <f t="shared" ca="1" si="76"/>
        <v/>
      </c>
      <c r="B2436">
        <f t="shared" ca="1" si="77"/>
        <v>0</v>
      </c>
    </row>
    <row r="2437" spans="1:2">
      <c r="A2437" t="str">
        <f t="shared" ca="1" si="76"/>
        <v/>
      </c>
      <c r="B2437">
        <f t="shared" ca="1" si="77"/>
        <v>0</v>
      </c>
    </row>
    <row r="2438" spans="1:2">
      <c r="A2438" t="str">
        <f t="shared" ca="1" si="76"/>
        <v/>
      </c>
      <c r="B2438">
        <f t="shared" ca="1" si="77"/>
        <v>0</v>
      </c>
    </row>
    <row r="2439" spans="1:2">
      <c r="A2439" t="str">
        <f t="shared" ca="1" si="76"/>
        <v/>
      </c>
      <c r="B2439">
        <f t="shared" ca="1" si="77"/>
        <v>0</v>
      </c>
    </row>
    <row r="2440" spans="1:2">
      <c r="A2440" t="str">
        <f t="shared" ca="1" si="76"/>
        <v/>
      </c>
      <c r="B2440">
        <f t="shared" ca="1" si="77"/>
        <v>0</v>
      </c>
    </row>
    <row r="2441" spans="1:2">
      <c r="A2441" t="str">
        <f t="shared" ca="1" si="76"/>
        <v/>
      </c>
      <c r="B2441">
        <f t="shared" ca="1" si="77"/>
        <v>0</v>
      </c>
    </row>
    <row r="2442" spans="1:2">
      <c r="A2442" t="str">
        <f t="shared" ca="1" si="76"/>
        <v/>
      </c>
      <c r="B2442">
        <f t="shared" ca="1" si="77"/>
        <v>0</v>
      </c>
    </row>
    <row r="2443" spans="1:2">
      <c r="A2443" t="str">
        <f t="shared" ca="1" si="76"/>
        <v/>
      </c>
      <c r="B2443">
        <f t="shared" ca="1" si="77"/>
        <v>0</v>
      </c>
    </row>
    <row r="2444" spans="1:2">
      <c r="A2444" t="str">
        <f t="shared" ca="1" si="76"/>
        <v/>
      </c>
      <c r="B2444">
        <f t="shared" ca="1" si="77"/>
        <v>0</v>
      </c>
    </row>
    <row r="2445" spans="1:2">
      <c r="A2445" t="str">
        <f t="shared" ca="1" si="76"/>
        <v/>
      </c>
      <c r="B2445">
        <f t="shared" ca="1" si="77"/>
        <v>0</v>
      </c>
    </row>
    <row r="2446" spans="1:2">
      <c r="A2446" t="str">
        <f t="shared" ca="1" si="76"/>
        <v/>
      </c>
      <c r="B2446">
        <f t="shared" ca="1" si="77"/>
        <v>0</v>
      </c>
    </row>
    <row r="2447" spans="1:2">
      <c r="A2447" t="str">
        <f t="shared" ca="1" si="76"/>
        <v/>
      </c>
      <c r="B2447">
        <f t="shared" ca="1" si="77"/>
        <v>0</v>
      </c>
    </row>
    <row r="2448" spans="1:2">
      <c r="A2448" t="str">
        <f t="shared" ca="1" si="76"/>
        <v/>
      </c>
      <c r="B2448">
        <f t="shared" ca="1" si="77"/>
        <v>0</v>
      </c>
    </row>
    <row r="2449" spans="1:2">
      <c r="A2449" t="str">
        <f t="shared" ca="1" si="76"/>
        <v/>
      </c>
      <c r="B2449">
        <f t="shared" ca="1" si="77"/>
        <v>0</v>
      </c>
    </row>
    <row r="2450" spans="1:2">
      <c r="A2450" t="str">
        <f t="shared" ca="1" si="76"/>
        <v/>
      </c>
      <c r="B2450">
        <f t="shared" ca="1" si="77"/>
        <v>0</v>
      </c>
    </row>
    <row r="2451" spans="1:2">
      <c r="A2451" t="str">
        <f t="shared" ca="1" si="76"/>
        <v/>
      </c>
      <c r="B2451">
        <f t="shared" ca="1" si="77"/>
        <v>0</v>
      </c>
    </row>
    <row r="2452" spans="1:2">
      <c r="A2452" t="str">
        <f t="shared" ca="1" si="76"/>
        <v/>
      </c>
      <c r="B2452">
        <f t="shared" ca="1" si="77"/>
        <v>0</v>
      </c>
    </row>
    <row r="2453" spans="1:2">
      <c r="A2453" t="str">
        <f t="shared" ca="1" si="76"/>
        <v/>
      </c>
      <c r="B2453">
        <f t="shared" ca="1" si="77"/>
        <v>0</v>
      </c>
    </row>
    <row r="2454" spans="1:2">
      <c r="A2454" t="str">
        <f t="shared" ca="1" si="76"/>
        <v/>
      </c>
      <c r="B2454">
        <f t="shared" ca="1" si="77"/>
        <v>0</v>
      </c>
    </row>
    <row r="2455" spans="1:2">
      <c r="A2455" t="str">
        <f t="shared" ca="1" si="76"/>
        <v/>
      </c>
      <c r="B2455">
        <f t="shared" ca="1" si="77"/>
        <v>0</v>
      </c>
    </row>
    <row r="2456" spans="1:2">
      <c r="A2456" t="str">
        <f t="shared" ca="1" si="76"/>
        <v/>
      </c>
      <c r="B2456">
        <f t="shared" ca="1" si="77"/>
        <v>0</v>
      </c>
    </row>
    <row r="2457" spans="1:2">
      <c r="A2457" t="str">
        <f t="shared" ca="1" si="76"/>
        <v/>
      </c>
      <c r="B2457">
        <f t="shared" ca="1" si="77"/>
        <v>0</v>
      </c>
    </row>
    <row r="2458" spans="1:2">
      <c r="A2458" t="str">
        <f t="shared" ca="1" si="76"/>
        <v/>
      </c>
      <c r="B2458">
        <f t="shared" ca="1" si="77"/>
        <v>0</v>
      </c>
    </row>
    <row r="2459" spans="1:2">
      <c r="A2459" t="str">
        <f t="shared" ca="1" si="76"/>
        <v/>
      </c>
      <c r="B2459">
        <f t="shared" ca="1" si="77"/>
        <v>0</v>
      </c>
    </row>
    <row r="2460" spans="1:2">
      <c r="A2460" t="str">
        <f t="shared" ca="1" si="76"/>
        <v/>
      </c>
      <c r="B2460">
        <f t="shared" ca="1" si="77"/>
        <v>0</v>
      </c>
    </row>
    <row r="2461" spans="1:2">
      <c r="A2461" t="str">
        <f t="shared" ca="1" si="76"/>
        <v/>
      </c>
      <c r="B2461">
        <f t="shared" ca="1" si="77"/>
        <v>0</v>
      </c>
    </row>
    <row r="2462" spans="1:2">
      <c r="A2462" t="str">
        <f t="shared" ca="1" si="76"/>
        <v/>
      </c>
      <c r="B2462">
        <f t="shared" ca="1" si="77"/>
        <v>0</v>
      </c>
    </row>
    <row r="2463" spans="1:2">
      <c r="A2463" t="str">
        <f t="shared" ca="1" si="76"/>
        <v/>
      </c>
      <c r="B2463">
        <f t="shared" ca="1" si="77"/>
        <v>0</v>
      </c>
    </row>
    <row r="2464" spans="1:2">
      <c r="A2464" t="str">
        <f t="shared" ca="1" si="76"/>
        <v/>
      </c>
      <c r="B2464">
        <f t="shared" ca="1" si="77"/>
        <v>0</v>
      </c>
    </row>
    <row r="2465" spans="1:2">
      <c r="A2465" t="str">
        <f t="shared" ca="1" si="76"/>
        <v/>
      </c>
      <c r="B2465">
        <f t="shared" ca="1" si="77"/>
        <v>0</v>
      </c>
    </row>
    <row r="2466" spans="1:2">
      <c r="A2466" t="str">
        <f t="shared" ca="1" si="76"/>
        <v/>
      </c>
      <c r="B2466">
        <f t="shared" ca="1" si="77"/>
        <v>0</v>
      </c>
    </row>
    <row r="2467" spans="1:2">
      <c r="A2467" t="str">
        <f t="shared" ca="1" si="76"/>
        <v/>
      </c>
      <c r="B2467">
        <f t="shared" ca="1" si="77"/>
        <v>0</v>
      </c>
    </row>
    <row r="2468" spans="1:2">
      <c r="A2468" t="str">
        <f t="shared" ca="1" si="76"/>
        <v/>
      </c>
      <c r="B2468">
        <f t="shared" ca="1" si="77"/>
        <v>0</v>
      </c>
    </row>
    <row r="2469" spans="1:2">
      <c r="A2469" t="str">
        <f t="shared" ca="1" si="76"/>
        <v/>
      </c>
      <c r="B2469">
        <f t="shared" ca="1" si="77"/>
        <v>0</v>
      </c>
    </row>
    <row r="2470" spans="1:2">
      <c r="A2470" t="str">
        <f t="shared" ca="1" si="76"/>
        <v/>
      </c>
      <c r="B2470">
        <f t="shared" ca="1" si="77"/>
        <v>0</v>
      </c>
    </row>
    <row r="2471" spans="1:2">
      <c r="A2471" t="str">
        <f t="shared" ca="1" si="76"/>
        <v/>
      </c>
      <c r="B2471">
        <f t="shared" ca="1" si="77"/>
        <v>0</v>
      </c>
    </row>
    <row r="2472" spans="1:2">
      <c r="A2472" t="str">
        <f t="shared" ca="1" si="76"/>
        <v/>
      </c>
      <c r="B2472">
        <f t="shared" ca="1" si="77"/>
        <v>0</v>
      </c>
    </row>
    <row r="2473" spans="1:2">
      <c r="A2473" t="str">
        <f t="shared" ca="1" si="76"/>
        <v/>
      </c>
      <c r="B2473">
        <f t="shared" ca="1" si="77"/>
        <v>0</v>
      </c>
    </row>
    <row r="2474" spans="1:2">
      <c r="A2474" t="str">
        <f t="shared" ca="1" si="76"/>
        <v/>
      </c>
      <c r="B2474">
        <f t="shared" ca="1" si="77"/>
        <v>0</v>
      </c>
    </row>
    <row r="2475" spans="1:2">
      <c r="A2475" t="str">
        <f t="shared" ca="1" si="76"/>
        <v/>
      </c>
      <c r="B2475">
        <f t="shared" ca="1" si="77"/>
        <v>0</v>
      </c>
    </row>
    <row r="2476" spans="1:2">
      <c r="A2476" t="str">
        <f t="shared" ca="1" si="76"/>
        <v/>
      </c>
      <c r="B2476">
        <f t="shared" ca="1" si="77"/>
        <v>0</v>
      </c>
    </row>
    <row r="2477" spans="1:2">
      <c r="A2477" t="str">
        <f t="shared" ca="1" si="76"/>
        <v/>
      </c>
      <c r="B2477">
        <f t="shared" ca="1" si="77"/>
        <v>0</v>
      </c>
    </row>
    <row r="2478" spans="1:2">
      <c r="A2478" t="str">
        <f t="shared" ca="1" si="76"/>
        <v/>
      </c>
      <c r="B2478">
        <f t="shared" ca="1" si="77"/>
        <v>0</v>
      </c>
    </row>
    <row r="2479" spans="1:2">
      <c r="A2479" t="str">
        <f t="shared" ca="1" si="76"/>
        <v/>
      </c>
      <c r="B2479">
        <f t="shared" ca="1" si="77"/>
        <v>0</v>
      </c>
    </row>
    <row r="2480" spans="1:2">
      <c r="A2480" t="str">
        <f t="shared" ca="1" si="76"/>
        <v/>
      </c>
      <c r="B2480">
        <f t="shared" ca="1" si="77"/>
        <v>0</v>
      </c>
    </row>
    <row r="2481" spans="1:2">
      <c r="A2481" t="str">
        <f t="shared" ca="1" si="76"/>
        <v/>
      </c>
      <c r="B2481">
        <f t="shared" ca="1" si="77"/>
        <v>0</v>
      </c>
    </row>
    <row r="2482" spans="1:2">
      <c r="A2482" t="str">
        <f t="shared" ca="1" si="76"/>
        <v/>
      </c>
      <c r="B2482">
        <f t="shared" ca="1" si="77"/>
        <v>0</v>
      </c>
    </row>
    <row r="2483" spans="1:2">
      <c r="A2483" t="str">
        <f t="shared" ca="1" si="76"/>
        <v/>
      </c>
      <c r="B2483">
        <f t="shared" ca="1" si="77"/>
        <v>0</v>
      </c>
    </row>
    <row r="2484" spans="1:2">
      <c r="A2484" t="str">
        <f t="shared" ca="1" si="76"/>
        <v/>
      </c>
      <c r="B2484">
        <f t="shared" ca="1" si="77"/>
        <v>0</v>
      </c>
    </row>
    <row r="2485" spans="1:2">
      <c r="A2485" t="str">
        <f t="shared" ca="1" si="76"/>
        <v/>
      </c>
      <c r="B2485">
        <f t="shared" ca="1" si="77"/>
        <v>0</v>
      </c>
    </row>
    <row r="2486" spans="1:2">
      <c r="A2486" t="str">
        <f t="shared" ca="1" si="76"/>
        <v/>
      </c>
      <c r="B2486">
        <f t="shared" ca="1" si="77"/>
        <v>0</v>
      </c>
    </row>
    <row r="2487" spans="1:2">
      <c r="A2487" t="str">
        <f t="shared" ca="1" si="76"/>
        <v/>
      </c>
      <c r="B2487">
        <f t="shared" ca="1" si="77"/>
        <v>0</v>
      </c>
    </row>
    <row r="2488" spans="1:2">
      <c r="A2488" t="str">
        <f t="shared" ca="1" si="76"/>
        <v/>
      </c>
      <c r="B2488">
        <f t="shared" ca="1" si="77"/>
        <v>0</v>
      </c>
    </row>
    <row r="2489" spans="1:2">
      <c r="A2489" t="str">
        <f t="shared" ca="1" si="76"/>
        <v/>
      </c>
      <c r="B2489">
        <f t="shared" ca="1" si="77"/>
        <v>0</v>
      </c>
    </row>
    <row r="2490" spans="1:2">
      <c r="A2490" t="str">
        <f t="shared" ca="1" si="76"/>
        <v/>
      </c>
      <c r="B2490">
        <f t="shared" ca="1" si="77"/>
        <v>0</v>
      </c>
    </row>
    <row r="2491" spans="1:2">
      <c r="A2491" t="str">
        <f t="shared" ca="1" si="76"/>
        <v/>
      </c>
      <c r="B2491">
        <f t="shared" ca="1" si="77"/>
        <v>0</v>
      </c>
    </row>
    <row r="2492" spans="1:2">
      <c r="A2492" t="str">
        <f t="shared" ca="1" si="76"/>
        <v/>
      </c>
      <c r="B2492">
        <f t="shared" ca="1" si="77"/>
        <v>0</v>
      </c>
    </row>
    <row r="2493" spans="1:2">
      <c r="A2493" t="str">
        <f t="shared" ca="1" si="76"/>
        <v/>
      </c>
      <c r="B2493">
        <f t="shared" ca="1" si="77"/>
        <v>0</v>
      </c>
    </row>
    <row r="2494" spans="1:2">
      <c r="A2494" t="str">
        <f t="shared" ca="1" si="76"/>
        <v/>
      </c>
      <c r="B2494">
        <f t="shared" ca="1" si="77"/>
        <v>0</v>
      </c>
    </row>
    <row r="2495" spans="1:2">
      <c r="A2495" t="str">
        <f t="shared" ca="1" si="76"/>
        <v/>
      </c>
      <c r="B2495">
        <f t="shared" ca="1" si="77"/>
        <v>0</v>
      </c>
    </row>
    <row r="2496" spans="1:2">
      <c r="A2496" t="str">
        <f t="shared" ca="1" si="76"/>
        <v/>
      </c>
      <c r="B2496">
        <f t="shared" ca="1" si="77"/>
        <v>0</v>
      </c>
    </row>
    <row r="2497" spans="1:2">
      <c r="A2497" t="str">
        <f t="shared" ca="1" si="76"/>
        <v/>
      </c>
      <c r="B2497">
        <f t="shared" ca="1" si="77"/>
        <v>0</v>
      </c>
    </row>
    <row r="2498" spans="1:2">
      <c r="A2498" t="str">
        <f t="shared" ref="A2498:A2561" ca="1" si="78">CONCATENATE(INDIRECT(ADDRESS(ROW(),3)))</f>
        <v/>
      </c>
      <c r="B2498">
        <f t="shared" ref="B2498:B2561" ca="1" si="79">IF(IF(INDIRECT(ADDRESS(ROW(),1))&lt;&gt;"",IF(ISNA(MATCH(LEFT(INDIRECT(ADDRESS(ROW(),1)),2),PCNG_MN,0))=TRUE,1,0),0)+IF(INDIRECT(ADDRESS(ROW(),1))&lt;&gt;"",IF(ISNA(MATCH(LEFT(INDIRECT(ADDRESS(ROW(),1)),3),PCNG_MN,0))=TRUE,1,0),0)+IF(INDIRECT(ADDRESS(ROW(),1))&lt;&gt;"",IF(ISNA(MATCH(LEFT(INDIRECT(ADDRESS(ROW(),1)),4),PCNG_MN,0))=TRUE,1,0),0)&gt;=3,1,0)</f>
        <v>0</v>
      </c>
    </row>
    <row r="2499" spans="1:2">
      <c r="A2499" t="str">
        <f t="shared" ca="1" si="78"/>
        <v/>
      </c>
      <c r="B2499">
        <f t="shared" ca="1" si="79"/>
        <v>0</v>
      </c>
    </row>
    <row r="2500" spans="1:2">
      <c r="A2500" t="str">
        <f t="shared" ca="1" si="78"/>
        <v/>
      </c>
      <c r="B2500">
        <f t="shared" ca="1" si="79"/>
        <v>0</v>
      </c>
    </row>
    <row r="2501" spans="1:2">
      <c r="A2501" t="str">
        <f t="shared" ca="1" si="78"/>
        <v/>
      </c>
      <c r="B2501">
        <f t="shared" ca="1" si="79"/>
        <v>0</v>
      </c>
    </row>
    <row r="2502" spans="1:2">
      <c r="A2502" t="str">
        <f t="shared" ca="1" si="78"/>
        <v/>
      </c>
      <c r="B2502">
        <f t="shared" ca="1" si="79"/>
        <v>0</v>
      </c>
    </row>
    <row r="2503" spans="1:2">
      <c r="A2503" t="str">
        <f t="shared" ca="1" si="78"/>
        <v/>
      </c>
      <c r="B2503">
        <f t="shared" ca="1" si="79"/>
        <v>0</v>
      </c>
    </row>
    <row r="2504" spans="1:2">
      <c r="A2504" t="str">
        <f t="shared" ca="1" si="78"/>
        <v/>
      </c>
      <c r="B2504">
        <f t="shared" ca="1" si="79"/>
        <v>0</v>
      </c>
    </row>
    <row r="2505" spans="1:2">
      <c r="A2505" t="str">
        <f t="shared" ca="1" si="78"/>
        <v/>
      </c>
      <c r="B2505">
        <f t="shared" ca="1" si="79"/>
        <v>0</v>
      </c>
    </row>
    <row r="2506" spans="1:2">
      <c r="A2506" t="str">
        <f t="shared" ca="1" si="78"/>
        <v/>
      </c>
      <c r="B2506">
        <f t="shared" ca="1" si="79"/>
        <v>0</v>
      </c>
    </row>
    <row r="2507" spans="1:2">
      <c r="A2507" t="str">
        <f t="shared" ca="1" si="78"/>
        <v/>
      </c>
      <c r="B2507">
        <f t="shared" ca="1" si="79"/>
        <v>0</v>
      </c>
    </row>
    <row r="2508" spans="1:2">
      <c r="A2508" t="str">
        <f t="shared" ca="1" si="78"/>
        <v/>
      </c>
      <c r="B2508">
        <f t="shared" ca="1" si="79"/>
        <v>0</v>
      </c>
    </row>
    <row r="2509" spans="1:2">
      <c r="A2509" t="str">
        <f t="shared" ca="1" si="78"/>
        <v/>
      </c>
      <c r="B2509">
        <f t="shared" ca="1" si="79"/>
        <v>0</v>
      </c>
    </row>
    <row r="2510" spans="1:2">
      <c r="A2510" t="str">
        <f t="shared" ca="1" si="78"/>
        <v/>
      </c>
      <c r="B2510">
        <f t="shared" ca="1" si="79"/>
        <v>0</v>
      </c>
    </row>
    <row r="2511" spans="1:2">
      <c r="A2511" t="str">
        <f t="shared" ca="1" si="78"/>
        <v/>
      </c>
      <c r="B2511">
        <f t="shared" ca="1" si="79"/>
        <v>0</v>
      </c>
    </row>
    <row r="2512" spans="1:2">
      <c r="A2512" t="str">
        <f t="shared" ca="1" si="78"/>
        <v/>
      </c>
      <c r="B2512">
        <f t="shared" ca="1" si="79"/>
        <v>0</v>
      </c>
    </row>
    <row r="2513" spans="1:2">
      <c r="A2513" t="str">
        <f t="shared" ca="1" si="78"/>
        <v/>
      </c>
      <c r="B2513">
        <f t="shared" ca="1" si="79"/>
        <v>0</v>
      </c>
    </row>
    <row r="2514" spans="1:2">
      <c r="A2514" t="str">
        <f t="shared" ca="1" si="78"/>
        <v/>
      </c>
      <c r="B2514">
        <f t="shared" ca="1" si="79"/>
        <v>0</v>
      </c>
    </row>
    <row r="2515" spans="1:2">
      <c r="A2515" t="str">
        <f t="shared" ca="1" si="78"/>
        <v/>
      </c>
      <c r="B2515">
        <f t="shared" ca="1" si="79"/>
        <v>0</v>
      </c>
    </row>
    <row r="2516" spans="1:2">
      <c r="A2516" t="str">
        <f t="shared" ca="1" si="78"/>
        <v/>
      </c>
      <c r="B2516">
        <f t="shared" ca="1" si="79"/>
        <v>0</v>
      </c>
    </row>
    <row r="2517" spans="1:2">
      <c r="A2517" t="str">
        <f t="shared" ca="1" si="78"/>
        <v/>
      </c>
      <c r="B2517">
        <f t="shared" ca="1" si="79"/>
        <v>0</v>
      </c>
    </row>
    <row r="2518" spans="1:2">
      <c r="A2518" t="str">
        <f t="shared" ca="1" si="78"/>
        <v/>
      </c>
      <c r="B2518">
        <f t="shared" ca="1" si="79"/>
        <v>0</v>
      </c>
    </row>
    <row r="2519" spans="1:2">
      <c r="A2519" t="str">
        <f t="shared" ca="1" si="78"/>
        <v/>
      </c>
      <c r="B2519">
        <f t="shared" ca="1" si="79"/>
        <v>0</v>
      </c>
    </row>
    <row r="2520" spans="1:2">
      <c r="A2520" t="str">
        <f t="shared" ca="1" si="78"/>
        <v/>
      </c>
      <c r="B2520">
        <f t="shared" ca="1" si="79"/>
        <v>0</v>
      </c>
    </row>
    <row r="2521" spans="1:2">
      <c r="A2521" t="str">
        <f t="shared" ca="1" si="78"/>
        <v/>
      </c>
      <c r="B2521">
        <f t="shared" ca="1" si="79"/>
        <v>0</v>
      </c>
    </row>
    <row r="2522" spans="1:2">
      <c r="A2522" t="str">
        <f t="shared" ca="1" si="78"/>
        <v/>
      </c>
      <c r="B2522">
        <f t="shared" ca="1" si="79"/>
        <v>0</v>
      </c>
    </row>
    <row r="2523" spans="1:2">
      <c r="A2523" t="str">
        <f t="shared" ca="1" si="78"/>
        <v/>
      </c>
      <c r="B2523">
        <f t="shared" ca="1" si="79"/>
        <v>0</v>
      </c>
    </row>
    <row r="2524" spans="1:2">
      <c r="A2524" t="str">
        <f t="shared" ca="1" si="78"/>
        <v/>
      </c>
      <c r="B2524">
        <f t="shared" ca="1" si="79"/>
        <v>0</v>
      </c>
    </row>
    <row r="2525" spans="1:2">
      <c r="A2525" t="str">
        <f t="shared" ca="1" si="78"/>
        <v/>
      </c>
      <c r="B2525">
        <f t="shared" ca="1" si="79"/>
        <v>0</v>
      </c>
    </row>
    <row r="2526" spans="1:2">
      <c r="A2526" t="str">
        <f t="shared" ca="1" si="78"/>
        <v/>
      </c>
      <c r="B2526">
        <f t="shared" ca="1" si="79"/>
        <v>0</v>
      </c>
    </row>
    <row r="2527" spans="1:2">
      <c r="A2527" t="str">
        <f t="shared" ca="1" si="78"/>
        <v/>
      </c>
      <c r="B2527">
        <f t="shared" ca="1" si="79"/>
        <v>0</v>
      </c>
    </row>
    <row r="2528" spans="1:2">
      <c r="A2528" t="str">
        <f t="shared" ca="1" si="78"/>
        <v/>
      </c>
      <c r="B2528">
        <f t="shared" ca="1" si="79"/>
        <v>0</v>
      </c>
    </row>
    <row r="2529" spans="1:2">
      <c r="A2529" t="str">
        <f t="shared" ca="1" si="78"/>
        <v/>
      </c>
      <c r="B2529">
        <f t="shared" ca="1" si="79"/>
        <v>0</v>
      </c>
    </row>
    <row r="2530" spans="1:2">
      <c r="A2530" t="str">
        <f t="shared" ca="1" si="78"/>
        <v/>
      </c>
      <c r="B2530">
        <f t="shared" ca="1" si="79"/>
        <v>0</v>
      </c>
    </row>
    <row r="2531" spans="1:2">
      <c r="A2531" t="str">
        <f t="shared" ca="1" si="78"/>
        <v/>
      </c>
      <c r="B2531">
        <f t="shared" ca="1" si="79"/>
        <v>0</v>
      </c>
    </row>
    <row r="2532" spans="1:2">
      <c r="A2532" t="str">
        <f t="shared" ca="1" si="78"/>
        <v/>
      </c>
      <c r="B2532">
        <f t="shared" ca="1" si="79"/>
        <v>0</v>
      </c>
    </row>
    <row r="2533" spans="1:2">
      <c r="A2533" t="str">
        <f t="shared" ca="1" si="78"/>
        <v/>
      </c>
      <c r="B2533">
        <f t="shared" ca="1" si="79"/>
        <v>0</v>
      </c>
    </row>
    <row r="2534" spans="1:2">
      <c r="A2534" t="str">
        <f t="shared" ca="1" si="78"/>
        <v/>
      </c>
      <c r="B2534">
        <f t="shared" ca="1" si="79"/>
        <v>0</v>
      </c>
    </row>
    <row r="2535" spans="1:2">
      <c r="A2535" t="str">
        <f t="shared" ca="1" si="78"/>
        <v/>
      </c>
      <c r="B2535">
        <f t="shared" ca="1" si="79"/>
        <v>0</v>
      </c>
    </row>
    <row r="2536" spans="1:2">
      <c r="A2536" t="str">
        <f t="shared" ca="1" si="78"/>
        <v/>
      </c>
      <c r="B2536">
        <f t="shared" ca="1" si="79"/>
        <v>0</v>
      </c>
    </row>
    <row r="2537" spans="1:2">
      <c r="A2537" t="str">
        <f t="shared" ca="1" si="78"/>
        <v/>
      </c>
      <c r="B2537">
        <f t="shared" ca="1" si="79"/>
        <v>0</v>
      </c>
    </row>
    <row r="2538" spans="1:2">
      <c r="A2538" t="str">
        <f t="shared" ca="1" si="78"/>
        <v/>
      </c>
      <c r="B2538">
        <f t="shared" ca="1" si="79"/>
        <v>0</v>
      </c>
    </row>
    <row r="2539" spans="1:2">
      <c r="A2539" t="str">
        <f t="shared" ca="1" si="78"/>
        <v/>
      </c>
      <c r="B2539">
        <f t="shared" ca="1" si="79"/>
        <v>0</v>
      </c>
    </row>
    <row r="2540" spans="1:2">
      <c r="A2540" t="str">
        <f t="shared" ca="1" si="78"/>
        <v/>
      </c>
      <c r="B2540">
        <f t="shared" ca="1" si="79"/>
        <v>0</v>
      </c>
    </row>
    <row r="2541" spans="1:2">
      <c r="A2541" t="str">
        <f t="shared" ca="1" si="78"/>
        <v/>
      </c>
      <c r="B2541">
        <f t="shared" ca="1" si="79"/>
        <v>0</v>
      </c>
    </row>
    <row r="2542" spans="1:2">
      <c r="A2542" t="str">
        <f t="shared" ca="1" si="78"/>
        <v/>
      </c>
      <c r="B2542">
        <f t="shared" ca="1" si="79"/>
        <v>0</v>
      </c>
    </row>
    <row r="2543" spans="1:2">
      <c r="A2543" t="str">
        <f t="shared" ca="1" si="78"/>
        <v/>
      </c>
      <c r="B2543">
        <f t="shared" ca="1" si="79"/>
        <v>0</v>
      </c>
    </row>
    <row r="2544" spans="1:2">
      <c r="A2544" t="str">
        <f t="shared" ca="1" si="78"/>
        <v/>
      </c>
      <c r="B2544">
        <f t="shared" ca="1" si="79"/>
        <v>0</v>
      </c>
    </row>
    <row r="2545" spans="1:2">
      <c r="A2545" t="str">
        <f t="shared" ca="1" si="78"/>
        <v/>
      </c>
      <c r="B2545">
        <f t="shared" ca="1" si="79"/>
        <v>0</v>
      </c>
    </row>
    <row r="2546" spans="1:2">
      <c r="A2546" t="str">
        <f t="shared" ca="1" si="78"/>
        <v/>
      </c>
      <c r="B2546">
        <f t="shared" ca="1" si="79"/>
        <v>0</v>
      </c>
    </row>
    <row r="2547" spans="1:2">
      <c r="A2547" t="str">
        <f t="shared" ca="1" si="78"/>
        <v/>
      </c>
      <c r="B2547">
        <f t="shared" ca="1" si="79"/>
        <v>0</v>
      </c>
    </row>
    <row r="2548" spans="1:2">
      <c r="A2548" t="str">
        <f t="shared" ca="1" si="78"/>
        <v/>
      </c>
      <c r="B2548">
        <f t="shared" ca="1" si="79"/>
        <v>0</v>
      </c>
    </row>
    <row r="2549" spans="1:2">
      <c r="A2549" t="str">
        <f t="shared" ca="1" si="78"/>
        <v/>
      </c>
      <c r="B2549">
        <f t="shared" ca="1" si="79"/>
        <v>0</v>
      </c>
    </row>
    <row r="2550" spans="1:2">
      <c r="A2550" t="str">
        <f t="shared" ca="1" si="78"/>
        <v/>
      </c>
      <c r="B2550">
        <f t="shared" ca="1" si="79"/>
        <v>0</v>
      </c>
    </row>
    <row r="2551" spans="1:2">
      <c r="A2551" t="str">
        <f t="shared" ca="1" si="78"/>
        <v/>
      </c>
      <c r="B2551">
        <f t="shared" ca="1" si="79"/>
        <v>0</v>
      </c>
    </row>
    <row r="2552" spans="1:2">
      <c r="A2552" t="str">
        <f t="shared" ca="1" si="78"/>
        <v/>
      </c>
      <c r="B2552">
        <f t="shared" ca="1" si="79"/>
        <v>0</v>
      </c>
    </row>
    <row r="2553" spans="1:2">
      <c r="A2553" t="str">
        <f t="shared" ca="1" si="78"/>
        <v/>
      </c>
      <c r="B2553">
        <f t="shared" ca="1" si="79"/>
        <v>0</v>
      </c>
    </row>
    <row r="2554" spans="1:2">
      <c r="A2554" t="str">
        <f t="shared" ca="1" si="78"/>
        <v/>
      </c>
      <c r="B2554">
        <f t="shared" ca="1" si="79"/>
        <v>0</v>
      </c>
    </row>
    <row r="2555" spans="1:2">
      <c r="A2555" t="str">
        <f t="shared" ca="1" si="78"/>
        <v/>
      </c>
      <c r="B2555">
        <f t="shared" ca="1" si="79"/>
        <v>0</v>
      </c>
    </row>
    <row r="2556" spans="1:2">
      <c r="A2556" t="str">
        <f t="shared" ca="1" si="78"/>
        <v/>
      </c>
      <c r="B2556">
        <f t="shared" ca="1" si="79"/>
        <v>0</v>
      </c>
    </row>
    <row r="2557" spans="1:2">
      <c r="A2557" t="str">
        <f t="shared" ca="1" si="78"/>
        <v/>
      </c>
      <c r="B2557">
        <f t="shared" ca="1" si="79"/>
        <v>0</v>
      </c>
    </row>
    <row r="2558" spans="1:2">
      <c r="A2558" t="str">
        <f t="shared" ca="1" si="78"/>
        <v/>
      </c>
      <c r="B2558">
        <f t="shared" ca="1" si="79"/>
        <v>0</v>
      </c>
    </row>
    <row r="2559" spans="1:2">
      <c r="A2559" t="str">
        <f t="shared" ca="1" si="78"/>
        <v/>
      </c>
      <c r="B2559">
        <f t="shared" ca="1" si="79"/>
        <v>0</v>
      </c>
    </row>
    <row r="2560" spans="1:2">
      <c r="A2560" t="str">
        <f t="shared" ca="1" si="78"/>
        <v/>
      </c>
      <c r="B2560">
        <f t="shared" ca="1" si="79"/>
        <v>0</v>
      </c>
    </row>
    <row r="2561" spans="1:2">
      <c r="A2561" t="str">
        <f t="shared" ca="1" si="78"/>
        <v/>
      </c>
      <c r="B2561">
        <f t="shared" ca="1" si="79"/>
        <v>0</v>
      </c>
    </row>
    <row r="2562" spans="1:2">
      <c r="A2562" t="str">
        <f t="shared" ref="A2562:A2625" ca="1" si="80">CONCATENATE(INDIRECT(ADDRESS(ROW(),3)))</f>
        <v/>
      </c>
      <c r="B2562">
        <f t="shared" ref="B2562:B2625" ca="1" si="81">IF(IF(INDIRECT(ADDRESS(ROW(),1))&lt;&gt;"",IF(ISNA(MATCH(LEFT(INDIRECT(ADDRESS(ROW(),1)),2),PCNG_MN,0))=TRUE,1,0),0)+IF(INDIRECT(ADDRESS(ROW(),1))&lt;&gt;"",IF(ISNA(MATCH(LEFT(INDIRECT(ADDRESS(ROW(),1)),3),PCNG_MN,0))=TRUE,1,0),0)+IF(INDIRECT(ADDRESS(ROW(),1))&lt;&gt;"",IF(ISNA(MATCH(LEFT(INDIRECT(ADDRESS(ROW(),1)),4),PCNG_MN,0))=TRUE,1,0),0)&gt;=3,1,0)</f>
        <v>0</v>
      </c>
    </row>
    <row r="2563" spans="1:2">
      <c r="A2563" t="str">
        <f t="shared" ca="1" si="80"/>
        <v/>
      </c>
      <c r="B2563">
        <f t="shared" ca="1" si="81"/>
        <v>0</v>
      </c>
    </row>
    <row r="2564" spans="1:2">
      <c r="A2564" t="str">
        <f t="shared" ca="1" si="80"/>
        <v/>
      </c>
      <c r="B2564">
        <f t="shared" ca="1" si="81"/>
        <v>0</v>
      </c>
    </row>
    <row r="2565" spans="1:2">
      <c r="A2565" t="str">
        <f t="shared" ca="1" si="80"/>
        <v/>
      </c>
      <c r="B2565">
        <f t="shared" ca="1" si="81"/>
        <v>0</v>
      </c>
    </row>
    <row r="2566" spans="1:2">
      <c r="A2566" t="str">
        <f t="shared" ca="1" si="80"/>
        <v/>
      </c>
      <c r="B2566">
        <f t="shared" ca="1" si="81"/>
        <v>0</v>
      </c>
    </row>
    <row r="2567" spans="1:2">
      <c r="A2567" t="str">
        <f t="shared" ca="1" si="80"/>
        <v/>
      </c>
      <c r="B2567">
        <f t="shared" ca="1" si="81"/>
        <v>0</v>
      </c>
    </row>
    <row r="2568" spans="1:2">
      <c r="A2568" t="str">
        <f t="shared" ca="1" si="80"/>
        <v/>
      </c>
      <c r="B2568">
        <f t="shared" ca="1" si="81"/>
        <v>0</v>
      </c>
    </row>
    <row r="2569" spans="1:2">
      <c r="A2569" t="str">
        <f t="shared" ca="1" si="80"/>
        <v/>
      </c>
      <c r="B2569">
        <f t="shared" ca="1" si="81"/>
        <v>0</v>
      </c>
    </row>
    <row r="2570" spans="1:2">
      <c r="A2570" t="str">
        <f t="shared" ca="1" si="80"/>
        <v/>
      </c>
      <c r="B2570">
        <f t="shared" ca="1" si="81"/>
        <v>0</v>
      </c>
    </row>
    <row r="2571" spans="1:2">
      <c r="A2571" t="str">
        <f t="shared" ca="1" si="80"/>
        <v/>
      </c>
      <c r="B2571">
        <f t="shared" ca="1" si="81"/>
        <v>0</v>
      </c>
    </row>
    <row r="2572" spans="1:2">
      <c r="A2572" t="str">
        <f t="shared" ca="1" si="80"/>
        <v/>
      </c>
      <c r="B2572">
        <f t="shared" ca="1" si="81"/>
        <v>0</v>
      </c>
    </row>
    <row r="2573" spans="1:2">
      <c r="A2573" t="str">
        <f t="shared" ca="1" si="80"/>
        <v/>
      </c>
      <c r="B2573">
        <f t="shared" ca="1" si="81"/>
        <v>0</v>
      </c>
    </row>
    <row r="2574" spans="1:2">
      <c r="A2574" t="str">
        <f t="shared" ca="1" si="80"/>
        <v/>
      </c>
      <c r="B2574">
        <f t="shared" ca="1" si="81"/>
        <v>0</v>
      </c>
    </row>
    <row r="2575" spans="1:2">
      <c r="A2575" t="str">
        <f t="shared" ca="1" si="80"/>
        <v/>
      </c>
      <c r="B2575">
        <f t="shared" ca="1" si="81"/>
        <v>0</v>
      </c>
    </row>
    <row r="2576" spans="1:2">
      <c r="A2576" t="str">
        <f t="shared" ca="1" si="80"/>
        <v/>
      </c>
      <c r="B2576">
        <f t="shared" ca="1" si="81"/>
        <v>0</v>
      </c>
    </row>
    <row r="2577" spans="1:2">
      <c r="A2577" t="str">
        <f t="shared" ca="1" si="80"/>
        <v/>
      </c>
      <c r="B2577">
        <f t="shared" ca="1" si="81"/>
        <v>0</v>
      </c>
    </row>
    <row r="2578" spans="1:2">
      <c r="A2578" t="str">
        <f t="shared" ca="1" si="80"/>
        <v/>
      </c>
      <c r="B2578">
        <f t="shared" ca="1" si="81"/>
        <v>0</v>
      </c>
    </row>
    <row r="2579" spans="1:2">
      <c r="A2579" t="str">
        <f t="shared" ca="1" si="80"/>
        <v/>
      </c>
      <c r="B2579">
        <f t="shared" ca="1" si="81"/>
        <v>0</v>
      </c>
    </row>
    <row r="2580" spans="1:2">
      <c r="A2580" t="str">
        <f t="shared" ca="1" si="80"/>
        <v/>
      </c>
      <c r="B2580">
        <f t="shared" ca="1" si="81"/>
        <v>0</v>
      </c>
    </row>
    <row r="2581" spans="1:2">
      <c r="A2581" t="str">
        <f t="shared" ca="1" si="80"/>
        <v/>
      </c>
      <c r="B2581">
        <f t="shared" ca="1" si="81"/>
        <v>0</v>
      </c>
    </row>
    <row r="2582" spans="1:2">
      <c r="A2582" t="str">
        <f t="shared" ca="1" si="80"/>
        <v/>
      </c>
      <c r="B2582">
        <f t="shared" ca="1" si="81"/>
        <v>0</v>
      </c>
    </row>
    <row r="2583" spans="1:2">
      <c r="A2583" t="str">
        <f t="shared" ca="1" si="80"/>
        <v/>
      </c>
      <c r="B2583">
        <f t="shared" ca="1" si="81"/>
        <v>0</v>
      </c>
    </row>
    <row r="2584" spans="1:2">
      <c r="A2584" t="str">
        <f t="shared" ca="1" si="80"/>
        <v/>
      </c>
      <c r="B2584">
        <f t="shared" ca="1" si="81"/>
        <v>0</v>
      </c>
    </row>
    <row r="2585" spans="1:2">
      <c r="A2585" t="str">
        <f t="shared" ca="1" si="80"/>
        <v/>
      </c>
      <c r="B2585">
        <f t="shared" ca="1" si="81"/>
        <v>0</v>
      </c>
    </row>
    <row r="2586" spans="1:2">
      <c r="A2586" t="str">
        <f t="shared" ca="1" si="80"/>
        <v/>
      </c>
      <c r="B2586">
        <f t="shared" ca="1" si="81"/>
        <v>0</v>
      </c>
    </row>
    <row r="2587" spans="1:2">
      <c r="A2587" t="str">
        <f t="shared" ca="1" si="80"/>
        <v/>
      </c>
      <c r="B2587">
        <f t="shared" ca="1" si="81"/>
        <v>0</v>
      </c>
    </row>
    <row r="2588" spans="1:2">
      <c r="A2588" t="str">
        <f t="shared" ca="1" si="80"/>
        <v/>
      </c>
      <c r="B2588">
        <f t="shared" ca="1" si="81"/>
        <v>0</v>
      </c>
    </row>
    <row r="2589" spans="1:2">
      <c r="A2589" t="str">
        <f t="shared" ca="1" si="80"/>
        <v/>
      </c>
      <c r="B2589">
        <f t="shared" ca="1" si="81"/>
        <v>0</v>
      </c>
    </row>
    <row r="2590" spans="1:2">
      <c r="A2590" t="str">
        <f t="shared" ca="1" si="80"/>
        <v/>
      </c>
      <c r="B2590">
        <f t="shared" ca="1" si="81"/>
        <v>0</v>
      </c>
    </row>
    <row r="2591" spans="1:2">
      <c r="A2591" t="str">
        <f t="shared" ca="1" si="80"/>
        <v/>
      </c>
      <c r="B2591">
        <f t="shared" ca="1" si="81"/>
        <v>0</v>
      </c>
    </row>
    <row r="2592" spans="1:2">
      <c r="A2592" t="str">
        <f t="shared" ca="1" si="80"/>
        <v/>
      </c>
      <c r="B2592">
        <f t="shared" ca="1" si="81"/>
        <v>0</v>
      </c>
    </row>
    <row r="2593" spans="1:2">
      <c r="A2593" t="str">
        <f t="shared" ca="1" si="80"/>
        <v/>
      </c>
      <c r="B2593">
        <f t="shared" ca="1" si="81"/>
        <v>0</v>
      </c>
    </row>
    <row r="2594" spans="1:2">
      <c r="A2594" t="str">
        <f t="shared" ca="1" si="80"/>
        <v/>
      </c>
      <c r="B2594">
        <f t="shared" ca="1" si="81"/>
        <v>0</v>
      </c>
    </row>
    <row r="2595" spans="1:2">
      <c r="A2595" t="str">
        <f t="shared" ca="1" si="80"/>
        <v/>
      </c>
      <c r="B2595">
        <f t="shared" ca="1" si="81"/>
        <v>0</v>
      </c>
    </row>
    <row r="2596" spans="1:2">
      <c r="A2596" t="str">
        <f t="shared" ca="1" si="80"/>
        <v/>
      </c>
      <c r="B2596">
        <f t="shared" ca="1" si="81"/>
        <v>0</v>
      </c>
    </row>
    <row r="2597" spans="1:2">
      <c r="A2597" t="str">
        <f t="shared" ca="1" si="80"/>
        <v/>
      </c>
      <c r="B2597">
        <f t="shared" ca="1" si="81"/>
        <v>0</v>
      </c>
    </row>
    <row r="2598" spans="1:2">
      <c r="A2598" t="str">
        <f t="shared" ca="1" si="80"/>
        <v/>
      </c>
      <c r="B2598">
        <f t="shared" ca="1" si="81"/>
        <v>0</v>
      </c>
    </row>
    <row r="2599" spans="1:2">
      <c r="A2599" t="str">
        <f t="shared" ca="1" si="80"/>
        <v/>
      </c>
      <c r="B2599">
        <f t="shared" ca="1" si="81"/>
        <v>0</v>
      </c>
    </row>
    <row r="2600" spans="1:2">
      <c r="A2600" t="str">
        <f t="shared" ca="1" si="80"/>
        <v/>
      </c>
      <c r="B2600">
        <f t="shared" ca="1" si="81"/>
        <v>0</v>
      </c>
    </row>
    <row r="2601" spans="1:2">
      <c r="A2601" t="str">
        <f t="shared" ca="1" si="80"/>
        <v/>
      </c>
      <c r="B2601">
        <f t="shared" ca="1" si="81"/>
        <v>0</v>
      </c>
    </row>
    <row r="2602" spans="1:2">
      <c r="A2602" t="str">
        <f t="shared" ca="1" si="80"/>
        <v/>
      </c>
      <c r="B2602">
        <f t="shared" ca="1" si="81"/>
        <v>0</v>
      </c>
    </row>
    <row r="2603" spans="1:2">
      <c r="A2603" t="str">
        <f t="shared" ca="1" si="80"/>
        <v/>
      </c>
      <c r="B2603">
        <f t="shared" ca="1" si="81"/>
        <v>0</v>
      </c>
    </row>
    <row r="2604" spans="1:2">
      <c r="A2604" t="str">
        <f t="shared" ca="1" si="80"/>
        <v/>
      </c>
      <c r="B2604">
        <f t="shared" ca="1" si="81"/>
        <v>0</v>
      </c>
    </row>
    <row r="2605" spans="1:2">
      <c r="A2605" t="str">
        <f t="shared" ca="1" si="80"/>
        <v/>
      </c>
      <c r="B2605">
        <f t="shared" ca="1" si="81"/>
        <v>0</v>
      </c>
    </row>
    <row r="2606" spans="1:2">
      <c r="A2606" t="str">
        <f t="shared" ca="1" si="80"/>
        <v/>
      </c>
      <c r="B2606">
        <f t="shared" ca="1" si="81"/>
        <v>0</v>
      </c>
    </row>
    <row r="2607" spans="1:2">
      <c r="A2607" t="str">
        <f t="shared" ca="1" si="80"/>
        <v/>
      </c>
      <c r="B2607">
        <f t="shared" ca="1" si="81"/>
        <v>0</v>
      </c>
    </row>
    <row r="2608" spans="1:2">
      <c r="A2608" t="str">
        <f t="shared" ca="1" si="80"/>
        <v/>
      </c>
      <c r="B2608">
        <f t="shared" ca="1" si="81"/>
        <v>0</v>
      </c>
    </row>
    <row r="2609" spans="1:2">
      <c r="A2609" t="str">
        <f t="shared" ca="1" si="80"/>
        <v/>
      </c>
      <c r="B2609">
        <f t="shared" ca="1" si="81"/>
        <v>0</v>
      </c>
    </row>
    <row r="2610" spans="1:2">
      <c r="A2610" t="str">
        <f t="shared" ca="1" si="80"/>
        <v/>
      </c>
      <c r="B2610">
        <f t="shared" ca="1" si="81"/>
        <v>0</v>
      </c>
    </row>
    <row r="2611" spans="1:2">
      <c r="A2611" t="str">
        <f t="shared" ca="1" si="80"/>
        <v/>
      </c>
      <c r="B2611">
        <f t="shared" ca="1" si="81"/>
        <v>0</v>
      </c>
    </row>
    <row r="2612" spans="1:2">
      <c r="A2612" t="str">
        <f t="shared" ca="1" si="80"/>
        <v/>
      </c>
      <c r="B2612">
        <f t="shared" ca="1" si="81"/>
        <v>0</v>
      </c>
    </row>
    <row r="2613" spans="1:2">
      <c r="A2613" t="str">
        <f t="shared" ca="1" si="80"/>
        <v/>
      </c>
      <c r="B2613">
        <f t="shared" ca="1" si="81"/>
        <v>0</v>
      </c>
    </row>
    <row r="2614" spans="1:2">
      <c r="A2614" t="str">
        <f t="shared" ca="1" si="80"/>
        <v/>
      </c>
      <c r="B2614">
        <f t="shared" ca="1" si="81"/>
        <v>0</v>
      </c>
    </row>
    <row r="2615" spans="1:2">
      <c r="A2615" t="str">
        <f t="shared" ca="1" si="80"/>
        <v/>
      </c>
      <c r="B2615">
        <f t="shared" ca="1" si="81"/>
        <v>0</v>
      </c>
    </row>
    <row r="2616" spans="1:2">
      <c r="A2616" t="str">
        <f t="shared" ca="1" si="80"/>
        <v/>
      </c>
      <c r="B2616">
        <f t="shared" ca="1" si="81"/>
        <v>0</v>
      </c>
    </row>
    <row r="2617" spans="1:2">
      <c r="A2617" t="str">
        <f t="shared" ca="1" si="80"/>
        <v/>
      </c>
      <c r="B2617">
        <f t="shared" ca="1" si="81"/>
        <v>0</v>
      </c>
    </row>
    <row r="2618" spans="1:2">
      <c r="A2618" t="str">
        <f t="shared" ca="1" si="80"/>
        <v/>
      </c>
      <c r="B2618">
        <f t="shared" ca="1" si="81"/>
        <v>0</v>
      </c>
    </row>
    <row r="2619" spans="1:2">
      <c r="A2619" t="str">
        <f t="shared" ca="1" si="80"/>
        <v/>
      </c>
      <c r="B2619">
        <f t="shared" ca="1" si="81"/>
        <v>0</v>
      </c>
    </row>
    <row r="2620" spans="1:2">
      <c r="A2620" t="str">
        <f t="shared" ca="1" si="80"/>
        <v/>
      </c>
      <c r="B2620">
        <f t="shared" ca="1" si="81"/>
        <v>0</v>
      </c>
    </row>
    <row r="2621" spans="1:2">
      <c r="A2621" t="str">
        <f t="shared" ca="1" si="80"/>
        <v/>
      </c>
      <c r="B2621">
        <f t="shared" ca="1" si="81"/>
        <v>0</v>
      </c>
    </row>
    <row r="2622" spans="1:2">
      <c r="A2622" t="str">
        <f t="shared" ca="1" si="80"/>
        <v/>
      </c>
      <c r="B2622">
        <f t="shared" ca="1" si="81"/>
        <v>0</v>
      </c>
    </row>
    <row r="2623" spans="1:2">
      <c r="A2623" t="str">
        <f t="shared" ca="1" si="80"/>
        <v/>
      </c>
      <c r="B2623">
        <f t="shared" ca="1" si="81"/>
        <v>0</v>
      </c>
    </row>
    <row r="2624" spans="1:2">
      <c r="A2624" t="str">
        <f t="shared" ca="1" si="80"/>
        <v/>
      </c>
      <c r="B2624">
        <f t="shared" ca="1" si="81"/>
        <v>0</v>
      </c>
    </row>
    <row r="2625" spans="1:2">
      <c r="A2625" t="str">
        <f t="shared" ca="1" si="80"/>
        <v/>
      </c>
      <c r="B2625">
        <f t="shared" ca="1" si="81"/>
        <v>0</v>
      </c>
    </row>
    <row r="2626" spans="1:2">
      <c r="A2626" t="str">
        <f t="shared" ref="A2626:A2689" ca="1" si="82">CONCATENATE(INDIRECT(ADDRESS(ROW(),3)))</f>
        <v/>
      </c>
      <c r="B2626">
        <f t="shared" ref="B2626:B2689" ca="1" si="83">IF(IF(INDIRECT(ADDRESS(ROW(),1))&lt;&gt;"",IF(ISNA(MATCH(LEFT(INDIRECT(ADDRESS(ROW(),1)),2),PCNG_MN,0))=TRUE,1,0),0)+IF(INDIRECT(ADDRESS(ROW(),1))&lt;&gt;"",IF(ISNA(MATCH(LEFT(INDIRECT(ADDRESS(ROW(),1)),3),PCNG_MN,0))=TRUE,1,0),0)+IF(INDIRECT(ADDRESS(ROW(),1))&lt;&gt;"",IF(ISNA(MATCH(LEFT(INDIRECT(ADDRESS(ROW(),1)),4),PCNG_MN,0))=TRUE,1,0),0)&gt;=3,1,0)</f>
        <v>0</v>
      </c>
    </row>
    <row r="2627" spans="1:2">
      <c r="A2627" t="str">
        <f t="shared" ca="1" si="82"/>
        <v/>
      </c>
      <c r="B2627">
        <f t="shared" ca="1" si="83"/>
        <v>0</v>
      </c>
    </row>
    <row r="2628" spans="1:2">
      <c r="A2628" t="str">
        <f t="shared" ca="1" si="82"/>
        <v/>
      </c>
      <c r="B2628">
        <f t="shared" ca="1" si="83"/>
        <v>0</v>
      </c>
    </row>
    <row r="2629" spans="1:2">
      <c r="A2629" t="str">
        <f t="shared" ca="1" si="82"/>
        <v/>
      </c>
      <c r="B2629">
        <f t="shared" ca="1" si="83"/>
        <v>0</v>
      </c>
    </row>
    <row r="2630" spans="1:2">
      <c r="A2630" t="str">
        <f t="shared" ca="1" si="82"/>
        <v/>
      </c>
      <c r="B2630">
        <f t="shared" ca="1" si="83"/>
        <v>0</v>
      </c>
    </row>
    <row r="2631" spans="1:2">
      <c r="A2631" t="str">
        <f t="shared" ca="1" si="82"/>
        <v/>
      </c>
      <c r="B2631">
        <f t="shared" ca="1" si="83"/>
        <v>0</v>
      </c>
    </row>
    <row r="2632" spans="1:2">
      <c r="A2632" t="str">
        <f t="shared" ca="1" si="82"/>
        <v/>
      </c>
      <c r="B2632">
        <f t="shared" ca="1" si="83"/>
        <v>0</v>
      </c>
    </row>
    <row r="2633" spans="1:2">
      <c r="A2633" t="str">
        <f t="shared" ca="1" si="82"/>
        <v/>
      </c>
      <c r="B2633">
        <f t="shared" ca="1" si="83"/>
        <v>0</v>
      </c>
    </row>
    <row r="2634" spans="1:2">
      <c r="A2634" t="str">
        <f t="shared" ca="1" si="82"/>
        <v/>
      </c>
      <c r="B2634">
        <f t="shared" ca="1" si="83"/>
        <v>0</v>
      </c>
    </row>
    <row r="2635" spans="1:2">
      <c r="A2635" t="str">
        <f t="shared" ca="1" si="82"/>
        <v/>
      </c>
      <c r="B2635">
        <f t="shared" ca="1" si="83"/>
        <v>0</v>
      </c>
    </row>
    <row r="2636" spans="1:2">
      <c r="A2636" t="str">
        <f t="shared" ca="1" si="82"/>
        <v/>
      </c>
      <c r="B2636">
        <f t="shared" ca="1" si="83"/>
        <v>0</v>
      </c>
    </row>
    <row r="2637" spans="1:2">
      <c r="A2637" t="str">
        <f t="shared" ca="1" si="82"/>
        <v/>
      </c>
      <c r="B2637">
        <f t="shared" ca="1" si="83"/>
        <v>0</v>
      </c>
    </row>
    <row r="2638" spans="1:2">
      <c r="A2638" t="str">
        <f t="shared" ca="1" si="82"/>
        <v/>
      </c>
      <c r="B2638">
        <f t="shared" ca="1" si="83"/>
        <v>0</v>
      </c>
    </row>
    <row r="2639" spans="1:2">
      <c r="A2639" t="str">
        <f t="shared" ca="1" si="82"/>
        <v/>
      </c>
      <c r="B2639">
        <f t="shared" ca="1" si="83"/>
        <v>0</v>
      </c>
    </row>
    <row r="2640" spans="1:2">
      <c r="A2640" t="str">
        <f t="shared" ca="1" si="82"/>
        <v/>
      </c>
      <c r="B2640">
        <f t="shared" ca="1" si="83"/>
        <v>0</v>
      </c>
    </row>
    <row r="2641" spans="1:2">
      <c r="A2641" t="str">
        <f t="shared" ca="1" si="82"/>
        <v/>
      </c>
      <c r="B2641">
        <f t="shared" ca="1" si="83"/>
        <v>0</v>
      </c>
    </row>
    <row r="2642" spans="1:2">
      <c r="A2642" t="str">
        <f t="shared" ca="1" si="82"/>
        <v/>
      </c>
      <c r="B2642">
        <f t="shared" ca="1" si="83"/>
        <v>0</v>
      </c>
    </row>
    <row r="2643" spans="1:2">
      <c r="A2643" t="str">
        <f t="shared" ca="1" si="82"/>
        <v/>
      </c>
      <c r="B2643">
        <f t="shared" ca="1" si="83"/>
        <v>0</v>
      </c>
    </row>
    <row r="2644" spans="1:2">
      <c r="A2644" t="str">
        <f t="shared" ca="1" si="82"/>
        <v/>
      </c>
      <c r="B2644">
        <f t="shared" ca="1" si="83"/>
        <v>0</v>
      </c>
    </row>
    <row r="2645" spans="1:2">
      <c r="A2645" t="str">
        <f t="shared" ca="1" si="82"/>
        <v/>
      </c>
      <c r="B2645">
        <f t="shared" ca="1" si="83"/>
        <v>0</v>
      </c>
    </row>
    <row r="2646" spans="1:2">
      <c r="A2646" t="str">
        <f t="shared" ca="1" si="82"/>
        <v/>
      </c>
      <c r="B2646">
        <f t="shared" ca="1" si="83"/>
        <v>0</v>
      </c>
    </row>
    <row r="2647" spans="1:2">
      <c r="A2647" t="str">
        <f t="shared" ca="1" si="82"/>
        <v/>
      </c>
      <c r="B2647">
        <f t="shared" ca="1" si="83"/>
        <v>0</v>
      </c>
    </row>
    <row r="2648" spans="1:2">
      <c r="A2648" t="str">
        <f t="shared" ca="1" si="82"/>
        <v/>
      </c>
      <c r="B2648">
        <f t="shared" ca="1" si="83"/>
        <v>0</v>
      </c>
    </row>
    <row r="2649" spans="1:2">
      <c r="A2649" t="str">
        <f t="shared" ca="1" si="82"/>
        <v/>
      </c>
      <c r="B2649">
        <f t="shared" ca="1" si="83"/>
        <v>0</v>
      </c>
    </row>
    <row r="2650" spans="1:2">
      <c r="A2650" t="str">
        <f t="shared" ca="1" si="82"/>
        <v/>
      </c>
      <c r="B2650">
        <f t="shared" ca="1" si="83"/>
        <v>0</v>
      </c>
    </row>
    <row r="2651" spans="1:2">
      <c r="A2651" t="str">
        <f t="shared" ca="1" si="82"/>
        <v/>
      </c>
      <c r="B2651">
        <f t="shared" ca="1" si="83"/>
        <v>0</v>
      </c>
    </row>
    <row r="2652" spans="1:2">
      <c r="A2652" t="str">
        <f t="shared" ca="1" si="82"/>
        <v/>
      </c>
      <c r="B2652">
        <f t="shared" ca="1" si="83"/>
        <v>0</v>
      </c>
    </row>
    <row r="2653" spans="1:2">
      <c r="A2653" t="str">
        <f t="shared" ca="1" si="82"/>
        <v/>
      </c>
      <c r="B2653">
        <f t="shared" ca="1" si="83"/>
        <v>0</v>
      </c>
    </row>
    <row r="2654" spans="1:2">
      <c r="A2654" t="str">
        <f t="shared" ca="1" si="82"/>
        <v/>
      </c>
      <c r="B2654">
        <f t="shared" ca="1" si="83"/>
        <v>0</v>
      </c>
    </row>
    <row r="2655" spans="1:2">
      <c r="A2655" t="str">
        <f t="shared" ca="1" si="82"/>
        <v/>
      </c>
      <c r="B2655">
        <f t="shared" ca="1" si="83"/>
        <v>0</v>
      </c>
    </row>
    <row r="2656" spans="1:2">
      <c r="A2656" t="str">
        <f t="shared" ca="1" si="82"/>
        <v/>
      </c>
      <c r="B2656">
        <f t="shared" ca="1" si="83"/>
        <v>0</v>
      </c>
    </row>
    <row r="2657" spans="1:2">
      <c r="A2657" t="str">
        <f t="shared" ca="1" si="82"/>
        <v/>
      </c>
      <c r="B2657">
        <f t="shared" ca="1" si="83"/>
        <v>0</v>
      </c>
    </row>
    <row r="2658" spans="1:2">
      <c r="A2658" t="str">
        <f t="shared" ca="1" si="82"/>
        <v/>
      </c>
      <c r="B2658">
        <f t="shared" ca="1" si="83"/>
        <v>0</v>
      </c>
    </row>
    <row r="2659" spans="1:2">
      <c r="A2659" t="str">
        <f t="shared" ca="1" si="82"/>
        <v/>
      </c>
      <c r="B2659">
        <f t="shared" ca="1" si="83"/>
        <v>0</v>
      </c>
    </row>
    <row r="2660" spans="1:2">
      <c r="A2660" t="str">
        <f t="shared" ca="1" si="82"/>
        <v/>
      </c>
      <c r="B2660">
        <f t="shared" ca="1" si="83"/>
        <v>0</v>
      </c>
    </row>
    <row r="2661" spans="1:2">
      <c r="A2661" t="str">
        <f t="shared" ca="1" si="82"/>
        <v/>
      </c>
      <c r="B2661">
        <f t="shared" ca="1" si="83"/>
        <v>0</v>
      </c>
    </row>
    <row r="2662" spans="1:2">
      <c r="A2662" t="str">
        <f t="shared" ca="1" si="82"/>
        <v/>
      </c>
      <c r="B2662">
        <f t="shared" ca="1" si="83"/>
        <v>0</v>
      </c>
    </row>
    <row r="2663" spans="1:2">
      <c r="A2663" t="str">
        <f t="shared" ca="1" si="82"/>
        <v/>
      </c>
      <c r="B2663">
        <f t="shared" ca="1" si="83"/>
        <v>0</v>
      </c>
    </row>
    <row r="2664" spans="1:2">
      <c r="A2664" t="str">
        <f t="shared" ca="1" si="82"/>
        <v/>
      </c>
      <c r="B2664">
        <f t="shared" ca="1" si="83"/>
        <v>0</v>
      </c>
    </row>
    <row r="2665" spans="1:2">
      <c r="A2665" t="str">
        <f t="shared" ca="1" si="82"/>
        <v/>
      </c>
      <c r="B2665">
        <f t="shared" ca="1" si="83"/>
        <v>0</v>
      </c>
    </row>
    <row r="2666" spans="1:2">
      <c r="A2666" t="str">
        <f t="shared" ca="1" si="82"/>
        <v/>
      </c>
      <c r="B2666">
        <f t="shared" ca="1" si="83"/>
        <v>0</v>
      </c>
    </row>
    <row r="2667" spans="1:2">
      <c r="A2667" t="str">
        <f t="shared" ca="1" si="82"/>
        <v/>
      </c>
      <c r="B2667">
        <f t="shared" ca="1" si="83"/>
        <v>0</v>
      </c>
    </row>
    <row r="2668" spans="1:2">
      <c r="A2668" t="str">
        <f t="shared" ca="1" si="82"/>
        <v/>
      </c>
      <c r="B2668">
        <f t="shared" ca="1" si="83"/>
        <v>0</v>
      </c>
    </row>
    <row r="2669" spans="1:2">
      <c r="A2669" t="str">
        <f t="shared" ca="1" si="82"/>
        <v/>
      </c>
      <c r="B2669">
        <f t="shared" ca="1" si="83"/>
        <v>0</v>
      </c>
    </row>
    <row r="2670" spans="1:2">
      <c r="A2670" t="str">
        <f t="shared" ca="1" si="82"/>
        <v/>
      </c>
      <c r="B2670">
        <f t="shared" ca="1" si="83"/>
        <v>0</v>
      </c>
    </row>
    <row r="2671" spans="1:2">
      <c r="A2671" t="str">
        <f t="shared" ca="1" si="82"/>
        <v/>
      </c>
      <c r="B2671">
        <f t="shared" ca="1" si="83"/>
        <v>0</v>
      </c>
    </row>
    <row r="2672" spans="1:2">
      <c r="A2672" t="str">
        <f t="shared" ca="1" si="82"/>
        <v/>
      </c>
      <c r="B2672">
        <f t="shared" ca="1" si="83"/>
        <v>0</v>
      </c>
    </row>
    <row r="2673" spans="1:2">
      <c r="A2673" t="str">
        <f t="shared" ca="1" si="82"/>
        <v/>
      </c>
      <c r="B2673">
        <f t="shared" ca="1" si="83"/>
        <v>0</v>
      </c>
    </row>
    <row r="2674" spans="1:2">
      <c r="A2674" t="str">
        <f t="shared" ca="1" si="82"/>
        <v/>
      </c>
      <c r="B2674">
        <f t="shared" ca="1" si="83"/>
        <v>0</v>
      </c>
    </row>
    <row r="2675" spans="1:2">
      <c r="A2675" t="str">
        <f t="shared" ca="1" si="82"/>
        <v/>
      </c>
      <c r="B2675">
        <f t="shared" ca="1" si="83"/>
        <v>0</v>
      </c>
    </row>
    <row r="2676" spans="1:2">
      <c r="A2676" t="str">
        <f t="shared" ca="1" si="82"/>
        <v/>
      </c>
      <c r="B2676">
        <f t="shared" ca="1" si="83"/>
        <v>0</v>
      </c>
    </row>
    <row r="2677" spans="1:2">
      <c r="A2677" t="str">
        <f t="shared" ca="1" si="82"/>
        <v/>
      </c>
      <c r="B2677">
        <f t="shared" ca="1" si="83"/>
        <v>0</v>
      </c>
    </row>
    <row r="2678" spans="1:2">
      <c r="A2678" t="str">
        <f t="shared" ca="1" si="82"/>
        <v/>
      </c>
      <c r="B2678">
        <f t="shared" ca="1" si="83"/>
        <v>0</v>
      </c>
    </row>
    <row r="2679" spans="1:2">
      <c r="A2679" t="str">
        <f t="shared" ca="1" si="82"/>
        <v/>
      </c>
      <c r="B2679">
        <f t="shared" ca="1" si="83"/>
        <v>0</v>
      </c>
    </row>
    <row r="2680" spans="1:2">
      <c r="A2680" t="str">
        <f t="shared" ca="1" si="82"/>
        <v/>
      </c>
      <c r="B2680">
        <f t="shared" ca="1" si="83"/>
        <v>0</v>
      </c>
    </row>
    <row r="2681" spans="1:2">
      <c r="A2681" t="str">
        <f t="shared" ca="1" si="82"/>
        <v/>
      </c>
      <c r="B2681">
        <f t="shared" ca="1" si="83"/>
        <v>0</v>
      </c>
    </row>
    <row r="2682" spans="1:2">
      <c r="A2682" t="str">
        <f t="shared" ca="1" si="82"/>
        <v/>
      </c>
      <c r="B2682">
        <f t="shared" ca="1" si="83"/>
        <v>0</v>
      </c>
    </row>
    <row r="2683" spans="1:2">
      <c r="A2683" t="str">
        <f t="shared" ca="1" si="82"/>
        <v/>
      </c>
      <c r="B2683">
        <f t="shared" ca="1" si="83"/>
        <v>0</v>
      </c>
    </row>
    <row r="2684" spans="1:2">
      <c r="A2684" t="str">
        <f t="shared" ca="1" si="82"/>
        <v/>
      </c>
      <c r="B2684">
        <f t="shared" ca="1" si="83"/>
        <v>0</v>
      </c>
    </row>
    <row r="2685" spans="1:2">
      <c r="A2685" t="str">
        <f t="shared" ca="1" si="82"/>
        <v/>
      </c>
      <c r="B2685">
        <f t="shared" ca="1" si="83"/>
        <v>0</v>
      </c>
    </row>
    <row r="2686" spans="1:2">
      <c r="A2686" t="str">
        <f t="shared" ca="1" si="82"/>
        <v/>
      </c>
      <c r="B2686">
        <f t="shared" ca="1" si="83"/>
        <v>0</v>
      </c>
    </row>
    <row r="2687" spans="1:2">
      <c r="A2687" t="str">
        <f t="shared" ca="1" si="82"/>
        <v/>
      </c>
      <c r="B2687">
        <f t="shared" ca="1" si="83"/>
        <v>0</v>
      </c>
    </row>
    <row r="2688" spans="1:2">
      <c r="A2688" t="str">
        <f t="shared" ca="1" si="82"/>
        <v/>
      </c>
      <c r="B2688">
        <f t="shared" ca="1" si="83"/>
        <v>0</v>
      </c>
    </row>
    <row r="2689" spans="1:2">
      <c r="A2689" t="str">
        <f t="shared" ca="1" si="82"/>
        <v/>
      </c>
      <c r="B2689">
        <f t="shared" ca="1" si="83"/>
        <v>0</v>
      </c>
    </row>
    <row r="2690" spans="1:2">
      <c r="A2690" t="str">
        <f t="shared" ref="A2690:A2753" ca="1" si="84">CONCATENATE(INDIRECT(ADDRESS(ROW(),3)))</f>
        <v/>
      </c>
      <c r="B2690">
        <f t="shared" ref="B2690:B2753" ca="1" si="85">IF(IF(INDIRECT(ADDRESS(ROW(),1))&lt;&gt;"",IF(ISNA(MATCH(LEFT(INDIRECT(ADDRESS(ROW(),1)),2),PCNG_MN,0))=TRUE,1,0),0)+IF(INDIRECT(ADDRESS(ROW(),1))&lt;&gt;"",IF(ISNA(MATCH(LEFT(INDIRECT(ADDRESS(ROW(),1)),3),PCNG_MN,0))=TRUE,1,0),0)+IF(INDIRECT(ADDRESS(ROW(),1))&lt;&gt;"",IF(ISNA(MATCH(LEFT(INDIRECT(ADDRESS(ROW(),1)),4),PCNG_MN,0))=TRUE,1,0),0)&gt;=3,1,0)</f>
        <v>0</v>
      </c>
    </row>
    <row r="2691" spans="1:2">
      <c r="A2691" t="str">
        <f t="shared" ca="1" si="84"/>
        <v/>
      </c>
      <c r="B2691">
        <f t="shared" ca="1" si="85"/>
        <v>0</v>
      </c>
    </row>
    <row r="2692" spans="1:2">
      <c r="A2692" t="str">
        <f t="shared" ca="1" si="84"/>
        <v/>
      </c>
      <c r="B2692">
        <f t="shared" ca="1" si="85"/>
        <v>0</v>
      </c>
    </row>
    <row r="2693" spans="1:2">
      <c r="A2693" t="str">
        <f t="shared" ca="1" si="84"/>
        <v/>
      </c>
      <c r="B2693">
        <f t="shared" ca="1" si="85"/>
        <v>0</v>
      </c>
    </row>
    <row r="2694" spans="1:2">
      <c r="A2694" t="str">
        <f t="shared" ca="1" si="84"/>
        <v/>
      </c>
      <c r="B2694">
        <f t="shared" ca="1" si="85"/>
        <v>0</v>
      </c>
    </row>
    <row r="2695" spans="1:2">
      <c r="A2695" t="str">
        <f t="shared" ca="1" si="84"/>
        <v/>
      </c>
      <c r="B2695">
        <f t="shared" ca="1" si="85"/>
        <v>0</v>
      </c>
    </row>
    <row r="2696" spans="1:2">
      <c r="A2696" t="str">
        <f t="shared" ca="1" si="84"/>
        <v/>
      </c>
      <c r="B2696">
        <f t="shared" ca="1" si="85"/>
        <v>0</v>
      </c>
    </row>
    <row r="2697" spans="1:2">
      <c r="A2697" t="str">
        <f t="shared" ca="1" si="84"/>
        <v/>
      </c>
      <c r="B2697">
        <f t="shared" ca="1" si="85"/>
        <v>0</v>
      </c>
    </row>
    <row r="2698" spans="1:2">
      <c r="A2698" t="str">
        <f t="shared" ca="1" si="84"/>
        <v/>
      </c>
      <c r="B2698">
        <f t="shared" ca="1" si="85"/>
        <v>0</v>
      </c>
    </row>
    <row r="2699" spans="1:2">
      <c r="A2699" t="str">
        <f t="shared" ca="1" si="84"/>
        <v/>
      </c>
      <c r="B2699">
        <f t="shared" ca="1" si="85"/>
        <v>0</v>
      </c>
    </row>
    <row r="2700" spans="1:2">
      <c r="A2700" t="str">
        <f t="shared" ca="1" si="84"/>
        <v/>
      </c>
      <c r="B2700">
        <f t="shared" ca="1" si="85"/>
        <v>0</v>
      </c>
    </row>
    <row r="2701" spans="1:2">
      <c r="A2701" t="str">
        <f t="shared" ca="1" si="84"/>
        <v/>
      </c>
      <c r="B2701">
        <f t="shared" ca="1" si="85"/>
        <v>0</v>
      </c>
    </row>
    <row r="2702" spans="1:2">
      <c r="A2702" t="str">
        <f t="shared" ca="1" si="84"/>
        <v/>
      </c>
      <c r="B2702">
        <f t="shared" ca="1" si="85"/>
        <v>0</v>
      </c>
    </row>
    <row r="2703" spans="1:2">
      <c r="A2703" t="str">
        <f t="shared" ca="1" si="84"/>
        <v/>
      </c>
      <c r="B2703">
        <f t="shared" ca="1" si="85"/>
        <v>0</v>
      </c>
    </row>
    <row r="2704" spans="1:2">
      <c r="A2704" t="str">
        <f t="shared" ca="1" si="84"/>
        <v/>
      </c>
      <c r="B2704">
        <f t="shared" ca="1" si="85"/>
        <v>0</v>
      </c>
    </row>
    <row r="2705" spans="1:2">
      <c r="A2705" t="str">
        <f t="shared" ca="1" si="84"/>
        <v/>
      </c>
      <c r="B2705">
        <f t="shared" ca="1" si="85"/>
        <v>0</v>
      </c>
    </row>
    <row r="2706" spans="1:2">
      <c r="A2706" t="str">
        <f t="shared" ca="1" si="84"/>
        <v/>
      </c>
      <c r="B2706">
        <f t="shared" ca="1" si="85"/>
        <v>0</v>
      </c>
    </row>
    <row r="2707" spans="1:2">
      <c r="A2707" t="str">
        <f t="shared" ca="1" si="84"/>
        <v/>
      </c>
      <c r="B2707">
        <f t="shared" ca="1" si="85"/>
        <v>0</v>
      </c>
    </row>
    <row r="2708" spans="1:2">
      <c r="A2708" t="str">
        <f t="shared" ca="1" si="84"/>
        <v/>
      </c>
      <c r="B2708">
        <f t="shared" ca="1" si="85"/>
        <v>0</v>
      </c>
    </row>
    <row r="2709" spans="1:2">
      <c r="A2709" t="str">
        <f t="shared" ca="1" si="84"/>
        <v/>
      </c>
      <c r="B2709">
        <f t="shared" ca="1" si="85"/>
        <v>0</v>
      </c>
    </row>
    <row r="2710" spans="1:2">
      <c r="A2710" t="str">
        <f t="shared" ca="1" si="84"/>
        <v/>
      </c>
      <c r="B2710">
        <f t="shared" ca="1" si="85"/>
        <v>0</v>
      </c>
    </row>
    <row r="2711" spans="1:2">
      <c r="A2711" t="str">
        <f t="shared" ca="1" si="84"/>
        <v/>
      </c>
      <c r="B2711">
        <f t="shared" ca="1" si="85"/>
        <v>0</v>
      </c>
    </row>
    <row r="2712" spans="1:2">
      <c r="A2712" t="str">
        <f t="shared" ca="1" si="84"/>
        <v/>
      </c>
      <c r="B2712">
        <f t="shared" ca="1" si="85"/>
        <v>0</v>
      </c>
    </row>
    <row r="2713" spans="1:2">
      <c r="A2713" t="str">
        <f t="shared" ca="1" si="84"/>
        <v/>
      </c>
      <c r="B2713">
        <f t="shared" ca="1" si="85"/>
        <v>0</v>
      </c>
    </row>
    <row r="2714" spans="1:2">
      <c r="A2714" t="str">
        <f t="shared" ca="1" si="84"/>
        <v/>
      </c>
      <c r="B2714">
        <f t="shared" ca="1" si="85"/>
        <v>0</v>
      </c>
    </row>
    <row r="2715" spans="1:2">
      <c r="A2715" t="str">
        <f t="shared" ca="1" si="84"/>
        <v/>
      </c>
      <c r="B2715">
        <f t="shared" ca="1" si="85"/>
        <v>0</v>
      </c>
    </row>
    <row r="2716" spans="1:2">
      <c r="A2716" t="str">
        <f t="shared" ca="1" si="84"/>
        <v/>
      </c>
      <c r="B2716">
        <f t="shared" ca="1" si="85"/>
        <v>0</v>
      </c>
    </row>
    <row r="2717" spans="1:2">
      <c r="A2717" t="str">
        <f t="shared" ca="1" si="84"/>
        <v/>
      </c>
      <c r="B2717">
        <f t="shared" ca="1" si="85"/>
        <v>0</v>
      </c>
    </row>
    <row r="2718" spans="1:2">
      <c r="A2718" t="str">
        <f t="shared" ca="1" si="84"/>
        <v/>
      </c>
      <c r="B2718">
        <f t="shared" ca="1" si="85"/>
        <v>0</v>
      </c>
    </row>
    <row r="2719" spans="1:2">
      <c r="A2719" t="str">
        <f t="shared" ca="1" si="84"/>
        <v/>
      </c>
      <c r="B2719">
        <f t="shared" ca="1" si="85"/>
        <v>0</v>
      </c>
    </row>
    <row r="2720" spans="1:2">
      <c r="A2720" t="str">
        <f t="shared" ca="1" si="84"/>
        <v/>
      </c>
      <c r="B2720">
        <f t="shared" ca="1" si="85"/>
        <v>0</v>
      </c>
    </row>
    <row r="2721" spans="1:2">
      <c r="A2721" t="str">
        <f t="shared" ca="1" si="84"/>
        <v/>
      </c>
      <c r="B2721">
        <f t="shared" ca="1" si="85"/>
        <v>0</v>
      </c>
    </row>
    <row r="2722" spans="1:2">
      <c r="A2722" t="str">
        <f t="shared" ca="1" si="84"/>
        <v/>
      </c>
      <c r="B2722">
        <f t="shared" ca="1" si="85"/>
        <v>0</v>
      </c>
    </row>
    <row r="2723" spans="1:2">
      <c r="A2723" t="str">
        <f t="shared" ca="1" si="84"/>
        <v/>
      </c>
      <c r="B2723">
        <f t="shared" ca="1" si="85"/>
        <v>0</v>
      </c>
    </row>
    <row r="2724" spans="1:2">
      <c r="A2724" t="str">
        <f t="shared" ca="1" si="84"/>
        <v/>
      </c>
      <c r="B2724">
        <f t="shared" ca="1" si="85"/>
        <v>0</v>
      </c>
    </row>
    <row r="2725" spans="1:2">
      <c r="A2725" t="str">
        <f t="shared" ca="1" si="84"/>
        <v/>
      </c>
      <c r="B2725">
        <f t="shared" ca="1" si="85"/>
        <v>0</v>
      </c>
    </row>
    <row r="2726" spans="1:2">
      <c r="A2726" t="str">
        <f t="shared" ca="1" si="84"/>
        <v/>
      </c>
      <c r="B2726">
        <f t="shared" ca="1" si="85"/>
        <v>0</v>
      </c>
    </row>
    <row r="2727" spans="1:2">
      <c r="A2727" t="str">
        <f t="shared" ca="1" si="84"/>
        <v/>
      </c>
      <c r="B2727">
        <f t="shared" ca="1" si="85"/>
        <v>0</v>
      </c>
    </row>
    <row r="2728" spans="1:2">
      <c r="A2728" t="str">
        <f t="shared" ca="1" si="84"/>
        <v/>
      </c>
      <c r="B2728">
        <f t="shared" ca="1" si="85"/>
        <v>0</v>
      </c>
    </row>
    <row r="2729" spans="1:2">
      <c r="A2729" t="str">
        <f t="shared" ca="1" si="84"/>
        <v/>
      </c>
      <c r="B2729">
        <f t="shared" ca="1" si="85"/>
        <v>0</v>
      </c>
    </row>
    <row r="2730" spans="1:2">
      <c r="A2730" t="str">
        <f t="shared" ca="1" si="84"/>
        <v/>
      </c>
      <c r="B2730">
        <f t="shared" ca="1" si="85"/>
        <v>0</v>
      </c>
    </row>
    <row r="2731" spans="1:2">
      <c r="A2731" t="str">
        <f t="shared" ca="1" si="84"/>
        <v/>
      </c>
      <c r="B2731">
        <f t="shared" ca="1" si="85"/>
        <v>0</v>
      </c>
    </row>
    <row r="2732" spans="1:2">
      <c r="A2732" t="str">
        <f t="shared" ca="1" si="84"/>
        <v/>
      </c>
      <c r="B2732">
        <f t="shared" ca="1" si="85"/>
        <v>0</v>
      </c>
    </row>
    <row r="2733" spans="1:2">
      <c r="A2733" t="str">
        <f t="shared" ca="1" si="84"/>
        <v/>
      </c>
      <c r="B2733">
        <f t="shared" ca="1" si="85"/>
        <v>0</v>
      </c>
    </row>
    <row r="2734" spans="1:2">
      <c r="A2734" t="str">
        <f t="shared" ca="1" si="84"/>
        <v/>
      </c>
      <c r="B2734">
        <f t="shared" ca="1" si="85"/>
        <v>0</v>
      </c>
    </row>
    <row r="2735" spans="1:2">
      <c r="A2735" t="str">
        <f t="shared" ca="1" si="84"/>
        <v/>
      </c>
      <c r="B2735">
        <f t="shared" ca="1" si="85"/>
        <v>0</v>
      </c>
    </row>
    <row r="2736" spans="1:2">
      <c r="A2736" t="str">
        <f t="shared" ca="1" si="84"/>
        <v/>
      </c>
      <c r="B2736">
        <f t="shared" ca="1" si="85"/>
        <v>0</v>
      </c>
    </row>
    <row r="2737" spans="1:2">
      <c r="A2737" t="str">
        <f t="shared" ca="1" si="84"/>
        <v/>
      </c>
      <c r="B2737">
        <f t="shared" ca="1" si="85"/>
        <v>0</v>
      </c>
    </row>
    <row r="2738" spans="1:2">
      <c r="A2738" t="str">
        <f t="shared" ca="1" si="84"/>
        <v/>
      </c>
      <c r="B2738">
        <f t="shared" ca="1" si="85"/>
        <v>0</v>
      </c>
    </row>
    <row r="2739" spans="1:2">
      <c r="A2739" t="str">
        <f t="shared" ca="1" si="84"/>
        <v/>
      </c>
      <c r="B2739">
        <f t="shared" ca="1" si="85"/>
        <v>0</v>
      </c>
    </row>
    <row r="2740" spans="1:2">
      <c r="A2740" t="str">
        <f t="shared" ca="1" si="84"/>
        <v/>
      </c>
      <c r="B2740">
        <f t="shared" ca="1" si="85"/>
        <v>0</v>
      </c>
    </row>
    <row r="2741" spans="1:2">
      <c r="A2741" t="str">
        <f t="shared" ca="1" si="84"/>
        <v/>
      </c>
      <c r="B2741">
        <f t="shared" ca="1" si="85"/>
        <v>0</v>
      </c>
    </row>
    <row r="2742" spans="1:2">
      <c r="A2742" t="str">
        <f t="shared" ca="1" si="84"/>
        <v/>
      </c>
      <c r="B2742">
        <f t="shared" ca="1" si="85"/>
        <v>0</v>
      </c>
    </row>
    <row r="2743" spans="1:2">
      <c r="A2743" t="str">
        <f t="shared" ca="1" si="84"/>
        <v/>
      </c>
      <c r="B2743">
        <f t="shared" ca="1" si="85"/>
        <v>0</v>
      </c>
    </row>
    <row r="2744" spans="1:2">
      <c r="A2744" t="str">
        <f t="shared" ca="1" si="84"/>
        <v/>
      </c>
      <c r="B2744">
        <f t="shared" ca="1" si="85"/>
        <v>0</v>
      </c>
    </row>
    <row r="2745" spans="1:2">
      <c r="A2745" t="str">
        <f t="shared" ca="1" si="84"/>
        <v/>
      </c>
      <c r="B2745">
        <f t="shared" ca="1" si="85"/>
        <v>0</v>
      </c>
    </row>
    <row r="2746" spans="1:2">
      <c r="A2746" t="str">
        <f t="shared" ca="1" si="84"/>
        <v/>
      </c>
      <c r="B2746">
        <f t="shared" ca="1" si="85"/>
        <v>0</v>
      </c>
    </row>
    <row r="2747" spans="1:2">
      <c r="A2747" t="str">
        <f t="shared" ca="1" si="84"/>
        <v/>
      </c>
      <c r="B2747">
        <f t="shared" ca="1" si="85"/>
        <v>0</v>
      </c>
    </row>
    <row r="2748" spans="1:2">
      <c r="A2748" t="str">
        <f t="shared" ca="1" si="84"/>
        <v/>
      </c>
      <c r="B2748">
        <f t="shared" ca="1" si="85"/>
        <v>0</v>
      </c>
    </row>
    <row r="2749" spans="1:2">
      <c r="A2749" t="str">
        <f t="shared" ca="1" si="84"/>
        <v/>
      </c>
      <c r="B2749">
        <f t="shared" ca="1" si="85"/>
        <v>0</v>
      </c>
    </row>
    <row r="2750" spans="1:2">
      <c r="A2750" t="str">
        <f t="shared" ca="1" si="84"/>
        <v/>
      </c>
      <c r="B2750">
        <f t="shared" ca="1" si="85"/>
        <v>0</v>
      </c>
    </row>
    <row r="2751" spans="1:2">
      <c r="A2751" t="str">
        <f t="shared" ca="1" si="84"/>
        <v/>
      </c>
      <c r="B2751">
        <f t="shared" ca="1" si="85"/>
        <v>0</v>
      </c>
    </row>
    <row r="2752" spans="1:2">
      <c r="A2752" t="str">
        <f t="shared" ca="1" si="84"/>
        <v/>
      </c>
      <c r="B2752">
        <f t="shared" ca="1" si="85"/>
        <v>0</v>
      </c>
    </row>
    <row r="2753" spans="1:2">
      <c r="A2753" t="str">
        <f t="shared" ca="1" si="84"/>
        <v/>
      </c>
      <c r="B2753">
        <f t="shared" ca="1" si="85"/>
        <v>0</v>
      </c>
    </row>
    <row r="2754" spans="1:2">
      <c r="A2754" t="str">
        <f t="shared" ref="A2754:A2817" ca="1" si="86">CONCATENATE(INDIRECT(ADDRESS(ROW(),3)))</f>
        <v/>
      </c>
      <c r="B2754">
        <f t="shared" ref="B2754:B2817" ca="1" si="87">IF(IF(INDIRECT(ADDRESS(ROW(),1))&lt;&gt;"",IF(ISNA(MATCH(LEFT(INDIRECT(ADDRESS(ROW(),1)),2),PCNG_MN,0))=TRUE,1,0),0)+IF(INDIRECT(ADDRESS(ROW(),1))&lt;&gt;"",IF(ISNA(MATCH(LEFT(INDIRECT(ADDRESS(ROW(),1)),3),PCNG_MN,0))=TRUE,1,0),0)+IF(INDIRECT(ADDRESS(ROW(),1))&lt;&gt;"",IF(ISNA(MATCH(LEFT(INDIRECT(ADDRESS(ROW(),1)),4),PCNG_MN,0))=TRUE,1,0),0)&gt;=3,1,0)</f>
        <v>0</v>
      </c>
    </row>
    <row r="2755" spans="1:2">
      <c r="A2755" t="str">
        <f t="shared" ca="1" si="86"/>
        <v/>
      </c>
      <c r="B2755">
        <f t="shared" ca="1" si="87"/>
        <v>0</v>
      </c>
    </row>
    <row r="2756" spans="1:2">
      <c r="A2756" t="str">
        <f t="shared" ca="1" si="86"/>
        <v/>
      </c>
      <c r="B2756">
        <f t="shared" ca="1" si="87"/>
        <v>0</v>
      </c>
    </row>
    <row r="2757" spans="1:2">
      <c r="A2757" t="str">
        <f t="shared" ca="1" si="86"/>
        <v/>
      </c>
      <c r="B2757">
        <f t="shared" ca="1" si="87"/>
        <v>0</v>
      </c>
    </row>
    <row r="2758" spans="1:2">
      <c r="A2758" t="str">
        <f t="shared" ca="1" si="86"/>
        <v/>
      </c>
      <c r="B2758">
        <f t="shared" ca="1" si="87"/>
        <v>0</v>
      </c>
    </row>
    <row r="2759" spans="1:2">
      <c r="A2759" t="str">
        <f t="shared" ca="1" si="86"/>
        <v/>
      </c>
      <c r="B2759">
        <f t="shared" ca="1" si="87"/>
        <v>0</v>
      </c>
    </row>
    <row r="2760" spans="1:2">
      <c r="A2760" t="str">
        <f t="shared" ca="1" si="86"/>
        <v/>
      </c>
      <c r="B2760">
        <f t="shared" ca="1" si="87"/>
        <v>0</v>
      </c>
    </row>
    <row r="2761" spans="1:2">
      <c r="A2761" t="str">
        <f t="shared" ca="1" si="86"/>
        <v/>
      </c>
      <c r="B2761">
        <f t="shared" ca="1" si="87"/>
        <v>0</v>
      </c>
    </row>
    <row r="2762" spans="1:2">
      <c r="A2762" t="str">
        <f t="shared" ca="1" si="86"/>
        <v/>
      </c>
      <c r="B2762">
        <f t="shared" ca="1" si="87"/>
        <v>0</v>
      </c>
    </row>
    <row r="2763" spans="1:2">
      <c r="A2763" t="str">
        <f t="shared" ca="1" si="86"/>
        <v/>
      </c>
      <c r="B2763">
        <f t="shared" ca="1" si="87"/>
        <v>0</v>
      </c>
    </row>
    <row r="2764" spans="1:2">
      <c r="A2764" t="str">
        <f t="shared" ca="1" si="86"/>
        <v/>
      </c>
      <c r="B2764">
        <f t="shared" ca="1" si="87"/>
        <v>0</v>
      </c>
    </row>
    <row r="2765" spans="1:2">
      <c r="A2765" t="str">
        <f t="shared" ca="1" si="86"/>
        <v/>
      </c>
      <c r="B2765">
        <f t="shared" ca="1" si="87"/>
        <v>0</v>
      </c>
    </row>
    <row r="2766" spans="1:2">
      <c r="A2766" t="str">
        <f t="shared" ca="1" si="86"/>
        <v/>
      </c>
      <c r="B2766">
        <f t="shared" ca="1" si="87"/>
        <v>0</v>
      </c>
    </row>
    <row r="2767" spans="1:2">
      <c r="A2767" t="str">
        <f t="shared" ca="1" si="86"/>
        <v/>
      </c>
      <c r="B2767">
        <f t="shared" ca="1" si="87"/>
        <v>0</v>
      </c>
    </row>
    <row r="2768" spans="1:2">
      <c r="A2768" t="str">
        <f t="shared" ca="1" si="86"/>
        <v/>
      </c>
      <c r="B2768">
        <f t="shared" ca="1" si="87"/>
        <v>0</v>
      </c>
    </row>
    <row r="2769" spans="1:2">
      <c r="A2769" t="str">
        <f t="shared" ca="1" si="86"/>
        <v/>
      </c>
      <c r="B2769">
        <f t="shared" ca="1" si="87"/>
        <v>0</v>
      </c>
    </row>
    <row r="2770" spans="1:2">
      <c r="A2770" t="str">
        <f t="shared" ca="1" si="86"/>
        <v/>
      </c>
      <c r="B2770">
        <f t="shared" ca="1" si="87"/>
        <v>0</v>
      </c>
    </row>
    <row r="2771" spans="1:2">
      <c r="A2771" t="str">
        <f t="shared" ca="1" si="86"/>
        <v/>
      </c>
      <c r="B2771">
        <f t="shared" ca="1" si="87"/>
        <v>0</v>
      </c>
    </row>
    <row r="2772" spans="1:2">
      <c r="A2772" t="str">
        <f t="shared" ca="1" si="86"/>
        <v/>
      </c>
      <c r="B2772">
        <f t="shared" ca="1" si="87"/>
        <v>0</v>
      </c>
    </row>
    <row r="2773" spans="1:2">
      <c r="A2773" t="str">
        <f t="shared" ca="1" si="86"/>
        <v/>
      </c>
      <c r="B2773">
        <f t="shared" ca="1" si="87"/>
        <v>0</v>
      </c>
    </row>
    <row r="2774" spans="1:2">
      <c r="A2774" t="str">
        <f t="shared" ca="1" si="86"/>
        <v/>
      </c>
      <c r="B2774">
        <f t="shared" ca="1" si="87"/>
        <v>0</v>
      </c>
    </row>
    <row r="2775" spans="1:2">
      <c r="A2775" t="str">
        <f t="shared" ca="1" si="86"/>
        <v/>
      </c>
      <c r="B2775">
        <f t="shared" ca="1" si="87"/>
        <v>0</v>
      </c>
    </row>
    <row r="2776" spans="1:2">
      <c r="A2776" t="str">
        <f t="shared" ca="1" si="86"/>
        <v/>
      </c>
      <c r="B2776">
        <f t="shared" ca="1" si="87"/>
        <v>0</v>
      </c>
    </row>
    <row r="2777" spans="1:2">
      <c r="A2777" t="str">
        <f t="shared" ca="1" si="86"/>
        <v/>
      </c>
      <c r="B2777">
        <f t="shared" ca="1" si="87"/>
        <v>0</v>
      </c>
    </row>
    <row r="2778" spans="1:2">
      <c r="A2778" t="str">
        <f t="shared" ca="1" si="86"/>
        <v/>
      </c>
      <c r="B2778">
        <f t="shared" ca="1" si="87"/>
        <v>0</v>
      </c>
    </row>
    <row r="2779" spans="1:2">
      <c r="A2779" t="str">
        <f t="shared" ca="1" si="86"/>
        <v/>
      </c>
      <c r="B2779">
        <f t="shared" ca="1" si="87"/>
        <v>0</v>
      </c>
    </row>
    <row r="2780" spans="1:2">
      <c r="A2780" t="str">
        <f t="shared" ca="1" si="86"/>
        <v/>
      </c>
      <c r="B2780">
        <f t="shared" ca="1" si="87"/>
        <v>0</v>
      </c>
    </row>
    <row r="2781" spans="1:2">
      <c r="A2781" t="str">
        <f t="shared" ca="1" si="86"/>
        <v/>
      </c>
      <c r="B2781">
        <f t="shared" ca="1" si="87"/>
        <v>0</v>
      </c>
    </row>
    <row r="2782" spans="1:2">
      <c r="A2782" t="str">
        <f t="shared" ca="1" si="86"/>
        <v/>
      </c>
      <c r="B2782">
        <f t="shared" ca="1" si="87"/>
        <v>0</v>
      </c>
    </row>
    <row r="2783" spans="1:2">
      <c r="A2783" t="str">
        <f t="shared" ca="1" si="86"/>
        <v/>
      </c>
      <c r="B2783">
        <f t="shared" ca="1" si="87"/>
        <v>0</v>
      </c>
    </row>
    <row r="2784" spans="1:2">
      <c r="A2784" t="str">
        <f t="shared" ca="1" si="86"/>
        <v/>
      </c>
      <c r="B2784">
        <f t="shared" ca="1" si="87"/>
        <v>0</v>
      </c>
    </row>
    <row r="2785" spans="1:2">
      <c r="A2785" t="str">
        <f t="shared" ca="1" si="86"/>
        <v/>
      </c>
      <c r="B2785">
        <f t="shared" ca="1" si="87"/>
        <v>0</v>
      </c>
    </row>
    <row r="2786" spans="1:2">
      <c r="A2786" t="str">
        <f t="shared" ca="1" si="86"/>
        <v/>
      </c>
      <c r="B2786">
        <f t="shared" ca="1" si="87"/>
        <v>0</v>
      </c>
    </row>
    <row r="2787" spans="1:2">
      <c r="A2787" t="str">
        <f t="shared" ca="1" si="86"/>
        <v/>
      </c>
      <c r="B2787">
        <f t="shared" ca="1" si="87"/>
        <v>0</v>
      </c>
    </row>
    <row r="2788" spans="1:2">
      <c r="A2788" t="str">
        <f t="shared" ca="1" si="86"/>
        <v/>
      </c>
      <c r="B2788">
        <f t="shared" ca="1" si="87"/>
        <v>0</v>
      </c>
    </row>
    <row r="2789" spans="1:2">
      <c r="A2789" t="str">
        <f t="shared" ca="1" si="86"/>
        <v/>
      </c>
      <c r="B2789">
        <f t="shared" ca="1" si="87"/>
        <v>0</v>
      </c>
    </row>
    <row r="2790" spans="1:2">
      <c r="A2790" t="str">
        <f t="shared" ca="1" si="86"/>
        <v/>
      </c>
      <c r="B2790">
        <f t="shared" ca="1" si="87"/>
        <v>0</v>
      </c>
    </row>
    <row r="2791" spans="1:2">
      <c r="A2791" t="str">
        <f t="shared" ca="1" si="86"/>
        <v/>
      </c>
      <c r="B2791">
        <f t="shared" ca="1" si="87"/>
        <v>0</v>
      </c>
    </row>
    <row r="2792" spans="1:2">
      <c r="A2792" t="str">
        <f t="shared" ca="1" si="86"/>
        <v/>
      </c>
      <c r="B2792">
        <f t="shared" ca="1" si="87"/>
        <v>0</v>
      </c>
    </row>
    <row r="2793" spans="1:2">
      <c r="A2793" t="str">
        <f t="shared" ca="1" si="86"/>
        <v/>
      </c>
      <c r="B2793">
        <f t="shared" ca="1" si="87"/>
        <v>0</v>
      </c>
    </row>
    <row r="2794" spans="1:2">
      <c r="A2794" t="str">
        <f t="shared" ca="1" si="86"/>
        <v/>
      </c>
      <c r="B2794">
        <f t="shared" ca="1" si="87"/>
        <v>0</v>
      </c>
    </row>
    <row r="2795" spans="1:2">
      <c r="A2795" t="str">
        <f t="shared" ca="1" si="86"/>
        <v/>
      </c>
      <c r="B2795">
        <f t="shared" ca="1" si="87"/>
        <v>0</v>
      </c>
    </row>
    <row r="2796" spans="1:2">
      <c r="A2796" t="str">
        <f t="shared" ca="1" si="86"/>
        <v/>
      </c>
      <c r="B2796">
        <f t="shared" ca="1" si="87"/>
        <v>0</v>
      </c>
    </row>
    <row r="2797" spans="1:2">
      <c r="A2797" t="str">
        <f t="shared" ca="1" si="86"/>
        <v/>
      </c>
      <c r="B2797">
        <f t="shared" ca="1" si="87"/>
        <v>0</v>
      </c>
    </row>
    <row r="2798" spans="1:2">
      <c r="A2798" t="str">
        <f t="shared" ca="1" si="86"/>
        <v/>
      </c>
      <c r="B2798">
        <f t="shared" ca="1" si="87"/>
        <v>0</v>
      </c>
    </row>
    <row r="2799" spans="1:2">
      <c r="A2799" t="str">
        <f t="shared" ca="1" si="86"/>
        <v/>
      </c>
      <c r="B2799">
        <f t="shared" ca="1" si="87"/>
        <v>0</v>
      </c>
    </row>
    <row r="2800" spans="1:2">
      <c r="A2800" t="str">
        <f t="shared" ca="1" si="86"/>
        <v/>
      </c>
      <c r="B2800">
        <f t="shared" ca="1" si="87"/>
        <v>0</v>
      </c>
    </row>
    <row r="2801" spans="1:2">
      <c r="A2801" t="str">
        <f t="shared" ca="1" si="86"/>
        <v/>
      </c>
      <c r="B2801">
        <f t="shared" ca="1" si="87"/>
        <v>0</v>
      </c>
    </row>
    <row r="2802" spans="1:2">
      <c r="A2802" t="str">
        <f t="shared" ca="1" si="86"/>
        <v/>
      </c>
      <c r="B2802">
        <f t="shared" ca="1" si="87"/>
        <v>0</v>
      </c>
    </row>
    <row r="2803" spans="1:2">
      <c r="A2803" t="str">
        <f t="shared" ca="1" si="86"/>
        <v/>
      </c>
      <c r="B2803">
        <f t="shared" ca="1" si="87"/>
        <v>0</v>
      </c>
    </row>
    <row r="2804" spans="1:2">
      <c r="A2804" t="str">
        <f t="shared" ca="1" si="86"/>
        <v/>
      </c>
      <c r="B2804">
        <f t="shared" ca="1" si="87"/>
        <v>0</v>
      </c>
    </row>
    <row r="2805" spans="1:2">
      <c r="A2805" t="str">
        <f t="shared" ca="1" si="86"/>
        <v/>
      </c>
      <c r="B2805">
        <f t="shared" ca="1" si="87"/>
        <v>0</v>
      </c>
    </row>
    <row r="2806" spans="1:2">
      <c r="A2806" t="str">
        <f t="shared" ca="1" si="86"/>
        <v/>
      </c>
      <c r="B2806">
        <f t="shared" ca="1" si="87"/>
        <v>0</v>
      </c>
    </row>
    <row r="2807" spans="1:2">
      <c r="A2807" t="str">
        <f t="shared" ca="1" si="86"/>
        <v/>
      </c>
      <c r="B2807">
        <f t="shared" ca="1" si="87"/>
        <v>0</v>
      </c>
    </row>
    <row r="2808" spans="1:2">
      <c r="A2808" t="str">
        <f t="shared" ca="1" si="86"/>
        <v/>
      </c>
      <c r="B2808">
        <f t="shared" ca="1" si="87"/>
        <v>0</v>
      </c>
    </row>
    <row r="2809" spans="1:2">
      <c r="A2809" t="str">
        <f t="shared" ca="1" si="86"/>
        <v/>
      </c>
      <c r="B2809">
        <f t="shared" ca="1" si="87"/>
        <v>0</v>
      </c>
    </row>
    <row r="2810" spans="1:2">
      <c r="A2810" t="str">
        <f t="shared" ca="1" si="86"/>
        <v/>
      </c>
      <c r="B2810">
        <f t="shared" ca="1" si="87"/>
        <v>0</v>
      </c>
    </row>
    <row r="2811" spans="1:2">
      <c r="A2811" t="str">
        <f t="shared" ca="1" si="86"/>
        <v/>
      </c>
      <c r="B2811">
        <f t="shared" ca="1" si="87"/>
        <v>0</v>
      </c>
    </row>
    <row r="2812" spans="1:2">
      <c r="A2812" t="str">
        <f t="shared" ca="1" si="86"/>
        <v/>
      </c>
      <c r="B2812">
        <f t="shared" ca="1" si="87"/>
        <v>0</v>
      </c>
    </row>
    <row r="2813" spans="1:2">
      <c r="A2813" t="str">
        <f t="shared" ca="1" si="86"/>
        <v/>
      </c>
      <c r="B2813">
        <f t="shared" ca="1" si="87"/>
        <v>0</v>
      </c>
    </row>
    <row r="2814" spans="1:2">
      <c r="A2814" t="str">
        <f t="shared" ca="1" si="86"/>
        <v/>
      </c>
      <c r="B2814">
        <f t="shared" ca="1" si="87"/>
        <v>0</v>
      </c>
    </row>
    <row r="2815" spans="1:2">
      <c r="A2815" t="str">
        <f t="shared" ca="1" si="86"/>
        <v/>
      </c>
      <c r="B2815">
        <f t="shared" ca="1" si="87"/>
        <v>0</v>
      </c>
    </row>
    <row r="2816" spans="1:2">
      <c r="A2816" t="str">
        <f t="shared" ca="1" si="86"/>
        <v/>
      </c>
      <c r="B2816">
        <f t="shared" ca="1" si="87"/>
        <v>0</v>
      </c>
    </row>
    <row r="2817" spans="1:2">
      <c r="A2817" t="str">
        <f t="shared" ca="1" si="86"/>
        <v/>
      </c>
      <c r="B2817">
        <f t="shared" ca="1" si="87"/>
        <v>0</v>
      </c>
    </row>
    <row r="2818" spans="1:2">
      <c r="A2818" t="str">
        <f t="shared" ref="A2818:A2881" ca="1" si="88">CONCATENATE(INDIRECT(ADDRESS(ROW(),3)))</f>
        <v/>
      </c>
      <c r="B2818">
        <f t="shared" ref="B2818:B2881" ca="1" si="89">IF(IF(INDIRECT(ADDRESS(ROW(),1))&lt;&gt;"",IF(ISNA(MATCH(LEFT(INDIRECT(ADDRESS(ROW(),1)),2),PCNG_MN,0))=TRUE,1,0),0)+IF(INDIRECT(ADDRESS(ROW(),1))&lt;&gt;"",IF(ISNA(MATCH(LEFT(INDIRECT(ADDRESS(ROW(),1)),3),PCNG_MN,0))=TRUE,1,0),0)+IF(INDIRECT(ADDRESS(ROW(),1))&lt;&gt;"",IF(ISNA(MATCH(LEFT(INDIRECT(ADDRESS(ROW(),1)),4),PCNG_MN,0))=TRUE,1,0),0)&gt;=3,1,0)</f>
        <v>0</v>
      </c>
    </row>
    <row r="2819" spans="1:2">
      <c r="A2819" t="str">
        <f t="shared" ca="1" si="88"/>
        <v/>
      </c>
      <c r="B2819">
        <f t="shared" ca="1" si="89"/>
        <v>0</v>
      </c>
    </row>
    <row r="2820" spans="1:2">
      <c r="A2820" t="str">
        <f t="shared" ca="1" si="88"/>
        <v/>
      </c>
      <c r="B2820">
        <f t="shared" ca="1" si="89"/>
        <v>0</v>
      </c>
    </row>
    <row r="2821" spans="1:2">
      <c r="A2821" t="str">
        <f t="shared" ca="1" si="88"/>
        <v/>
      </c>
      <c r="B2821">
        <f t="shared" ca="1" si="89"/>
        <v>0</v>
      </c>
    </row>
    <row r="2822" spans="1:2">
      <c r="A2822" t="str">
        <f t="shared" ca="1" si="88"/>
        <v/>
      </c>
      <c r="B2822">
        <f t="shared" ca="1" si="89"/>
        <v>0</v>
      </c>
    </row>
    <row r="2823" spans="1:2">
      <c r="A2823" t="str">
        <f t="shared" ca="1" si="88"/>
        <v/>
      </c>
      <c r="B2823">
        <f t="shared" ca="1" si="89"/>
        <v>0</v>
      </c>
    </row>
    <row r="2824" spans="1:2">
      <c r="A2824" t="str">
        <f t="shared" ca="1" si="88"/>
        <v/>
      </c>
      <c r="B2824">
        <f t="shared" ca="1" si="89"/>
        <v>0</v>
      </c>
    </row>
    <row r="2825" spans="1:2">
      <c r="A2825" t="str">
        <f t="shared" ca="1" si="88"/>
        <v/>
      </c>
      <c r="B2825">
        <f t="shared" ca="1" si="89"/>
        <v>0</v>
      </c>
    </row>
    <row r="2826" spans="1:2">
      <c r="A2826" t="str">
        <f t="shared" ca="1" si="88"/>
        <v/>
      </c>
      <c r="B2826">
        <f t="shared" ca="1" si="89"/>
        <v>0</v>
      </c>
    </row>
    <row r="2827" spans="1:2">
      <c r="A2827" t="str">
        <f t="shared" ca="1" si="88"/>
        <v/>
      </c>
      <c r="B2827">
        <f t="shared" ca="1" si="89"/>
        <v>0</v>
      </c>
    </row>
    <row r="2828" spans="1:2">
      <c r="A2828" t="str">
        <f t="shared" ca="1" si="88"/>
        <v/>
      </c>
      <c r="B2828">
        <f t="shared" ca="1" si="89"/>
        <v>0</v>
      </c>
    </row>
    <row r="2829" spans="1:2">
      <c r="A2829" t="str">
        <f t="shared" ca="1" si="88"/>
        <v/>
      </c>
      <c r="B2829">
        <f t="shared" ca="1" si="89"/>
        <v>0</v>
      </c>
    </row>
    <row r="2830" spans="1:2">
      <c r="A2830" t="str">
        <f t="shared" ca="1" si="88"/>
        <v/>
      </c>
      <c r="B2830">
        <f t="shared" ca="1" si="89"/>
        <v>0</v>
      </c>
    </row>
    <row r="2831" spans="1:2">
      <c r="A2831" t="str">
        <f t="shared" ca="1" si="88"/>
        <v/>
      </c>
      <c r="B2831">
        <f t="shared" ca="1" si="89"/>
        <v>0</v>
      </c>
    </row>
    <row r="2832" spans="1:2">
      <c r="A2832" t="str">
        <f t="shared" ca="1" si="88"/>
        <v/>
      </c>
      <c r="B2832">
        <f t="shared" ca="1" si="89"/>
        <v>0</v>
      </c>
    </row>
    <row r="2833" spans="1:2">
      <c r="A2833" t="str">
        <f t="shared" ca="1" si="88"/>
        <v/>
      </c>
      <c r="B2833">
        <f t="shared" ca="1" si="89"/>
        <v>0</v>
      </c>
    </row>
    <row r="2834" spans="1:2">
      <c r="A2834" t="str">
        <f t="shared" ca="1" si="88"/>
        <v/>
      </c>
      <c r="B2834">
        <f t="shared" ca="1" si="89"/>
        <v>0</v>
      </c>
    </row>
    <row r="2835" spans="1:2">
      <c r="A2835" t="str">
        <f t="shared" ca="1" si="88"/>
        <v/>
      </c>
      <c r="B2835">
        <f t="shared" ca="1" si="89"/>
        <v>0</v>
      </c>
    </row>
    <row r="2836" spans="1:2">
      <c r="A2836" t="str">
        <f t="shared" ca="1" si="88"/>
        <v/>
      </c>
      <c r="B2836">
        <f t="shared" ca="1" si="89"/>
        <v>0</v>
      </c>
    </row>
    <row r="2837" spans="1:2">
      <c r="A2837" t="str">
        <f t="shared" ca="1" si="88"/>
        <v/>
      </c>
      <c r="B2837">
        <f t="shared" ca="1" si="89"/>
        <v>0</v>
      </c>
    </row>
    <row r="2838" spans="1:2">
      <c r="A2838" t="str">
        <f t="shared" ca="1" si="88"/>
        <v/>
      </c>
      <c r="B2838">
        <f t="shared" ca="1" si="89"/>
        <v>0</v>
      </c>
    </row>
    <row r="2839" spans="1:2">
      <c r="A2839" t="str">
        <f t="shared" ca="1" si="88"/>
        <v/>
      </c>
      <c r="B2839">
        <f t="shared" ca="1" si="89"/>
        <v>0</v>
      </c>
    </row>
    <row r="2840" spans="1:2">
      <c r="A2840" t="str">
        <f t="shared" ca="1" si="88"/>
        <v/>
      </c>
      <c r="B2840">
        <f t="shared" ca="1" si="89"/>
        <v>0</v>
      </c>
    </row>
    <row r="2841" spans="1:2">
      <c r="A2841" t="str">
        <f t="shared" ca="1" si="88"/>
        <v/>
      </c>
      <c r="B2841">
        <f t="shared" ca="1" si="89"/>
        <v>0</v>
      </c>
    </row>
    <row r="2842" spans="1:2">
      <c r="A2842" t="str">
        <f t="shared" ca="1" si="88"/>
        <v/>
      </c>
      <c r="B2842">
        <f t="shared" ca="1" si="89"/>
        <v>0</v>
      </c>
    </row>
    <row r="2843" spans="1:2">
      <c r="A2843" t="str">
        <f t="shared" ca="1" si="88"/>
        <v/>
      </c>
      <c r="B2843">
        <f t="shared" ca="1" si="89"/>
        <v>0</v>
      </c>
    </row>
    <row r="2844" spans="1:2">
      <c r="A2844" t="str">
        <f t="shared" ca="1" si="88"/>
        <v/>
      </c>
      <c r="B2844">
        <f t="shared" ca="1" si="89"/>
        <v>0</v>
      </c>
    </row>
    <row r="2845" spans="1:2">
      <c r="A2845" t="str">
        <f t="shared" ca="1" si="88"/>
        <v/>
      </c>
      <c r="B2845">
        <f t="shared" ca="1" si="89"/>
        <v>0</v>
      </c>
    </row>
    <row r="2846" spans="1:2">
      <c r="A2846" t="str">
        <f t="shared" ca="1" si="88"/>
        <v/>
      </c>
      <c r="B2846">
        <f t="shared" ca="1" si="89"/>
        <v>0</v>
      </c>
    </row>
    <row r="2847" spans="1:2">
      <c r="A2847" t="str">
        <f t="shared" ca="1" si="88"/>
        <v/>
      </c>
      <c r="B2847">
        <f t="shared" ca="1" si="89"/>
        <v>0</v>
      </c>
    </row>
    <row r="2848" spans="1:2">
      <c r="A2848" t="str">
        <f t="shared" ca="1" si="88"/>
        <v/>
      </c>
      <c r="B2848">
        <f t="shared" ca="1" si="89"/>
        <v>0</v>
      </c>
    </row>
    <row r="2849" spans="1:2">
      <c r="A2849" t="str">
        <f t="shared" ca="1" si="88"/>
        <v/>
      </c>
      <c r="B2849">
        <f t="shared" ca="1" si="89"/>
        <v>0</v>
      </c>
    </row>
    <row r="2850" spans="1:2">
      <c r="A2850" t="str">
        <f t="shared" ca="1" si="88"/>
        <v/>
      </c>
      <c r="B2850">
        <f t="shared" ca="1" si="89"/>
        <v>0</v>
      </c>
    </row>
    <row r="2851" spans="1:2">
      <c r="A2851" t="str">
        <f t="shared" ca="1" si="88"/>
        <v/>
      </c>
      <c r="B2851">
        <f t="shared" ca="1" si="89"/>
        <v>0</v>
      </c>
    </row>
    <row r="2852" spans="1:2">
      <c r="A2852" t="str">
        <f t="shared" ca="1" si="88"/>
        <v/>
      </c>
      <c r="B2852">
        <f t="shared" ca="1" si="89"/>
        <v>0</v>
      </c>
    </row>
    <row r="2853" spans="1:2">
      <c r="A2853" t="str">
        <f t="shared" ca="1" si="88"/>
        <v/>
      </c>
      <c r="B2853">
        <f t="shared" ca="1" si="89"/>
        <v>0</v>
      </c>
    </row>
    <row r="2854" spans="1:2">
      <c r="A2854" t="str">
        <f t="shared" ca="1" si="88"/>
        <v/>
      </c>
      <c r="B2854">
        <f t="shared" ca="1" si="89"/>
        <v>0</v>
      </c>
    </row>
    <row r="2855" spans="1:2">
      <c r="A2855" t="str">
        <f t="shared" ca="1" si="88"/>
        <v/>
      </c>
      <c r="B2855">
        <f t="shared" ca="1" si="89"/>
        <v>0</v>
      </c>
    </row>
    <row r="2856" spans="1:2">
      <c r="A2856" t="str">
        <f t="shared" ca="1" si="88"/>
        <v/>
      </c>
      <c r="B2856">
        <f t="shared" ca="1" si="89"/>
        <v>0</v>
      </c>
    </row>
    <row r="2857" spans="1:2">
      <c r="A2857" t="str">
        <f t="shared" ca="1" si="88"/>
        <v/>
      </c>
      <c r="B2857">
        <f t="shared" ca="1" si="89"/>
        <v>0</v>
      </c>
    </row>
    <row r="2858" spans="1:2">
      <c r="A2858" t="str">
        <f t="shared" ca="1" si="88"/>
        <v/>
      </c>
      <c r="B2858">
        <f t="shared" ca="1" si="89"/>
        <v>0</v>
      </c>
    </row>
    <row r="2859" spans="1:2">
      <c r="A2859" t="str">
        <f t="shared" ca="1" si="88"/>
        <v/>
      </c>
      <c r="B2859">
        <f t="shared" ca="1" si="89"/>
        <v>0</v>
      </c>
    </row>
    <row r="2860" spans="1:2">
      <c r="A2860" t="str">
        <f t="shared" ca="1" si="88"/>
        <v/>
      </c>
      <c r="B2860">
        <f t="shared" ca="1" si="89"/>
        <v>0</v>
      </c>
    </row>
    <row r="2861" spans="1:2">
      <c r="A2861" t="str">
        <f t="shared" ca="1" si="88"/>
        <v/>
      </c>
      <c r="B2861">
        <f t="shared" ca="1" si="89"/>
        <v>0</v>
      </c>
    </row>
    <row r="2862" spans="1:2">
      <c r="A2862" t="str">
        <f t="shared" ca="1" si="88"/>
        <v/>
      </c>
      <c r="B2862">
        <f t="shared" ca="1" si="89"/>
        <v>0</v>
      </c>
    </row>
    <row r="2863" spans="1:2">
      <c r="A2863" t="str">
        <f t="shared" ca="1" si="88"/>
        <v/>
      </c>
      <c r="B2863">
        <f t="shared" ca="1" si="89"/>
        <v>0</v>
      </c>
    </row>
    <row r="2864" spans="1:2">
      <c r="A2864" t="str">
        <f t="shared" ca="1" si="88"/>
        <v/>
      </c>
      <c r="B2864">
        <f t="shared" ca="1" si="89"/>
        <v>0</v>
      </c>
    </row>
    <row r="2865" spans="1:2">
      <c r="A2865" t="str">
        <f t="shared" ca="1" si="88"/>
        <v/>
      </c>
      <c r="B2865">
        <f t="shared" ca="1" si="89"/>
        <v>0</v>
      </c>
    </row>
    <row r="2866" spans="1:2">
      <c r="A2866" t="str">
        <f t="shared" ca="1" si="88"/>
        <v/>
      </c>
      <c r="B2866">
        <f t="shared" ca="1" si="89"/>
        <v>0</v>
      </c>
    </row>
    <row r="2867" spans="1:2">
      <c r="A2867" t="str">
        <f t="shared" ca="1" si="88"/>
        <v/>
      </c>
      <c r="B2867">
        <f t="shared" ca="1" si="89"/>
        <v>0</v>
      </c>
    </row>
    <row r="2868" spans="1:2">
      <c r="A2868" t="str">
        <f t="shared" ca="1" si="88"/>
        <v/>
      </c>
      <c r="B2868">
        <f t="shared" ca="1" si="89"/>
        <v>0</v>
      </c>
    </row>
    <row r="2869" spans="1:2">
      <c r="A2869" t="str">
        <f t="shared" ca="1" si="88"/>
        <v/>
      </c>
      <c r="B2869">
        <f t="shared" ca="1" si="89"/>
        <v>0</v>
      </c>
    </row>
    <row r="2870" spans="1:2">
      <c r="A2870" t="str">
        <f t="shared" ca="1" si="88"/>
        <v/>
      </c>
      <c r="B2870">
        <f t="shared" ca="1" si="89"/>
        <v>0</v>
      </c>
    </row>
    <row r="2871" spans="1:2">
      <c r="A2871" t="str">
        <f t="shared" ca="1" si="88"/>
        <v/>
      </c>
      <c r="B2871">
        <f t="shared" ca="1" si="89"/>
        <v>0</v>
      </c>
    </row>
    <row r="2872" spans="1:2">
      <c r="A2872" t="str">
        <f t="shared" ca="1" si="88"/>
        <v/>
      </c>
      <c r="B2872">
        <f t="shared" ca="1" si="89"/>
        <v>0</v>
      </c>
    </row>
    <row r="2873" spans="1:2">
      <c r="A2873" t="str">
        <f t="shared" ca="1" si="88"/>
        <v/>
      </c>
      <c r="B2873">
        <f t="shared" ca="1" si="89"/>
        <v>0</v>
      </c>
    </row>
    <row r="2874" spans="1:2">
      <c r="A2874" t="str">
        <f t="shared" ca="1" si="88"/>
        <v/>
      </c>
      <c r="B2874">
        <f t="shared" ca="1" si="89"/>
        <v>0</v>
      </c>
    </row>
    <row r="2875" spans="1:2">
      <c r="A2875" t="str">
        <f t="shared" ca="1" si="88"/>
        <v/>
      </c>
      <c r="B2875">
        <f t="shared" ca="1" si="89"/>
        <v>0</v>
      </c>
    </row>
    <row r="2876" spans="1:2">
      <c r="A2876" t="str">
        <f t="shared" ca="1" si="88"/>
        <v/>
      </c>
      <c r="B2876">
        <f t="shared" ca="1" si="89"/>
        <v>0</v>
      </c>
    </row>
    <row r="2877" spans="1:2">
      <c r="A2877" t="str">
        <f t="shared" ca="1" si="88"/>
        <v/>
      </c>
      <c r="B2877">
        <f t="shared" ca="1" si="89"/>
        <v>0</v>
      </c>
    </row>
    <row r="2878" spans="1:2">
      <c r="A2878" t="str">
        <f t="shared" ca="1" si="88"/>
        <v/>
      </c>
      <c r="B2878">
        <f t="shared" ca="1" si="89"/>
        <v>0</v>
      </c>
    </row>
    <row r="2879" spans="1:2">
      <c r="A2879" t="str">
        <f t="shared" ca="1" si="88"/>
        <v/>
      </c>
      <c r="B2879">
        <f t="shared" ca="1" si="89"/>
        <v>0</v>
      </c>
    </row>
    <row r="2880" spans="1:2">
      <c r="A2880" t="str">
        <f t="shared" ca="1" si="88"/>
        <v/>
      </c>
      <c r="B2880">
        <f t="shared" ca="1" si="89"/>
        <v>0</v>
      </c>
    </row>
    <row r="2881" spans="1:2">
      <c r="A2881" t="str">
        <f t="shared" ca="1" si="88"/>
        <v/>
      </c>
      <c r="B2881">
        <f t="shared" ca="1" si="89"/>
        <v>0</v>
      </c>
    </row>
    <row r="2882" spans="1:2">
      <c r="A2882" t="str">
        <f t="shared" ref="A2882:A2945" ca="1" si="90">CONCATENATE(INDIRECT(ADDRESS(ROW(),3)))</f>
        <v/>
      </c>
      <c r="B2882">
        <f t="shared" ref="B2882:B2945" ca="1" si="91">IF(IF(INDIRECT(ADDRESS(ROW(),1))&lt;&gt;"",IF(ISNA(MATCH(LEFT(INDIRECT(ADDRESS(ROW(),1)),2),PCNG_MN,0))=TRUE,1,0),0)+IF(INDIRECT(ADDRESS(ROW(),1))&lt;&gt;"",IF(ISNA(MATCH(LEFT(INDIRECT(ADDRESS(ROW(),1)),3),PCNG_MN,0))=TRUE,1,0),0)+IF(INDIRECT(ADDRESS(ROW(),1))&lt;&gt;"",IF(ISNA(MATCH(LEFT(INDIRECT(ADDRESS(ROW(),1)),4),PCNG_MN,0))=TRUE,1,0),0)&gt;=3,1,0)</f>
        <v>0</v>
      </c>
    </row>
    <row r="2883" spans="1:2">
      <c r="A2883" t="str">
        <f t="shared" ca="1" si="90"/>
        <v/>
      </c>
      <c r="B2883">
        <f t="shared" ca="1" si="91"/>
        <v>0</v>
      </c>
    </row>
    <row r="2884" spans="1:2">
      <c r="A2884" t="str">
        <f t="shared" ca="1" si="90"/>
        <v/>
      </c>
      <c r="B2884">
        <f t="shared" ca="1" si="91"/>
        <v>0</v>
      </c>
    </row>
    <row r="2885" spans="1:2">
      <c r="A2885" t="str">
        <f t="shared" ca="1" si="90"/>
        <v/>
      </c>
      <c r="B2885">
        <f t="shared" ca="1" si="91"/>
        <v>0</v>
      </c>
    </row>
    <row r="2886" spans="1:2">
      <c r="A2886" t="str">
        <f t="shared" ca="1" si="90"/>
        <v/>
      </c>
      <c r="B2886">
        <f t="shared" ca="1" si="91"/>
        <v>0</v>
      </c>
    </row>
    <row r="2887" spans="1:2">
      <c r="A2887" t="str">
        <f t="shared" ca="1" si="90"/>
        <v/>
      </c>
      <c r="B2887">
        <f t="shared" ca="1" si="91"/>
        <v>0</v>
      </c>
    </row>
    <row r="2888" spans="1:2">
      <c r="A2888" t="str">
        <f t="shared" ca="1" si="90"/>
        <v/>
      </c>
      <c r="B2888">
        <f t="shared" ca="1" si="91"/>
        <v>0</v>
      </c>
    </row>
    <row r="2889" spans="1:2">
      <c r="A2889" t="str">
        <f t="shared" ca="1" si="90"/>
        <v/>
      </c>
      <c r="B2889">
        <f t="shared" ca="1" si="91"/>
        <v>0</v>
      </c>
    </row>
    <row r="2890" spans="1:2">
      <c r="A2890" t="str">
        <f t="shared" ca="1" si="90"/>
        <v/>
      </c>
      <c r="B2890">
        <f t="shared" ca="1" si="91"/>
        <v>0</v>
      </c>
    </row>
    <row r="2891" spans="1:2">
      <c r="A2891" t="str">
        <f t="shared" ca="1" si="90"/>
        <v/>
      </c>
      <c r="B2891">
        <f t="shared" ca="1" si="91"/>
        <v>0</v>
      </c>
    </row>
    <row r="2892" spans="1:2">
      <c r="A2892" t="str">
        <f t="shared" ca="1" si="90"/>
        <v/>
      </c>
      <c r="B2892">
        <f t="shared" ca="1" si="91"/>
        <v>0</v>
      </c>
    </row>
    <row r="2893" spans="1:2">
      <c r="A2893" t="str">
        <f t="shared" ca="1" si="90"/>
        <v/>
      </c>
      <c r="B2893">
        <f t="shared" ca="1" si="91"/>
        <v>0</v>
      </c>
    </row>
    <row r="2894" spans="1:2">
      <c r="A2894" t="str">
        <f t="shared" ca="1" si="90"/>
        <v/>
      </c>
      <c r="B2894">
        <f t="shared" ca="1" si="91"/>
        <v>0</v>
      </c>
    </row>
    <row r="2895" spans="1:2">
      <c r="A2895" t="str">
        <f t="shared" ca="1" si="90"/>
        <v/>
      </c>
      <c r="B2895">
        <f t="shared" ca="1" si="91"/>
        <v>0</v>
      </c>
    </row>
    <row r="2896" spans="1:2">
      <c r="A2896" t="str">
        <f t="shared" ca="1" si="90"/>
        <v/>
      </c>
      <c r="B2896">
        <f t="shared" ca="1" si="91"/>
        <v>0</v>
      </c>
    </row>
    <row r="2897" spans="1:2">
      <c r="A2897" t="str">
        <f t="shared" ca="1" si="90"/>
        <v/>
      </c>
      <c r="B2897">
        <f t="shared" ca="1" si="91"/>
        <v>0</v>
      </c>
    </row>
    <row r="2898" spans="1:2">
      <c r="A2898" t="str">
        <f t="shared" ca="1" si="90"/>
        <v/>
      </c>
      <c r="B2898">
        <f t="shared" ca="1" si="91"/>
        <v>0</v>
      </c>
    </row>
    <row r="2899" spans="1:2">
      <c r="A2899" t="str">
        <f t="shared" ca="1" si="90"/>
        <v/>
      </c>
      <c r="B2899">
        <f t="shared" ca="1" si="91"/>
        <v>0</v>
      </c>
    </row>
    <row r="2900" spans="1:2">
      <c r="A2900" t="str">
        <f t="shared" ca="1" si="90"/>
        <v/>
      </c>
      <c r="B2900">
        <f t="shared" ca="1" si="91"/>
        <v>0</v>
      </c>
    </row>
    <row r="2901" spans="1:2">
      <c r="A2901" t="str">
        <f t="shared" ca="1" si="90"/>
        <v/>
      </c>
      <c r="B2901">
        <f t="shared" ca="1" si="91"/>
        <v>0</v>
      </c>
    </row>
    <row r="2902" spans="1:2">
      <c r="A2902" t="str">
        <f t="shared" ca="1" si="90"/>
        <v/>
      </c>
      <c r="B2902">
        <f t="shared" ca="1" si="91"/>
        <v>0</v>
      </c>
    </row>
    <row r="2903" spans="1:2">
      <c r="A2903" t="str">
        <f t="shared" ca="1" si="90"/>
        <v/>
      </c>
      <c r="B2903">
        <f t="shared" ca="1" si="91"/>
        <v>0</v>
      </c>
    </row>
    <row r="2904" spans="1:2">
      <c r="A2904" t="str">
        <f t="shared" ca="1" si="90"/>
        <v/>
      </c>
      <c r="B2904">
        <f t="shared" ca="1" si="91"/>
        <v>0</v>
      </c>
    </row>
    <row r="2905" spans="1:2">
      <c r="A2905" t="str">
        <f t="shared" ca="1" si="90"/>
        <v/>
      </c>
      <c r="B2905">
        <f t="shared" ca="1" si="91"/>
        <v>0</v>
      </c>
    </row>
    <row r="2906" spans="1:2">
      <c r="A2906" t="str">
        <f t="shared" ca="1" si="90"/>
        <v/>
      </c>
      <c r="B2906">
        <f t="shared" ca="1" si="91"/>
        <v>0</v>
      </c>
    </row>
    <row r="2907" spans="1:2">
      <c r="A2907" t="str">
        <f t="shared" ca="1" si="90"/>
        <v/>
      </c>
      <c r="B2907">
        <f t="shared" ca="1" si="91"/>
        <v>0</v>
      </c>
    </row>
    <row r="2908" spans="1:2">
      <c r="A2908" t="str">
        <f t="shared" ca="1" si="90"/>
        <v/>
      </c>
      <c r="B2908">
        <f t="shared" ca="1" si="91"/>
        <v>0</v>
      </c>
    </row>
    <row r="2909" spans="1:2">
      <c r="A2909" t="str">
        <f t="shared" ca="1" si="90"/>
        <v/>
      </c>
      <c r="B2909">
        <f t="shared" ca="1" si="91"/>
        <v>0</v>
      </c>
    </row>
    <row r="2910" spans="1:2">
      <c r="A2910" t="str">
        <f t="shared" ca="1" si="90"/>
        <v/>
      </c>
      <c r="B2910">
        <f t="shared" ca="1" si="91"/>
        <v>0</v>
      </c>
    </row>
    <row r="2911" spans="1:2">
      <c r="A2911" t="str">
        <f t="shared" ca="1" si="90"/>
        <v/>
      </c>
      <c r="B2911">
        <f t="shared" ca="1" si="91"/>
        <v>0</v>
      </c>
    </row>
    <row r="2912" spans="1:2">
      <c r="A2912" t="str">
        <f t="shared" ca="1" si="90"/>
        <v/>
      </c>
      <c r="B2912">
        <f t="shared" ca="1" si="91"/>
        <v>0</v>
      </c>
    </row>
    <row r="2913" spans="1:2">
      <c r="A2913" t="str">
        <f t="shared" ca="1" si="90"/>
        <v/>
      </c>
      <c r="B2913">
        <f t="shared" ca="1" si="91"/>
        <v>0</v>
      </c>
    </row>
    <row r="2914" spans="1:2">
      <c r="A2914" t="str">
        <f t="shared" ca="1" si="90"/>
        <v/>
      </c>
      <c r="B2914">
        <f t="shared" ca="1" si="91"/>
        <v>0</v>
      </c>
    </row>
    <row r="2915" spans="1:2">
      <c r="A2915" t="str">
        <f t="shared" ca="1" si="90"/>
        <v/>
      </c>
      <c r="B2915">
        <f t="shared" ca="1" si="91"/>
        <v>0</v>
      </c>
    </row>
    <row r="2916" spans="1:2">
      <c r="A2916" t="str">
        <f t="shared" ca="1" si="90"/>
        <v/>
      </c>
      <c r="B2916">
        <f t="shared" ca="1" si="91"/>
        <v>0</v>
      </c>
    </row>
    <row r="2917" spans="1:2">
      <c r="A2917" t="str">
        <f t="shared" ca="1" si="90"/>
        <v/>
      </c>
      <c r="B2917">
        <f t="shared" ca="1" si="91"/>
        <v>0</v>
      </c>
    </row>
    <row r="2918" spans="1:2">
      <c r="A2918" t="str">
        <f t="shared" ca="1" si="90"/>
        <v/>
      </c>
      <c r="B2918">
        <f t="shared" ca="1" si="91"/>
        <v>0</v>
      </c>
    </row>
    <row r="2919" spans="1:2">
      <c r="A2919" t="str">
        <f t="shared" ca="1" si="90"/>
        <v/>
      </c>
      <c r="B2919">
        <f t="shared" ca="1" si="91"/>
        <v>0</v>
      </c>
    </row>
    <row r="2920" spans="1:2">
      <c r="A2920" t="str">
        <f t="shared" ca="1" si="90"/>
        <v/>
      </c>
      <c r="B2920">
        <f t="shared" ca="1" si="91"/>
        <v>0</v>
      </c>
    </row>
    <row r="2921" spans="1:2">
      <c r="A2921" t="str">
        <f t="shared" ca="1" si="90"/>
        <v/>
      </c>
      <c r="B2921">
        <f t="shared" ca="1" si="91"/>
        <v>0</v>
      </c>
    </row>
    <row r="2922" spans="1:2">
      <c r="A2922" t="str">
        <f t="shared" ca="1" si="90"/>
        <v/>
      </c>
      <c r="B2922">
        <f t="shared" ca="1" si="91"/>
        <v>0</v>
      </c>
    </row>
    <row r="2923" spans="1:2">
      <c r="A2923" t="str">
        <f t="shared" ca="1" si="90"/>
        <v/>
      </c>
      <c r="B2923">
        <f t="shared" ca="1" si="91"/>
        <v>0</v>
      </c>
    </row>
    <row r="2924" spans="1:2">
      <c r="A2924" t="str">
        <f t="shared" ca="1" si="90"/>
        <v/>
      </c>
      <c r="B2924">
        <f t="shared" ca="1" si="91"/>
        <v>0</v>
      </c>
    </row>
    <row r="2925" spans="1:2">
      <c r="A2925" t="str">
        <f t="shared" ca="1" si="90"/>
        <v/>
      </c>
      <c r="B2925">
        <f t="shared" ca="1" si="91"/>
        <v>0</v>
      </c>
    </row>
    <row r="2926" spans="1:2">
      <c r="A2926" t="str">
        <f t="shared" ca="1" si="90"/>
        <v/>
      </c>
      <c r="B2926">
        <f t="shared" ca="1" si="91"/>
        <v>0</v>
      </c>
    </row>
    <row r="2927" spans="1:2">
      <c r="A2927" t="str">
        <f t="shared" ca="1" si="90"/>
        <v/>
      </c>
      <c r="B2927">
        <f t="shared" ca="1" si="91"/>
        <v>0</v>
      </c>
    </row>
    <row r="2928" spans="1:2">
      <c r="A2928" t="str">
        <f t="shared" ca="1" si="90"/>
        <v/>
      </c>
      <c r="B2928">
        <f t="shared" ca="1" si="91"/>
        <v>0</v>
      </c>
    </row>
    <row r="2929" spans="1:2">
      <c r="A2929" t="str">
        <f t="shared" ca="1" si="90"/>
        <v/>
      </c>
      <c r="B2929">
        <f t="shared" ca="1" si="91"/>
        <v>0</v>
      </c>
    </row>
    <row r="2930" spans="1:2">
      <c r="A2930" t="str">
        <f t="shared" ca="1" si="90"/>
        <v/>
      </c>
      <c r="B2930">
        <f t="shared" ca="1" si="91"/>
        <v>0</v>
      </c>
    </row>
    <row r="2931" spans="1:2">
      <c r="A2931" t="str">
        <f t="shared" ca="1" si="90"/>
        <v/>
      </c>
      <c r="B2931">
        <f t="shared" ca="1" si="91"/>
        <v>0</v>
      </c>
    </row>
    <row r="2932" spans="1:2">
      <c r="A2932" t="str">
        <f t="shared" ca="1" si="90"/>
        <v/>
      </c>
      <c r="B2932">
        <f t="shared" ca="1" si="91"/>
        <v>0</v>
      </c>
    </row>
    <row r="2933" spans="1:2">
      <c r="A2933" t="str">
        <f t="shared" ca="1" si="90"/>
        <v/>
      </c>
      <c r="B2933">
        <f t="shared" ca="1" si="91"/>
        <v>0</v>
      </c>
    </row>
    <row r="2934" spans="1:2">
      <c r="A2934" t="str">
        <f t="shared" ca="1" si="90"/>
        <v/>
      </c>
      <c r="B2934">
        <f t="shared" ca="1" si="91"/>
        <v>0</v>
      </c>
    </row>
    <row r="2935" spans="1:2">
      <c r="A2935" t="str">
        <f t="shared" ca="1" si="90"/>
        <v/>
      </c>
      <c r="B2935">
        <f t="shared" ca="1" si="91"/>
        <v>0</v>
      </c>
    </row>
    <row r="2936" spans="1:2">
      <c r="A2936" t="str">
        <f t="shared" ca="1" si="90"/>
        <v/>
      </c>
      <c r="B2936">
        <f t="shared" ca="1" si="91"/>
        <v>0</v>
      </c>
    </row>
    <row r="2937" spans="1:2">
      <c r="A2937" t="str">
        <f t="shared" ca="1" si="90"/>
        <v/>
      </c>
      <c r="B2937">
        <f t="shared" ca="1" si="91"/>
        <v>0</v>
      </c>
    </row>
    <row r="2938" spans="1:2">
      <c r="A2938" t="str">
        <f t="shared" ca="1" si="90"/>
        <v/>
      </c>
      <c r="B2938">
        <f t="shared" ca="1" si="91"/>
        <v>0</v>
      </c>
    </row>
    <row r="2939" spans="1:2">
      <c r="A2939" t="str">
        <f t="shared" ca="1" si="90"/>
        <v/>
      </c>
      <c r="B2939">
        <f t="shared" ca="1" si="91"/>
        <v>0</v>
      </c>
    </row>
    <row r="2940" spans="1:2">
      <c r="A2940" t="str">
        <f t="shared" ca="1" si="90"/>
        <v/>
      </c>
      <c r="B2940">
        <f t="shared" ca="1" si="91"/>
        <v>0</v>
      </c>
    </row>
    <row r="2941" spans="1:2">
      <c r="A2941" t="str">
        <f t="shared" ca="1" si="90"/>
        <v/>
      </c>
      <c r="B2941">
        <f t="shared" ca="1" si="91"/>
        <v>0</v>
      </c>
    </row>
    <row r="2942" spans="1:2">
      <c r="A2942" t="str">
        <f t="shared" ca="1" si="90"/>
        <v/>
      </c>
      <c r="B2942">
        <f t="shared" ca="1" si="91"/>
        <v>0</v>
      </c>
    </row>
    <row r="2943" spans="1:2">
      <c r="A2943" t="str">
        <f t="shared" ca="1" si="90"/>
        <v/>
      </c>
      <c r="B2943">
        <f t="shared" ca="1" si="91"/>
        <v>0</v>
      </c>
    </row>
    <row r="2944" spans="1:2">
      <c r="A2944" t="str">
        <f t="shared" ca="1" si="90"/>
        <v/>
      </c>
      <c r="B2944">
        <f t="shared" ca="1" si="91"/>
        <v>0</v>
      </c>
    </row>
    <row r="2945" spans="1:2">
      <c r="A2945" t="str">
        <f t="shared" ca="1" si="90"/>
        <v/>
      </c>
      <c r="B2945">
        <f t="shared" ca="1" si="91"/>
        <v>0</v>
      </c>
    </row>
    <row r="2946" spans="1:2">
      <c r="A2946" t="str">
        <f t="shared" ref="A2946:A3001" ca="1" si="92">CONCATENATE(INDIRECT(ADDRESS(ROW(),3)))</f>
        <v/>
      </c>
      <c r="B2946">
        <f t="shared" ref="B2946:B3001" ca="1" si="93">IF(IF(INDIRECT(ADDRESS(ROW(),1))&lt;&gt;"",IF(ISNA(MATCH(LEFT(INDIRECT(ADDRESS(ROW(),1)),2),PCNG_MN,0))=TRUE,1,0),0)+IF(INDIRECT(ADDRESS(ROW(),1))&lt;&gt;"",IF(ISNA(MATCH(LEFT(INDIRECT(ADDRESS(ROW(),1)),3),PCNG_MN,0))=TRUE,1,0),0)+IF(INDIRECT(ADDRESS(ROW(),1))&lt;&gt;"",IF(ISNA(MATCH(LEFT(INDIRECT(ADDRESS(ROW(),1)),4),PCNG_MN,0))=TRUE,1,0),0)&gt;=3,1,0)</f>
        <v>0</v>
      </c>
    </row>
    <row r="2947" spans="1:2">
      <c r="A2947" t="str">
        <f t="shared" ca="1" si="92"/>
        <v/>
      </c>
      <c r="B2947">
        <f t="shared" ca="1" si="93"/>
        <v>0</v>
      </c>
    </row>
    <row r="2948" spans="1:2">
      <c r="A2948" t="str">
        <f t="shared" ca="1" si="92"/>
        <v/>
      </c>
      <c r="B2948">
        <f t="shared" ca="1" si="93"/>
        <v>0</v>
      </c>
    </row>
    <row r="2949" spans="1:2">
      <c r="A2949" t="str">
        <f t="shared" ca="1" si="92"/>
        <v/>
      </c>
      <c r="B2949">
        <f t="shared" ca="1" si="93"/>
        <v>0</v>
      </c>
    </row>
    <row r="2950" spans="1:2">
      <c r="A2950" t="str">
        <f t="shared" ca="1" si="92"/>
        <v/>
      </c>
      <c r="B2950">
        <f t="shared" ca="1" si="93"/>
        <v>0</v>
      </c>
    </row>
    <row r="2951" spans="1:2">
      <c r="A2951" t="str">
        <f t="shared" ca="1" si="92"/>
        <v/>
      </c>
      <c r="B2951">
        <f t="shared" ca="1" si="93"/>
        <v>0</v>
      </c>
    </row>
    <row r="2952" spans="1:2">
      <c r="A2952" t="str">
        <f t="shared" ca="1" si="92"/>
        <v/>
      </c>
      <c r="B2952">
        <f t="shared" ca="1" si="93"/>
        <v>0</v>
      </c>
    </row>
    <row r="2953" spans="1:2">
      <c r="A2953" t="str">
        <f t="shared" ca="1" si="92"/>
        <v/>
      </c>
      <c r="B2953">
        <f t="shared" ca="1" si="93"/>
        <v>0</v>
      </c>
    </row>
    <row r="2954" spans="1:2">
      <c r="A2954" t="str">
        <f t="shared" ca="1" si="92"/>
        <v/>
      </c>
      <c r="B2954">
        <f t="shared" ca="1" si="93"/>
        <v>0</v>
      </c>
    </row>
    <row r="2955" spans="1:2">
      <c r="A2955" t="str">
        <f t="shared" ca="1" si="92"/>
        <v/>
      </c>
      <c r="B2955">
        <f t="shared" ca="1" si="93"/>
        <v>0</v>
      </c>
    </row>
    <row r="2956" spans="1:2">
      <c r="A2956" t="str">
        <f t="shared" ca="1" si="92"/>
        <v/>
      </c>
      <c r="B2956">
        <f t="shared" ca="1" si="93"/>
        <v>0</v>
      </c>
    </row>
    <row r="2957" spans="1:2">
      <c r="A2957" t="str">
        <f t="shared" ca="1" si="92"/>
        <v/>
      </c>
      <c r="B2957">
        <f t="shared" ca="1" si="93"/>
        <v>0</v>
      </c>
    </row>
    <row r="2958" spans="1:2">
      <c r="A2958" t="str">
        <f t="shared" ca="1" si="92"/>
        <v/>
      </c>
      <c r="B2958">
        <f t="shared" ca="1" si="93"/>
        <v>0</v>
      </c>
    </row>
    <row r="2959" spans="1:2">
      <c r="A2959" t="str">
        <f t="shared" ca="1" si="92"/>
        <v/>
      </c>
      <c r="B2959">
        <f t="shared" ca="1" si="93"/>
        <v>0</v>
      </c>
    </row>
    <row r="2960" spans="1:2">
      <c r="A2960" t="str">
        <f t="shared" ca="1" si="92"/>
        <v/>
      </c>
      <c r="B2960">
        <f t="shared" ca="1" si="93"/>
        <v>0</v>
      </c>
    </row>
    <row r="2961" spans="1:2">
      <c r="A2961" t="str">
        <f t="shared" ca="1" si="92"/>
        <v/>
      </c>
      <c r="B2961">
        <f t="shared" ca="1" si="93"/>
        <v>0</v>
      </c>
    </row>
    <row r="2962" spans="1:2">
      <c r="A2962" t="str">
        <f t="shared" ca="1" si="92"/>
        <v/>
      </c>
      <c r="B2962">
        <f t="shared" ca="1" si="93"/>
        <v>0</v>
      </c>
    </row>
    <row r="2963" spans="1:2">
      <c r="A2963" t="str">
        <f t="shared" ca="1" si="92"/>
        <v/>
      </c>
      <c r="B2963">
        <f t="shared" ca="1" si="93"/>
        <v>0</v>
      </c>
    </row>
    <row r="2964" spans="1:2">
      <c r="A2964" t="str">
        <f t="shared" ca="1" si="92"/>
        <v/>
      </c>
      <c r="B2964">
        <f t="shared" ca="1" si="93"/>
        <v>0</v>
      </c>
    </row>
    <row r="2965" spans="1:2">
      <c r="A2965" t="str">
        <f t="shared" ca="1" si="92"/>
        <v/>
      </c>
      <c r="B2965">
        <f t="shared" ca="1" si="93"/>
        <v>0</v>
      </c>
    </row>
    <row r="2966" spans="1:2">
      <c r="A2966" t="str">
        <f t="shared" ca="1" si="92"/>
        <v/>
      </c>
      <c r="B2966">
        <f t="shared" ca="1" si="93"/>
        <v>0</v>
      </c>
    </row>
    <row r="2967" spans="1:2">
      <c r="A2967" t="str">
        <f t="shared" ca="1" si="92"/>
        <v/>
      </c>
      <c r="B2967">
        <f t="shared" ca="1" si="93"/>
        <v>0</v>
      </c>
    </row>
    <row r="2968" spans="1:2">
      <c r="A2968" t="str">
        <f t="shared" ca="1" si="92"/>
        <v/>
      </c>
      <c r="B2968">
        <f t="shared" ca="1" si="93"/>
        <v>0</v>
      </c>
    </row>
    <row r="2969" spans="1:2">
      <c r="A2969" t="str">
        <f t="shared" ca="1" si="92"/>
        <v/>
      </c>
      <c r="B2969">
        <f t="shared" ca="1" si="93"/>
        <v>0</v>
      </c>
    </row>
    <row r="2970" spans="1:2">
      <c r="A2970" t="str">
        <f t="shared" ca="1" si="92"/>
        <v/>
      </c>
      <c r="B2970">
        <f t="shared" ca="1" si="93"/>
        <v>0</v>
      </c>
    </row>
    <row r="2971" spans="1:2">
      <c r="A2971" t="str">
        <f t="shared" ca="1" si="92"/>
        <v/>
      </c>
      <c r="B2971">
        <f t="shared" ca="1" si="93"/>
        <v>0</v>
      </c>
    </row>
    <row r="2972" spans="1:2">
      <c r="A2972" t="str">
        <f t="shared" ca="1" si="92"/>
        <v/>
      </c>
      <c r="B2972">
        <f t="shared" ca="1" si="93"/>
        <v>0</v>
      </c>
    </row>
    <row r="2973" spans="1:2">
      <c r="A2973" t="str">
        <f t="shared" ca="1" si="92"/>
        <v/>
      </c>
      <c r="B2973">
        <f t="shared" ca="1" si="93"/>
        <v>0</v>
      </c>
    </row>
    <row r="2974" spans="1:2">
      <c r="A2974" t="str">
        <f t="shared" ca="1" si="92"/>
        <v/>
      </c>
      <c r="B2974">
        <f t="shared" ca="1" si="93"/>
        <v>0</v>
      </c>
    </row>
    <row r="2975" spans="1:2">
      <c r="A2975" t="str">
        <f t="shared" ca="1" si="92"/>
        <v/>
      </c>
      <c r="B2975">
        <f t="shared" ca="1" si="93"/>
        <v>0</v>
      </c>
    </row>
    <row r="2976" spans="1:2">
      <c r="A2976" t="str">
        <f t="shared" ca="1" si="92"/>
        <v/>
      </c>
      <c r="B2976">
        <f t="shared" ca="1" si="93"/>
        <v>0</v>
      </c>
    </row>
    <row r="2977" spans="1:2">
      <c r="A2977" t="str">
        <f t="shared" ca="1" si="92"/>
        <v/>
      </c>
      <c r="B2977">
        <f t="shared" ca="1" si="93"/>
        <v>0</v>
      </c>
    </row>
    <row r="2978" spans="1:2">
      <c r="A2978" t="str">
        <f t="shared" ca="1" si="92"/>
        <v/>
      </c>
      <c r="B2978">
        <f t="shared" ca="1" si="93"/>
        <v>0</v>
      </c>
    </row>
    <row r="2979" spans="1:2">
      <c r="A2979" t="str">
        <f t="shared" ca="1" si="92"/>
        <v/>
      </c>
      <c r="B2979">
        <f t="shared" ca="1" si="93"/>
        <v>0</v>
      </c>
    </row>
    <row r="2980" spans="1:2">
      <c r="A2980" t="str">
        <f t="shared" ca="1" si="92"/>
        <v/>
      </c>
      <c r="B2980">
        <f t="shared" ca="1" si="93"/>
        <v>0</v>
      </c>
    </row>
    <row r="2981" spans="1:2">
      <c r="A2981" t="str">
        <f t="shared" ca="1" si="92"/>
        <v/>
      </c>
      <c r="B2981">
        <f t="shared" ca="1" si="93"/>
        <v>0</v>
      </c>
    </row>
    <row r="2982" spans="1:2">
      <c r="A2982" t="str">
        <f t="shared" ca="1" si="92"/>
        <v/>
      </c>
      <c r="B2982">
        <f t="shared" ca="1" si="93"/>
        <v>0</v>
      </c>
    </row>
    <row r="2983" spans="1:2">
      <c r="A2983" t="str">
        <f t="shared" ca="1" si="92"/>
        <v/>
      </c>
      <c r="B2983">
        <f t="shared" ca="1" si="93"/>
        <v>0</v>
      </c>
    </row>
    <row r="2984" spans="1:2">
      <c r="A2984" t="str">
        <f t="shared" ca="1" si="92"/>
        <v/>
      </c>
      <c r="B2984">
        <f t="shared" ca="1" si="93"/>
        <v>0</v>
      </c>
    </row>
    <row r="2985" spans="1:2">
      <c r="A2985" t="str">
        <f t="shared" ca="1" si="92"/>
        <v/>
      </c>
      <c r="B2985">
        <f t="shared" ca="1" si="93"/>
        <v>0</v>
      </c>
    </row>
    <row r="2986" spans="1:2">
      <c r="A2986" t="str">
        <f t="shared" ca="1" si="92"/>
        <v/>
      </c>
      <c r="B2986">
        <f t="shared" ca="1" si="93"/>
        <v>0</v>
      </c>
    </row>
    <row r="2987" spans="1:2">
      <c r="A2987" t="str">
        <f t="shared" ca="1" si="92"/>
        <v/>
      </c>
      <c r="B2987">
        <f t="shared" ca="1" si="93"/>
        <v>0</v>
      </c>
    </row>
    <row r="2988" spans="1:2">
      <c r="A2988" t="str">
        <f t="shared" ca="1" si="92"/>
        <v/>
      </c>
      <c r="B2988">
        <f t="shared" ca="1" si="93"/>
        <v>0</v>
      </c>
    </row>
    <row r="2989" spans="1:2">
      <c r="A2989" t="str">
        <f t="shared" ca="1" si="92"/>
        <v/>
      </c>
      <c r="B2989">
        <f t="shared" ca="1" si="93"/>
        <v>0</v>
      </c>
    </row>
    <row r="2990" spans="1:2">
      <c r="A2990" t="str">
        <f t="shared" ca="1" si="92"/>
        <v/>
      </c>
      <c r="B2990">
        <f t="shared" ca="1" si="93"/>
        <v>0</v>
      </c>
    </row>
    <row r="2991" spans="1:2">
      <c r="A2991" t="str">
        <f t="shared" ca="1" si="92"/>
        <v/>
      </c>
      <c r="B2991">
        <f t="shared" ca="1" si="93"/>
        <v>0</v>
      </c>
    </row>
    <row r="2992" spans="1:2">
      <c r="A2992" t="str">
        <f t="shared" ca="1" si="92"/>
        <v/>
      </c>
      <c r="B2992">
        <f t="shared" ca="1" si="93"/>
        <v>0</v>
      </c>
    </row>
    <row r="2993" spans="1:2">
      <c r="A2993" t="str">
        <f t="shared" ca="1" si="92"/>
        <v/>
      </c>
      <c r="B2993">
        <f t="shared" ca="1" si="93"/>
        <v>0</v>
      </c>
    </row>
    <row r="2994" spans="1:2">
      <c r="A2994" t="str">
        <f t="shared" ca="1" si="92"/>
        <v/>
      </c>
      <c r="B2994">
        <f t="shared" ca="1" si="93"/>
        <v>0</v>
      </c>
    </row>
    <row r="2995" spans="1:2">
      <c r="A2995" t="str">
        <f t="shared" ca="1" si="92"/>
        <v/>
      </c>
      <c r="B2995">
        <f t="shared" ca="1" si="93"/>
        <v>0</v>
      </c>
    </row>
    <row r="2996" spans="1:2">
      <c r="A2996" t="str">
        <f t="shared" ca="1" si="92"/>
        <v/>
      </c>
      <c r="B2996">
        <f t="shared" ca="1" si="93"/>
        <v>0</v>
      </c>
    </row>
    <row r="2997" spans="1:2">
      <c r="A2997" t="str">
        <f t="shared" ca="1" si="92"/>
        <v/>
      </c>
      <c r="B2997">
        <f t="shared" ca="1" si="93"/>
        <v>0</v>
      </c>
    </row>
    <row r="2998" spans="1:2">
      <c r="A2998" t="str">
        <f t="shared" ca="1" si="92"/>
        <v/>
      </c>
      <c r="B2998">
        <f t="shared" ca="1" si="93"/>
        <v>0</v>
      </c>
    </row>
    <row r="2999" spans="1:2">
      <c r="A2999" t="str">
        <f t="shared" ca="1" si="92"/>
        <v/>
      </c>
      <c r="B2999">
        <f t="shared" ca="1" si="93"/>
        <v>0</v>
      </c>
    </row>
    <row r="3000" spans="1:2">
      <c r="A3000" t="str">
        <f t="shared" ca="1" si="92"/>
        <v/>
      </c>
      <c r="B3000">
        <f t="shared" ca="1" si="93"/>
        <v>0</v>
      </c>
    </row>
    <row r="3001" spans="1:2">
      <c r="A3001" t="str">
        <f t="shared" ca="1" si="92"/>
        <v/>
      </c>
      <c r="B3001">
        <f t="shared" ca="1" si="93"/>
        <v>0</v>
      </c>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sheetData>
  <sheetProtection formatCells="0" formatColumns="0" formatRows="0" autoFilter="0"/>
  <autoFilter ref="A1:F3001" xr:uid="{00000000-0009-0000-0000-000002000000}"/>
  <conditionalFormatting sqref="C2:F3001">
    <cfRule type="expression" dxfId="27" priority="1" stopIfTrue="1">
      <formula>OFFSET(Point0_N_1,ROW()-1,0)&gt;0</formula>
    </cfRule>
  </conditionalFormatting>
  <printOptions horizontalCentered="1" gridLines="1"/>
  <pageMargins left="0" right="0" top="0.78740157480314965" bottom="0.78740157480314965" header="0.19685039370078741" footer="0.19685039370078741"/>
  <pageSetup paperSize="9" fitToHeight="100" orientation="portrait" r:id="rId1"/>
  <headerFooter>
    <oddHeader>&amp;C&amp;14&amp;F&amp;R&amp;14&amp;P/&amp;N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9" r:id="rId4" name="GoToMain">
              <controlPr defaultSize="0" print="0" autoFill="0" autoPict="0" macro="[0]!GoToMain">
                <anchor moveWithCells="1" sizeWithCells="1">
                  <from>
                    <xdr:col>0</xdr:col>
                    <xdr:colOff>0</xdr:colOff>
                    <xdr:row>0</xdr:row>
                    <xdr:rowOff>0</xdr:rowOff>
                  </from>
                  <to>
                    <xdr:col>2</xdr:col>
                    <xdr:colOff>365760</xdr:colOff>
                    <xdr:row>0</xdr:row>
                    <xdr:rowOff>228600</xdr:rowOff>
                  </to>
                </anchor>
              </controlPr>
            </control>
          </mc:Choice>
        </mc:AlternateContent>
        <mc:AlternateContent xmlns:mc="http://schemas.openxmlformats.org/markup-compatibility/2006">
          <mc:Choice Requires="x14">
            <control shapeId="82950" r:id="rId5" name="GoToLast">
              <controlPr defaultSize="0" print="0" autoFill="0" autoPict="0" macro="[0]!GoToLastSelection">
                <anchor moveWithCells="1" sizeWithCells="1">
                  <from>
                    <xdr:col>2</xdr:col>
                    <xdr:colOff>373380</xdr:colOff>
                    <xdr:row>0</xdr:row>
                    <xdr:rowOff>0</xdr:rowOff>
                  </from>
                  <to>
                    <xdr:col>2</xdr:col>
                    <xdr:colOff>731520</xdr:colOff>
                    <xdr:row>0</xdr:row>
                    <xdr:rowOff>228600</xdr:rowOff>
                  </to>
                </anchor>
              </controlPr>
            </control>
          </mc:Choice>
        </mc:AlternateContent>
        <mc:AlternateContent xmlns:mc="http://schemas.openxmlformats.org/markup-compatibility/2006">
          <mc:Choice Requires="x14">
            <control shapeId="82951" r:id="rId6" name="Button 7">
              <controlPr defaultSize="0" print="0" autoFill="0" autoPict="0" macro="[0]!Bouton_Vider_Balance_N_1" altText="Vider Balance">
                <anchor moveWithCells="1">
                  <from>
                    <xdr:col>2</xdr:col>
                    <xdr:colOff>762000</xdr:colOff>
                    <xdr:row>0</xdr:row>
                    <xdr:rowOff>0</xdr:rowOff>
                  </from>
                  <to>
                    <xdr:col>3</xdr:col>
                    <xdr:colOff>419100</xdr:colOff>
                    <xdr:row>0</xdr:row>
                    <xdr:rowOff>228600</xdr:rowOff>
                  </to>
                </anchor>
              </controlPr>
            </control>
          </mc:Choice>
        </mc:AlternateContent>
        <mc:AlternateContent xmlns:mc="http://schemas.openxmlformats.org/markup-compatibility/2006">
          <mc:Choice Requires="x14">
            <control shapeId="82952" r:id="rId7" name="Button 8">
              <controlPr defaultSize="0" print="0" autoFill="0" autoPict="0" macro="[0]!Marquer_Comptes_Non_Valides_N_1" altText="Vider Balance">
                <anchor moveWithCells="1">
                  <from>
                    <xdr:col>3</xdr:col>
                    <xdr:colOff>441960</xdr:colOff>
                    <xdr:row>0</xdr:row>
                    <xdr:rowOff>0</xdr:rowOff>
                  </from>
                  <to>
                    <xdr:col>3</xdr:col>
                    <xdr:colOff>3185160</xdr:colOff>
                    <xdr:row>0</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EFD34-2680-4A3B-B81F-916824EC6160}">
  <dimension ref="A1:D62"/>
  <sheetViews>
    <sheetView topLeftCell="A44" workbookViewId="0">
      <selection activeCell="A2" sqref="A2:D62"/>
    </sheetView>
  </sheetViews>
  <sheetFormatPr baseColWidth="10" defaultRowHeight="13.2"/>
  <cols>
    <col min="1" max="1" width="10.5546875" bestFit="1" customWidth="1"/>
    <col min="2" max="2" width="80.88671875" bestFit="1" customWidth="1"/>
    <col min="3" max="3" width="21.44140625" bestFit="1" customWidth="1"/>
    <col min="4" max="4" width="22" bestFit="1" customWidth="1"/>
  </cols>
  <sheetData>
    <row r="1" spans="1:4">
      <c r="A1" t="s">
        <v>1453</v>
      </c>
      <c r="B1" t="s">
        <v>1454</v>
      </c>
      <c r="C1" t="s">
        <v>1516</v>
      </c>
      <c r="D1" t="s">
        <v>1517</v>
      </c>
    </row>
    <row r="2" spans="1:4">
      <c r="A2">
        <v>11110000</v>
      </c>
      <c r="B2" s="1160" t="s">
        <v>1457</v>
      </c>
      <c r="C2">
        <v>0</v>
      </c>
      <c r="D2">
        <v>200000</v>
      </c>
    </row>
    <row r="3" spans="1:4">
      <c r="A3">
        <v>11690000</v>
      </c>
      <c r="B3" s="1160" t="s">
        <v>1458</v>
      </c>
      <c r="C3">
        <v>311644.68</v>
      </c>
      <c r="D3">
        <v>0</v>
      </c>
    </row>
    <row r="4" spans="1:4">
      <c r="A4">
        <v>11990000</v>
      </c>
      <c r="B4" s="1160" t="s">
        <v>1459</v>
      </c>
      <c r="C4">
        <v>0</v>
      </c>
      <c r="D4">
        <v>0</v>
      </c>
    </row>
    <row r="5" spans="1:4">
      <c r="A5">
        <v>21110000</v>
      </c>
      <c r="B5" s="1160" t="s">
        <v>1460</v>
      </c>
      <c r="C5">
        <v>4106</v>
      </c>
      <c r="D5">
        <v>0</v>
      </c>
    </row>
    <row r="6" spans="1:4">
      <c r="A6">
        <v>22200000</v>
      </c>
      <c r="B6" s="1160" t="s">
        <v>38</v>
      </c>
      <c r="C6">
        <v>28250</v>
      </c>
      <c r="D6">
        <v>0</v>
      </c>
    </row>
    <row r="7" spans="1:4">
      <c r="A7">
        <v>23310000</v>
      </c>
      <c r="B7" s="1160" t="s">
        <v>1461</v>
      </c>
      <c r="C7">
        <v>14860</v>
      </c>
      <c r="D7">
        <v>0</v>
      </c>
    </row>
    <row r="8" spans="1:4">
      <c r="A8">
        <v>23400000</v>
      </c>
      <c r="B8" s="1160" t="s">
        <v>44</v>
      </c>
      <c r="C8">
        <v>235875</v>
      </c>
      <c r="D8">
        <v>0</v>
      </c>
    </row>
    <row r="9" spans="1:4">
      <c r="A9">
        <v>23510000</v>
      </c>
      <c r="B9" s="1160" t="s">
        <v>1462</v>
      </c>
      <c r="C9">
        <v>67024.66</v>
      </c>
      <c r="D9">
        <v>0</v>
      </c>
    </row>
    <row r="10" spans="1:4">
      <c r="A10">
        <v>23550000</v>
      </c>
      <c r="B10" s="1160" t="s">
        <v>1463</v>
      </c>
      <c r="C10">
        <v>8287.35</v>
      </c>
      <c r="D10">
        <v>0</v>
      </c>
    </row>
    <row r="11" spans="1:4">
      <c r="A11">
        <v>23560000</v>
      </c>
      <c r="B11" s="1160" t="s">
        <v>1464</v>
      </c>
      <c r="C11">
        <v>4590</v>
      </c>
      <c r="D11">
        <v>0</v>
      </c>
    </row>
    <row r="12" spans="1:4">
      <c r="A12">
        <v>28110000</v>
      </c>
      <c r="B12" s="1160" t="s">
        <v>1465</v>
      </c>
      <c r="C12">
        <v>0</v>
      </c>
      <c r="D12">
        <v>4105.6000000000004</v>
      </c>
    </row>
    <row r="13" spans="1:4">
      <c r="A13">
        <v>28220000</v>
      </c>
      <c r="B13" s="1160" t="s">
        <v>1466</v>
      </c>
      <c r="C13">
        <v>0</v>
      </c>
      <c r="D13">
        <v>25895.83</v>
      </c>
    </row>
    <row r="14" spans="1:4">
      <c r="A14">
        <v>28280000</v>
      </c>
      <c r="B14" s="1160" t="s">
        <v>1467</v>
      </c>
      <c r="C14">
        <v>0</v>
      </c>
      <c r="D14">
        <v>2354.17</v>
      </c>
    </row>
    <row r="15" spans="1:4">
      <c r="A15">
        <v>28330000</v>
      </c>
      <c r="B15" s="1160" t="s">
        <v>1468</v>
      </c>
      <c r="C15">
        <v>0</v>
      </c>
      <c r="D15">
        <v>1795.58</v>
      </c>
    </row>
    <row r="16" spans="1:4">
      <c r="A16">
        <v>28340000</v>
      </c>
      <c r="B16" s="1160" t="s">
        <v>1469</v>
      </c>
      <c r="C16">
        <v>0</v>
      </c>
      <c r="D16">
        <v>235873</v>
      </c>
    </row>
    <row r="17" spans="1:4">
      <c r="A17">
        <v>28356000</v>
      </c>
      <c r="B17" s="1160" t="s">
        <v>1470</v>
      </c>
      <c r="C17">
        <v>0</v>
      </c>
      <c r="D17">
        <v>79587.649999999994</v>
      </c>
    </row>
    <row r="18" spans="1:4">
      <c r="A18">
        <v>31510000</v>
      </c>
      <c r="B18" s="1160" t="s">
        <v>1471</v>
      </c>
      <c r="C18">
        <v>401035.17</v>
      </c>
      <c r="D18">
        <v>0</v>
      </c>
    </row>
    <row r="19" spans="1:4">
      <c r="A19">
        <v>34210000</v>
      </c>
      <c r="B19" s="1160" t="s">
        <v>1472</v>
      </c>
      <c r="C19">
        <v>622316.55000000005</v>
      </c>
      <c r="D19">
        <v>0</v>
      </c>
    </row>
    <row r="20" spans="1:4">
      <c r="A20">
        <v>34530000</v>
      </c>
      <c r="B20" s="1160" t="s">
        <v>1473</v>
      </c>
      <c r="C20">
        <v>5641.2</v>
      </c>
      <c r="D20">
        <v>0</v>
      </c>
    </row>
    <row r="21" spans="1:4">
      <c r="A21">
        <v>34550000</v>
      </c>
      <c r="B21" s="1160" t="s">
        <v>1474</v>
      </c>
      <c r="C21">
        <v>4362.62</v>
      </c>
      <c r="D21">
        <v>0</v>
      </c>
    </row>
    <row r="22" spans="1:4">
      <c r="A22">
        <v>34551000</v>
      </c>
      <c r="B22" s="1160" t="s">
        <v>1475</v>
      </c>
      <c r="C22">
        <v>5733</v>
      </c>
      <c r="D22">
        <v>0</v>
      </c>
    </row>
    <row r="23" spans="1:4">
      <c r="A23">
        <v>34552000</v>
      </c>
      <c r="B23" s="1160" t="s">
        <v>1476</v>
      </c>
      <c r="C23">
        <v>5451.55</v>
      </c>
      <c r="D23">
        <v>0</v>
      </c>
    </row>
    <row r="24" spans="1:4">
      <c r="A24">
        <v>44110000</v>
      </c>
      <c r="B24" s="1160" t="s">
        <v>1477</v>
      </c>
      <c r="C24">
        <v>0</v>
      </c>
      <c r="D24">
        <v>921.57</v>
      </c>
    </row>
    <row r="25" spans="1:4">
      <c r="A25">
        <v>44110001</v>
      </c>
      <c r="B25" s="1160" t="s">
        <v>1478</v>
      </c>
      <c r="C25">
        <v>0</v>
      </c>
      <c r="D25">
        <v>3960</v>
      </c>
    </row>
    <row r="26" spans="1:4">
      <c r="A26">
        <v>44110002</v>
      </c>
      <c r="B26" s="1160" t="s">
        <v>1479</v>
      </c>
      <c r="C26">
        <v>0</v>
      </c>
      <c r="D26">
        <v>0</v>
      </c>
    </row>
    <row r="27" spans="1:4">
      <c r="A27">
        <v>44110003</v>
      </c>
      <c r="B27" s="1160" t="s">
        <v>1480</v>
      </c>
      <c r="C27">
        <v>0</v>
      </c>
      <c r="D27">
        <v>1747.38</v>
      </c>
    </row>
    <row r="28" spans="1:4">
      <c r="A28">
        <v>44110012</v>
      </c>
      <c r="B28" s="1160" t="s">
        <v>1481</v>
      </c>
      <c r="C28">
        <v>0</v>
      </c>
      <c r="D28">
        <v>128.52000000000001</v>
      </c>
    </row>
    <row r="29" spans="1:4">
      <c r="A29">
        <v>44110013</v>
      </c>
      <c r="B29" s="1160" t="s">
        <v>1482</v>
      </c>
      <c r="C29">
        <v>0</v>
      </c>
      <c r="D29">
        <v>892.28</v>
      </c>
    </row>
    <row r="30" spans="1:4">
      <c r="A30">
        <v>44110015</v>
      </c>
      <c r="B30" s="1160" t="s">
        <v>1483</v>
      </c>
      <c r="C30">
        <v>0</v>
      </c>
      <c r="D30">
        <v>7205.58</v>
      </c>
    </row>
    <row r="31" spans="1:4">
      <c r="A31">
        <v>44110018</v>
      </c>
      <c r="B31" s="1160" t="s">
        <v>1484</v>
      </c>
      <c r="C31">
        <v>0</v>
      </c>
      <c r="D31">
        <v>14850</v>
      </c>
    </row>
    <row r="32" spans="1:4">
      <c r="A32">
        <v>44110024</v>
      </c>
      <c r="B32" s="1160" t="s">
        <v>1485</v>
      </c>
      <c r="C32">
        <v>0</v>
      </c>
      <c r="D32">
        <v>4019.04</v>
      </c>
    </row>
    <row r="33" spans="1:4">
      <c r="A33">
        <v>44110223</v>
      </c>
      <c r="B33" s="1160" t="s">
        <v>1486</v>
      </c>
      <c r="C33">
        <v>0</v>
      </c>
      <c r="D33">
        <v>0</v>
      </c>
    </row>
    <row r="34" spans="1:4">
      <c r="A34">
        <v>44110689</v>
      </c>
      <c r="B34" s="1160" t="s">
        <v>1487</v>
      </c>
      <c r="C34">
        <v>0</v>
      </c>
      <c r="D34">
        <v>7083.72</v>
      </c>
    </row>
    <row r="35" spans="1:4">
      <c r="A35">
        <v>44320000</v>
      </c>
      <c r="B35" s="1160" t="s">
        <v>1488</v>
      </c>
      <c r="C35">
        <v>0</v>
      </c>
      <c r="D35">
        <v>572699.89</v>
      </c>
    </row>
    <row r="36" spans="1:4">
      <c r="A36">
        <v>44410000</v>
      </c>
      <c r="B36" s="1160" t="s">
        <v>1489</v>
      </c>
      <c r="C36">
        <v>0</v>
      </c>
      <c r="D36">
        <v>3116.49</v>
      </c>
    </row>
    <row r="37" spans="1:4">
      <c r="A37">
        <v>44522000</v>
      </c>
      <c r="B37" s="1160" t="s">
        <v>1490</v>
      </c>
      <c r="C37">
        <v>0</v>
      </c>
      <c r="D37">
        <v>4320</v>
      </c>
    </row>
    <row r="38" spans="1:4">
      <c r="A38">
        <v>44525000</v>
      </c>
      <c r="B38" s="1160" t="s">
        <v>1491</v>
      </c>
      <c r="C38">
        <v>0</v>
      </c>
      <c r="D38">
        <v>1473.92</v>
      </c>
    </row>
    <row r="39" spans="1:4">
      <c r="A39">
        <v>44530000</v>
      </c>
      <c r="B39" s="1160" t="s">
        <v>1492</v>
      </c>
      <c r="C39">
        <v>0</v>
      </c>
      <c r="D39">
        <v>2557.8000000000002</v>
      </c>
    </row>
    <row r="40" spans="1:4">
      <c r="A40">
        <v>44550000</v>
      </c>
      <c r="B40" s="1160" t="s">
        <v>1493</v>
      </c>
      <c r="C40">
        <v>0</v>
      </c>
      <c r="D40">
        <v>108637.31</v>
      </c>
    </row>
    <row r="41" spans="1:4">
      <c r="A41">
        <v>44560000</v>
      </c>
      <c r="B41" s="1160" t="s">
        <v>1494</v>
      </c>
      <c r="C41">
        <v>0</v>
      </c>
      <c r="D41">
        <v>8278.2800000000007</v>
      </c>
    </row>
    <row r="42" spans="1:4">
      <c r="A42">
        <v>44630000</v>
      </c>
      <c r="B42" s="1160" t="s">
        <v>1495</v>
      </c>
      <c r="C42">
        <v>0</v>
      </c>
      <c r="D42">
        <v>430443.23</v>
      </c>
    </row>
    <row r="43" spans="1:4">
      <c r="A43">
        <v>51410000</v>
      </c>
      <c r="B43" s="1160" t="s">
        <v>1496</v>
      </c>
      <c r="C43">
        <v>5541.54</v>
      </c>
      <c r="D43">
        <v>0</v>
      </c>
    </row>
    <row r="44" spans="1:4">
      <c r="A44">
        <v>51610000</v>
      </c>
      <c r="B44" s="1160" t="s">
        <v>1497</v>
      </c>
      <c r="C44">
        <v>4713.78</v>
      </c>
      <c r="D44">
        <v>0</v>
      </c>
    </row>
    <row r="45" spans="1:4">
      <c r="A45">
        <v>61250000</v>
      </c>
      <c r="B45" s="1160" t="s">
        <v>1498</v>
      </c>
      <c r="C45">
        <v>9300.64</v>
      </c>
      <c r="D45">
        <v>0</v>
      </c>
    </row>
    <row r="46" spans="1:4">
      <c r="A46">
        <v>61310000</v>
      </c>
      <c r="B46" s="1160" t="s">
        <v>1499</v>
      </c>
      <c r="C46">
        <v>47520</v>
      </c>
      <c r="D46">
        <v>0</v>
      </c>
    </row>
    <row r="47" spans="1:4">
      <c r="A47">
        <v>61450000</v>
      </c>
      <c r="B47" s="1160" t="s">
        <v>1500</v>
      </c>
      <c r="C47">
        <v>10961.33</v>
      </c>
      <c r="D47">
        <v>0</v>
      </c>
    </row>
    <row r="48" spans="1:4">
      <c r="A48">
        <v>61470000</v>
      </c>
      <c r="B48" s="1160" t="s">
        <v>1501</v>
      </c>
      <c r="C48">
        <v>854.84</v>
      </c>
      <c r="D48">
        <v>0</v>
      </c>
    </row>
    <row r="49" spans="1:4">
      <c r="A49">
        <v>61612000</v>
      </c>
      <c r="B49" s="1160" t="s">
        <v>1502</v>
      </c>
      <c r="C49">
        <v>4320</v>
      </c>
      <c r="D49">
        <v>0</v>
      </c>
    </row>
    <row r="50" spans="1:4">
      <c r="A50">
        <v>61671000</v>
      </c>
      <c r="B50" s="1160" t="s">
        <v>1503</v>
      </c>
      <c r="C50">
        <v>9</v>
      </c>
      <c r="D50">
        <v>0</v>
      </c>
    </row>
    <row r="51" spans="1:4">
      <c r="A51">
        <v>61680000</v>
      </c>
      <c r="B51" s="1160" t="s">
        <v>1504</v>
      </c>
      <c r="C51">
        <v>0</v>
      </c>
      <c r="D51">
        <v>0</v>
      </c>
    </row>
    <row r="52" spans="1:4">
      <c r="A52">
        <v>61710000</v>
      </c>
      <c r="B52" s="1160" t="s">
        <v>1505</v>
      </c>
      <c r="C52">
        <v>136670.39999999999</v>
      </c>
      <c r="D52">
        <v>0</v>
      </c>
    </row>
    <row r="53" spans="1:4">
      <c r="A53">
        <v>61712000</v>
      </c>
      <c r="B53" s="1160" t="s">
        <v>1506</v>
      </c>
      <c r="C53">
        <v>45814.5</v>
      </c>
      <c r="D53">
        <v>0</v>
      </c>
    </row>
    <row r="54" spans="1:4">
      <c r="A54">
        <v>61740000</v>
      </c>
      <c r="B54" s="1160" t="s">
        <v>1507</v>
      </c>
      <c r="C54">
        <v>28100.95</v>
      </c>
      <c r="D54">
        <v>0</v>
      </c>
    </row>
    <row r="55" spans="1:4">
      <c r="A55">
        <v>61850000</v>
      </c>
      <c r="B55" s="1160" t="s">
        <v>1508</v>
      </c>
      <c r="C55">
        <v>7.24</v>
      </c>
      <c r="D55">
        <v>0</v>
      </c>
    </row>
    <row r="56" spans="1:4">
      <c r="A56">
        <v>61935000</v>
      </c>
      <c r="B56" s="1160" t="s">
        <v>1509</v>
      </c>
      <c r="C56">
        <v>6800</v>
      </c>
      <c r="D56">
        <v>0</v>
      </c>
    </row>
    <row r="57" spans="1:4">
      <c r="A57">
        <v>65830000</v>
      </c>
      <c r="B57" s="1160" t="s">
        <v>1510</v>
      </c>
      <c r="C57">
        <v>1100</v>
      </c>
      <c r="D57">
        <v>0</v>
      </c>
    </row>
    <row r="58" spans="1:4">
      <c r="A58">
        <v>67050000</v>
      </c>
      <c r="B58" s="1160" t="s">
        <v>1511</v>
      </c>
      <c r="C58">
        <v>2430</v>
      </c>
      <c r="D58">
        <v>0</v>
      </c>
    </row>
    <row r="59" spans="1:4">
      <c r="A59">
        <v>71210000</v>
      </c>
      <c r="B59" s="1160" t="s">
        <v>1512</v>
      </c>
      <c r="C59">
        <v>0</v>
      </c>
      <c r="D59">
        <v>1350</v>
      </c>
    </row>
    <row r="60" spans="1:4">
      <c r="A60">
        <v>71240000</v>
      </c>
      <c r="B60" s="1160" t="s">
        <v>1513</v>
      </c>
      <c r="C60">
        <v>0</v>
      </c>
      <c r="D60">
        <v>237021.9</v>
      </c>
    </row>
    <row r="61" spans="1:4">
      <c r="A61">
        <v>71312000</v>
      </c>
      <c r="B61" s="1160" t="s">
        <v>1514</v>
      </c>
      <c r="C61">
        <v>0</v>
      </c>
      <c r="D61">
        <v>63000</v>
      </c>
    </row>
    <row r="62" spans="1:4">
      <c r="A62">
        <v>71850000</v>
      </c>
      <c r="B62" s="1160" t="s">
        <v>1515</v>
      </c>
      <c r="C62">
        <v>0</v>
      </c>
      <c r="D62">
        <v>3.26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8535-144F-4B67-A9DE-E30EEC6EB67D}">
  <dimension ref="A1"/>
  <sheetViews>
    <sheetView workbookViewId="0">
      <selection activeCell="L30" sqref="L30"/>
    </sheetView>
  </sheetViews>
  <sheetFormatPr baseColWidth="10" defaultRowHeight="13.2"/>
  <cols>
    <col min="1" max="1" width="10.5546875" bestFit="1" customWidth="1"/>
    <col min="2" max="2" width="80.88671875" bestFit="1" customWidth="1"/>
    <col min="3" max="3" width="13.6640625" bestFit="1" customWidth="1"/>
    <col min="4" max="4" width="14.2187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00"/>
  <dimension ref="A1:I51"/>
  <sheetViews>
    <sheetView workbookViewId="0">
      <selection activeCell="D19" sqref="D19"/>
    </sheetView>
  </sheetViews>
  <sheetFormatPr baseColWidth="10" defaultColWidth="11.44140625" defaultRowHeight="13.2"/>
  <cols>
    <col min="1" max="1" width="5.6640625" style="4" customWidth="1"/>
    <col min="2" max="2" width="11.44140625" style="4"/>
    <col min="3" max="3" width="11.5546875" style="4" customWidth="1"/>
    <col min="4" max="4" width="16.44140625" style="4" bestFit="1" customWidth="1"/>
    <col min="5" max="8" width="11.44140625" style="4"/>
    <col min="9" max="9" width="5.6640625" style="4" customWidth="1"/>
    <col min="10" max="16384" width="11.44140625" style="4"/>
  </cols>
  <sheetData>
    <row r="1" spans="1:9">
      <c r="A1" s="52">
        <v>1</v>
      </c>
      <c r="B1" s="25"/>
      <c r="C1" s="25"/>
      <c r="D1" s="25"/>
      <c r="E1" s="25"/>
      <c r="F1" s="25"/>
      <c r="G1" s="25"/>
      <c r="H1" s="26" t="s">
        <v>310</v>
      </c>
      <c r="I1" s="27"/>
    </row>
    <row r="2" spans="1:9" ht="13.8" thickBot="1">
      <c r="A2" s="28"/>
      <c r="B2" s="29"/>
      <c r="C2" s="29"/>
      <c r="D2" s="29"/>
      <c r="E2" s="29"/>
      <c r="F2" s="29"/>
      <c r="G2" s="29"/>
      <c r="H2" s="29"/>
      <c r="I2" s="30"/>
    </row>
    <row r="3" spans="1:9" ht="17.399999999999999">
      <c r="A3" s="43"/>
      <c r="C3" s="912" t="s">
        <v>311</v>
      </c>
      <c r="D3" s="913"/>
      <c r="E3" s="913"/>
      <c r="F3" s="913"/>
      <c r="G3" s="914"/>
      <c r="H3" s="44"/>
      <c r="I3" s="45"/>
    </row>
    <row r="4" spans="1:9" ht="17.399999999999999">
      <c r="A4" s="43"/>
      <c r="C4" s="915" t="s">
        <v>312</v>
      </c>
      <c r="D4" s="916"/>
      <c r="E4" s="916"/>
      <c r="F4" s="916"/>
      <c r="G4" s="917"/>
      <c r="H4" s="44"/>
      <c r="I4" s="45"/>
    </row>
    <row r="5" spans="1:9" ht="17.399999999999999">
      <c r="A5" s="43"/>
      <c r="C5" s="918">
        <f>YEAR(SIMPL_Cell_exerciceFiscalAu)</f>
        <v>2017</v>
      </c>
      <c r="D5" s="919"/>
      <c r="E5" s="919"/>
      <c r="F5" s="919"/>
      <c r="G5" s="920"/>
      <c r="H5" s="44"/>
      <c r="I5" s="45"/>
    </row>
    <row r="6" spans="1:9">
      <c r="A6" s="28"/>
      <c r="C6" s="48"/>
      <c r="D6" s="29"/>
      <c r="E6" s="29"/>
      <c r="F6" s="29"/>
      <c r="G6" s="49"/>
      <c r="H6" s="29"/>
      <c r="I6" s="30"/>
    </row>
    <row r="7" spans="1:9" ht="22.8">
      <c r="A7" s="28"/>
      <c r="C7" s="921" t="s">
        <v>313</v>
      </c>
      <c r="D7" s="922"/>
      <c r="E7" s="922"/>
      <c r="F7" s="922"/>
      <c r="G7" s="923"/>
      <c r="H7" s="29"/>
      <c r="I7" s="30"/>
    </row>
    <row r="8" spans="1:9" ht="23.4" thickBot="1">
      <c r="A8" s="46"/>
      <c r="C8" s="924" t="s">
        <v>314</v>
      </c>
      <c r="D8" s="925"/>
      <c r="E8" s="925"/>
      <c r="F8" s="925"/>
      <c r="G8" s="926"/>
      <c r="H8" s="24"/>
      <c r="I8" s="47"/>
    </row>
    <row r="9" spans="1:9">
      <c r="A9" s="28"/>
      <c r="C9" s="29"/>
      <c r="D9" s="29"/>
      <c r="E9" s="29"/>
      <c r="F9" s="29"/>
      <c r="G9" s="29"/>
      <c r="H9" s="29"/>
      <c r="I9" s="30"/>
    </row>
    <row r="10" spans="1:9">
      <c r="A10" s="28"/>
      <c r="B10" s="29"/>
      <c r="C10" s="29"/>
      <c r="D10" s="29"/>
      <c r="E10" s="29"/>
      <c r="F10" s="29"/>
      <c r="G10" s="29"/>
      <c r="H10" s="29"/>
      <c r="I10" s="30"/>
    </row>
    <row r="11" spans="1:9">
      <c r="A11" s="28"/>
      <c r="B11" s="29"/>
      <c r="C11" s="29"/>
      <c r="D11" s="29"/>
      <c r="E11" s="29"/>
      <c r="F11" s="29"/>
      <c r="G11" s="29"/>
      <c r="H11" s="29"/>
      <c r="I11" s="30"/>
    </row>
    <row r="12" spans="1:9">
      <c r="A12" s="28"/>
      <c r="B12" s="29"/>
      <c r="C12" s="29"/>
      <c r="D12" s="29"/>
      <c r="E12" s="29"/>
      <c r="F12" s="29"/>
      <c r="G12" s="29"/>
      <c r="H12" s="29"/>
      <c r="I12" s="30"/>
    </row>
    <row r="13" spans="1:9" ht="22.8">
      <c r="A13" s="28"/>
      <c r="B13" s="911" t="s">
        <v>1211</v>
      </c>
      <c r="C13" s="911"/>
      <c r="D13" s="50" t="str">
        <f>CONCATENATE(SIMPL_Cell_societe)</f>
        <v>D3 Soft SARL AU</v>
      </c>
      <c r="E13" s="51"/>
      <c r="F13" s="51"/>
      <c r="G13" s="51"/>
      <c r="H13" s="51"/>
      <c r="I13" s="30"/>
    </row>
    <row r="14" spans="1:9" ht="12" customHeight="1">
      <c r="A14" s="28"/>
      <c r="B14" s="31"/>
      <c r="C14" s="29"/>
      <c r="D14" s="29"/>
      <c r="E14" s="29"/>
      <c r="F14" s="29"/>
      <c r="G14" s="29"/>
      <c r="H14" s="29"/>
      <c r="I14" s="30"/>
    </row>
    <row r="15" spans="1:9" ht="12" customHeight="1">
      <c r="A15" s="28"/>
      <c r="B15" s="31"/>
      <c r="C15" s="29"/>
      <c r="D15" s="29"/>
      <c r="E15" s="29"/>
      <c r="F15" s="29"/>
      <c r="G15" s="29"/>
      <c r="H15" s="29"/>
      <c r="I15" s="30"/>
    </row>
    <row r="16" spans="1:9" ht="22.8">
      <c r="A16" s="28"/>
      <c r="B16" s="911" t="s">
        <v>537</v>
      </c>
      <c r="C16" s="911"/>
      <c r="D16" s="81" t="str">
        <f>CONCATENATE(SIMPL_Cell_identifiantFiscal)</f>
        <v>9999999</v>
      </c>
      <c r="E16" s="51"/>
      <c r="F16" s="51"/>
      <c r="G16" s="51"/>
      <c r="H16" s="51"/>
      <c r="I16" s="30"/>
    </row>
    <row r="17" spans="1:9" ht="12" customHeight="1">
      <c r="A17" s="28"/>
      <c r="B17" s="31"/>
      <c r="C17" s="29"/>
      <c r="D17" s="29"/>
      <c r="E17" s="29"/>
      <c r="F17" s="29"/>
      <c r="G17" s="29"/>
      <c r="H17" s="29"/>
      <c r="I17" s="30"/>
    </row>
    <row r="18" spans="1:9" ht="12" customHeight="1">
      <c r="A18" s="28"/>
      <c r="B18" s="31"/>
      <c r="C18" s="29"/>
      <c r="D18" s="29"/>
      <c r="E18" s="29"/>
      <c r="F18" s="29"/>
      <c r="G18" s="29"/>
      <c r="H18" s="29"/>
      <c r="I18" s="30"/>
    </row>
    <row r="19" spans="1:9" ht="22.8">
      <c r="A19" s="28"/>
      <c r="B19" s="911" t="s">
        <v>1212</v>
      </c>
      <c r="C19" s="911"/>
      <c r="D19" s="81" t="str">
        <f>LEFT(SIMPL_Cell_identifiantCommun,9)&amp;"-"&amp;MID(SIMPL_Cell_identifiantCommun,10,4)&amp;"-"&amp;RIGHT(SIMPL_Cell_identifiantCommun,2)</f>
        <v>000000000-0000-00</v>
      </c>
      <c r="E19" s="51"/>
      <c r="F19" s="51"/>
      <c r="G19" s="51"/>
      <c r="H19" s="51"/>
      <c r="I19" s="30"/>
    </row>
    <row r="20" spans="1:9" ht="12" customHeight="1">
      <c r="A20" s="28"/>
      <c r="B20" s="31"/>
      <c r="C20" s="29"/>
      <c r="D20" s="29"/>
      <c r="E20" s="29"/>
      <c r="F20" s="29"/>
      <c r="G20" s="29"/>
      <c r="H20" s="29"/>
      <c r="I20" s="30"/>
    </row>
    <row r="21" spans="1:9" ht="12" customHeight="1">
      <c r="A21" s="28"/>
      <c r="B21" s="31"/>
      <c r="C21" s="29"/>
      <c r="D21" s="29"/>
      <c r="E21" s="29"/>
      <c r="F21" s="29"/>
      <c r="G21" s="29"/>
      <c r="H21" s="29"/>
      <c r="I21" s="30"/>
    </row>
    <row r="22" spans="1:9" ht="22.8">
      <c r="A22" s="28"/>
      <c r="B22" s="911" t="s">
        <v>315</v>
      </c>
      <c r="C22" s="911"/>
      <c r="D22" s="50" t="str">
        <f>CONCATENATE(SIMPL_Cell_adresse)</f>
        <v>MonAdresse</v>
      </c>
      <c r="E22" s="51"/>
      <c r="F22" s="51"/>
      <c r="G22" s="51"/>
      <c r="H22" s="51"/>
      <c r="I22" s="30"/>
    </row>
    <row r="23" spans="1:9" ht="22.8">
      <c r="A23" s="28"/>
      <c r="B23" s="29"/>
      <c r="C23" s="29"/>
      <c r="D23" s="50" t="str">
        <f>CONCATENATE(SIMPL_Cell_ville)</f>
        <v>MaVille</v>
      </c>
      <c r="E23" s="51"/>
      <c r="F23" s="51"/>
      <c r="G23" s="51"/>
      <c r="H23" s="51"/>
      <c r="I23" s="30"/>
    </row>
    <row r="24" spans="1:9">
      <c r="A24" s="28"/>
      <c r="B24" s="29"/>
      <c r="C24" s="29"/>
      <c r="D24" s="29"/>
      <c r="E24" s="29"/>
      <c r="F24" s="29"/>
      <c r="G24" s="29"/>
      <c r="H24" s="29"/>
      <c r="I24" s="30"/>
    </row>
    <row r="25" spans="1:9">
      <c r="A25" s="28"/>
      <c r="B25" s="29"/>
      <c r="C25" s="29"/>
      <c r="D25" s="29"/>
      <c r="E25" s="29"/>
      <c r="F25" s="29"/>
      <c r="G25" s="29"/>
      <c r="H25" s="29"/>
      <c r="I25" s="30"/>
    </row>
    <row r="26" spans="1:9">
      <c r="A26" s="28"/>
      <c r="B26" s="29"/>
      <c r="C26" s="29"/>
      <c r="D26" s="29"/>
      <c r="E26" s="29"/>
      <c r="F26" s="29"/>
      <c r="G26" s="29"/>
      <c r="H26" s="29"/>
      <c r="I26" s="30"/>
    </row>
    <row r="27" spans="1:9" ht="15.6">
      <c r="A27" s="28"/>
      <c r="B27" s="29"/>
      <c r="C27" s="29"/>
      <c r="E27" s="205" t="str">
        <f ca="1">"A "&amp;PROPER(SIMPL_Cell_ville)&amp;" , Le "&amp;DAY(NOW())&amp;"/"&amp;MONTH(NOW())&amp;"/"&amp;YEAR(NOW())</f>
        <v>A Maville , Le 4/7/2026</v>
      </c>
      <c r="G27" s="32"/>
      <c r="H27" s="29"/>
      <c r="I27" s="30"/>
    </row>
    <row r="28" spans="1:9">
      <c r="A28" s="28"/>
      <c r="B28" s="29"/>
      <c r="C28" s="29"/>
      <c r="D28" s="29"/>
      <c r="E28" s="29"/>
      <c r="G28" s="29"/>
      <c r="H28" s="29"/>
      <c r="I28" s="30"/>
    </row>
    <row r="29" spans="1:9" ht="15.6">
      <c r="A29" s="28"/>
      <c r="B29" s="29"/>
      <c r="C29" s="29"/>
      <c r="D29" s="29"/>
      <c r="E29" s="31" t="s">
        <v>316</v>
      </c>
      <c r="G29" s="29"/>
      <c r="H29" s="29"/>
      <c r="I29" s="30"/>
    </row>
    <row r="30" spans="1:9">
      <c r="A30" s="28"/>
      <c r="B30" s="29"/>
      <c r="C30" s="29"/>
      <c r="D30" s="29"/>
      <c r="F30" s="29"/>
      <c r="G30" s="29"/>
      <c r="H30" s="29"/>
      <c r="I30" s="30"/>
    </row>
    <row r="31" spans="1:9" ht="15.6">
      <c r="A31" s="28"/>
      <c r="B31" s="29"/>
      <c r="C31" s="29"/>
      <c r="D31" s="29"/>
      <c r="E31" s="31"/>
      <c r="F31" s="29"/>
      <c r="G31" s="29"/>
      <c r="H31" s="29"/>
      <c r="I31" s="30"/>
    </row>
    <row r="32" spans="1:9" ht="15.6">
      <c r="A32" s="28"/>
      <c r="B32" s="29"/>
      <c r="C32" s="29"/>
      <c r="D32" s="29"/>
      <c r="E32" s="31"/>
      <c r="F32" s="29"/>
      <c r="G32" s="29"/>
      <c r="H32" s="29"/>
      <c r="I32" s="30"/>
    </row>
    <row r="33" spans="1:9" ht="15.6">
      <c r="A33" s="28"/>
      <c r="B33" s="29"/>
      <c r="C33" s="29"/>
      <c r="D33" s="29"/>
      <c r="E33" s="31"/>
      <c r="F33" s="29"/>
      <c r="G33" s="29"/>
      <c r="H33" s="29"/>
      <c r="I33" s="30"/>
    </row>
    <row r="34" spans="1:9">
      <c r="A34" s="28"/>
      <c r="B34" s="33"/>
      <c r="C34" s="33"/>
      <c r="D34" s="33"/>
      <c r="E34" s="33"/>
      <c r="F34" s="33"/>
      <c r="G34" s="34"/>
      <c r="H34" s="34"/>
      <c r="I34" s="35"/>
    </row>
    <row r="35" spans="1:9">
      <c r="A35" s="28"/>
      <c r="B35" s="1"/>
      <c r="C35" s="1"/>
      <c r="D35" s="36" t="s">
        <v>317</v>
      </c>
      <c r="E35" s="1"/>
      <c r="F35" s="1"/>
      <c r="G35" s="29"/>
      <c r="H35" s="29"/>
      <c r="I35" s="30"/>
    </row>
    <row r="36" spans="1:9">
      <c r="A36" s="28"/>
      <c r="B36" s="1"/>
      <c r="C36" s="1"/>
      <c r="D36" s="1"/>
      <c r="E36" s="1"/>
      <c r="F36" s="1"/>
      <c r="G36" s="29"/>
      <c r="H36" s="29"/>
      <c r="I36" s="30"/>
    </row>
    <row r="37" spans="1:9">
      <c r="A37" s="28"/>
      <c r="B37" s="1"/>
      <c r="C37" s="1"/>
      <c r="D37" s="1"/>
      <c r="E37" s="1"/>
      <c r="F37" s="1"/>
      <c r="G37" s="29"/>
      <c r="H37" s="29"/>
      <c r="I37" s="30"/>
    </row>
    <row r="38" spans="1:9">
      <c r="A38" s="28"/>
      <c r="B38" s="1" t="s">
        <v>318</v>
      </c>
      <c r="C38" s="1"/>
      <c r="D38" s="1"/>
      <c r="E38" s="1"/>
      <c r="F38" s="1"/>
      <c r="G38" s="29"/>
      <c r="H38" s="29"/>
      <c r="I38" s="30"/>
    </row>
    <row r="39" spans="1:9">
      <c r="A39" s="28"/>
      <c r="B39" s="37"/>
      <c r="C39" s="1"/>
      <c r="D39" s="1"/>
      <c r="E39" s="1"/>
      <c r="F39" s="1"/>
      <c r="G39" s="29"/>
      <c r="H39" s="29"/>
      <c r="I39" s="30"/>
    </row>
    <row r="40" spans="1:9">
      <c r="A40" s="28"/>
      <c r="B40" s="1"/>
      <c r="C40" s="1"/>
      <c r="D40" s="1"/>
      <c r="E40" s="1"/>
      <c r="F40" s="1"/>
      <c r="G40" s="29"/>
      <c r="H40" s="29"/>
      <c r="I40" s="30"/>
    </row>
    <row r="41" spans="1:9">
      <c r="A41" s="28"/>
      <c r="B41" s="1" t="s">
        <v>319</v>
      </c>
      <c r="C41" s="1"/>
      <c r="D41" s="1"/>
      <c r="E41" s="1"/>
      <c r="F41" s="1"/>
      <c r="G41" s="29"/>
      <c r="H41" s="29"/>
      <c r="I41" s="30"/>
    </row>
    <row r="42" spans="1:9">
      <c r="A42" s="28"/>
      <c r="B42" s="29"/>
      <c r="C42" s="29"/>
      <c r="D42" s="29"/>
      <c r="E42" s="29"/>
      <c r="F42" s="29"/>
      <c r="G42" s="29"/>
      <c r="H42" s="29"/>
      <c r="I42" s="30"/>
    </row>
    <row r="43" spans="1:9" ht="15.6">
      <c r="A43" s="28"/>
      <c r="B43" s="29"/>
      <c r="C43" s="29"/>
      <c r="D43" s="29"/>
      <c r="E43" s="31" t="s">
        <v>320</v>
      </c>
      <c r="F43" s="29"/>
      <c r="G43" s="29"/>
      <c r="H43" s="29"/>
      <c r="I43" s="30"/>
    </row>
    <row r="44" spans="1:9">
      <c r="A44" s="28"/>
      <c r="B44" s="29"/>
      <c r="C44" s="29"/>
      <c r="D44" s="29"/>
      <c r="E44" s="29"/>
      <c r="F44" s="29"/>
      <c r="G44" s="29"/>
      <c r="H44" s="29"/>
      <c r="I44" s="30"/>
    </row>
    <row r="45" spans="1:9">
      <c r="A45" s="28"/>
      <c r="B45" s="29"/>
      <c r="C45" s="29"/>
      <c r="D45" s="29"/>
      <c r="E45" s="29"/>
      <c r="F45" s="29"/>
      <c r="G45" s="29"/>
      <c r="H45" s="29"/>
      <c r="I45" s="30"/>
    </row>
    <row r="46" spans="1:9">
      <c r="A46" s="28"/>
      <c r="B46" s="38" t="s">
        <v>321</v>
      </c>
      <c r="C46" s="29"/>
      <c r="D46" s="29"/>
      <c r="E46" s="29"/>
      <c r="F46" s="29"/>
      <c r="G46" s="29"/>
      <c r="H46" s="29"/>
      <c r="I46" s="30"/>
    </row>
    <row r="47" spans="1:9">
      <c r="A47" s="28"/>
      <c r="B47" s="38" t="s">
        <v>98</v>
      </c>
      <c r="C47" s="29"/>
      <c r="D47" s="29"/>
      <c r="E47" s="29"/>
      <c r="F47" s="29"/>
      <c r="G47" s="29"/>
      <c r="H47" s="29"/>
      <c r="I47" s="30"/>
    </row>
    <row r="48" spans="1:9">
      <c r="A48" s="28"/>
      <c r="I48" s="39"/>
    </row>
    <row r="49" spans="1:9">
      <c r="A49" s="40"/>
      <c r="B49" s="41"/>
      <c r="C49" s="41"/>
      <c r="D49" s="41"/>
      <c r="E49" s="41"/>
      <c r="F49" s="41"/>
      <c r="G49" s="41"/>
      <c r="H49" s="41"/>
      <c r="I49" s="42"/>
    </row>
    <row r="50" spans="1:9">
      <c r="A50" s="637">
        <f>PagePrincipale!$B$1</f>
        <v>0</v>
      </c>
    </row>
    <row r="51" spans="1:9">
      <c r="A51" s="638"/>
    </row>
  </sheetData>
  <sheetProtection formatCells="0" formatColumns="0" formatRows="0" insertRows="0" deleteRows="0"/>
  <mergeCells count="9">
    <mergeCell ref="B22:C22"/>
    <mergeCell ref="C3:G3"/>
    <mergeCell ref="C4:G4"/>
    <mergeCell ref="C5:G5"/>
    <mergeCell ref="C7:G7"/>
    <mergeCell ref="C8:G8"/>
    <mergeCell ref="B13:C13"/>
    <mergeCell ref="B16:C16"/>
    <mergeCell ref="B19:C19"/>
  </mergeCells>
  <phoneticPr fontId="0" type="noConversion"/>
  <printOptions horizontalCentered="1" verticalCentered="1"/>
  <pageMargins left="0" right="0" top="0" bottom="0"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GoToMain">
              <controlPr defaultSize="0" print="0" autoFill="0" autoPict="0" macro="[0]!GoToMain">
                <anchor moveWithCells="1" sizeWithCells="1">
                  <from>
                    <xdr:col>0</xdr:col>
                    <xdr:colOff>0</xdr:colOff>
                    <xdr:row>0</xdr:row>
                    <xdr:rowOff>0</xdr:rowOff>
                  </from>
                  <to>
                    <xdr:col>0</xdr:col>
                    <xdr:colOff>365760</xdr:colOff>
                    <xdr:row>1</xdr:row>
                    <xdr:rowOff>68580</xdr:rowOff>
                  </to>
                </anchor>
              </controlPr>
            </control>
          </mc:Choice>
        </mc:AlternateContent>
        <mc:AlternateContent xmlns:mc="http://schemas.openxmlformats.org/markup-compatibility/2006">
          <mc:Choice Requires="x14">
            <control shapeId="4099" r:id="rId5" name="GoToLast">
              <controlPr defaultSize="0" print="0" autoFill="0" autoPict="0" macro="[0]!GoToLastSelection">
                <anchor moveWithCells="1" sizeWithCells="1">
                  <from>
                    <xdr:col>0</xdr:col>
                    <xdr:colOff>373380</xdr:colOff>
                    <xdr:row>0</xdr:row>
                    <xdr:rowOff>0</xdr:rowOff>
                  </from>
                  <to>
                    <xdr:col>1</xdr:col>
                    <xdr:colOff>350520</xdr:colOff>
                    <xdr:row>1</xdr:row>
                    <xdr:rowOff>68580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01"/>
  <dimension ref="A1:F103"/>
  <sheetViews>
    <sheetView showGridLines="0" workbookViewId="0">
      <selection activeCell="C7" sqref="C7"/>
    </sheetView>
  </sheetViews>
  <sheetFormatPr baseColWidth="10" defaultColWidth="11.44140625" defaultRowHeight="13.2"/>
  <cols>
    <col min="1" max="1" width="3.6640625" style="376" customWidth="1"/>
    <col min="2" max="2" width="39.5546875" style="376" bestFit="1" customWidth="1"/>
    <col min="3" max="6" width="16.6640625" style="376" customWidth="1"/>
  </cols>
  <sheetData>
    <row r="1" spans="1:6" s="3" customFormat="1" ht="18.600000000000001" thickBot="1">
      <c r="A1" s="927" t="s">
        <v>21</v>
      </c>
      <c r="B1" s="928"/>
      <c r="C1" s="928"/>
      <c r="D1" s="928"/>
      <c r="E1" s="928"/>
      <c r="F1" s="929"/>
    </row>
    <row r="2" spans="1:6" s="3" customFormat="1" ht="13.8">
      <c r="A2" s="297" t="str">
        <f>CONCATENATE(PagePrincipale!$F$9)</f>
        <v>D3 Soft SARL AU</v>
      </c>
      <c r="B2" s="298"/>
      <c r="C2" s="299"/>
      <c r="D2" s="298"/>
      <c r="E2" s="300"/>
      <c r="F2" s="301" t="str">
        <f ca="1">PeriodeArrete_Au()</f>
        <v>Au 31/12/2017</v>
      </c>
    </row>
    <row r="3" spans="1:6" ht="13.8">
      <c r="A3" s="964" t="s">
        <v>434</v>
      </c>
      <c r="B3" s="965"/>
      <c r="C3" s="970" t="s">
        <v>429</v>
      </c>
      <c r="D3" s="971"/>
      <c r="E3" s="972"/>
      <c r="F3" s="962" t="s">
        <v>433</v>
      </c>
    </row>
    <row r="4" spans="1:6" ht="13.8">
      <c r="A4" s="966"/>
      <c r="B4" s="967"/>
      <c r="C4" s="302" t="s">
        <v>430</v>
      </c>
      <c r="D4" s="302" t="s">
        <v>431</v>
      </c>
      <c r="E4" s="303" t="s">
        <v>432</v>
      </c>
      <c r="F4" s="963"/>
    </row>
    <row r="5" spans="1:6" ht="13.8">
      <c r="A5" s="956" t="s">
        <v>206</v>
      </c>
      <c r="B5" s="304" t="s">
        <v>203</v>
      </c>
      <c r="C5" s="305">
        <f ca="1">SUM(C6:C8)</f>
        <v>4106</v>
      </c>
      <c r="D5" s="305">
        <f ca="1">SUM(D6:D8)</f>
        <v>4105.6000000000004</v>
      </c>
      <c r="E5" s="306">
        <f ca="1">SUM(E6:E8)</f>
        <v>0.3999999999996362</v>
      </c>
      <c r="F5" s="307">
        <f ca="1">SUM(F6,F7,F8)</f>
        <v>0.3999999999996362</v>
      </c>
    </row>
    <row r="6" spans="1:6" ht="13.8">
      <c r="A6" s="957"/>
      <c r="B6" s="308" t="s">
        <v>32</v>
      </c>
      <c r="C6" s="309">
        <f ca="1">SoldeN("211")</f>
        <v>4106</v>
      </c>
      <c r="D6" s="310">
        <f ca="1">-SoldeN("2811")</f>
        <v>4105.6000000000004</v>
      </c>
      <c r="E6" s="311">
        <f ca="1">C6-D6</f>
        <v>0.3999999999996362</v>
      </c>
      <c r="F6" s="312">
        <f ca="1">SoldeN_1("211")+SoldeN_1("2811")</f>
        <v>0.3999999999996362</v>
      </c>
    </row>
    <row r="7" spans="1:6" ht="13.8">
      <c r="A7" s="957"/>
      <c r="B7" s="308" t="s">
        <v>33</v>
      </c>
      <c r="C7" s="310">
        <f ca="1">SoldeN("212")</f>
        <v>0</v>
      </c>
      <c r="D7" s="310">
        <f ca="1">-SoldeN("2812")</f>
        <v>0</v>
      </c>
      <c r="E7" s="311">
        <f ca="1">C7-D7</f>
        <v>0</v>
      </c>
      <c r="F7" s="312">
        <f ca="1">SoldeN_1("212")+SoldeN_1("2812")</f>
        <v>0</v>
      </c>
    </row>
    <row r="8" spans="1:6" ht="13.8">
      <c r="A8" s="957"/>
      <c r="B8" s="313" t="s">
        <v>34</v>
      </c>
      <c r="C8" s="314">
        <f ca="1">SoldeN("213")</f>
        <v>0</v>
      </c>
      <c r="D8" s="314">
        <f ca="1">-SoldeN("2813")</f>
        <v>0</v>
      </c>
      <c r="E8" s="315">
        <f ca="1">C8-D8</f>
        <v>0</v>
      </c>
      <c r="F8" s="316">
        <f ca="1">SoldeN_1("213")+SoldeN_1("2813")</f>
        <v>0</v>
      </c>
    </row>
    <row r="9" spans="1:6" ht="13.8">
      <c r="A9" s="957"/>
      <c r="B9" s="317" t="s">
        <v>204</v>
      </c>
      <c r="C9" s="305">
        <f ca="1">SUM(C10:C13)</f>
        <v>28250</v>
      </c>
      <c r="D9" s="305">
        <f ca="1">SUM(D10:D13)</f>
        <v>28250</v>
      </c>
      <c r="E9" s="306">
        <f ca="1">SUM(E10:E13)</f>
        <v>0</v>
      </c>
      <c r="F9" s="307">
        <f ca="1">SUM(F10,F11,F12,F13)</f>
        <v>0</v>
      </c>
    </row>
    <row r="10" spans="1:6" ht="13.8">
      <c r="A10" s="957"/>
      <c r="B10" s="308" t="s">
        <v>35</v>
      </c>
      <c r="C10" s="310">
        <f ca="1">SoldeN("221")</f>
        <v>0</v>
      </c>
      <c r="D10" s="310">
        <f ca="1">-SoldeN("2821")-SoldeN("2921")</f>
        <v>0</v>
      </c>
      <c r="E10" s="311">
        <f ca="1">C10-D10</f>
        <v>0</v>
      </c>
      <c r="F10" s="312">
        <f ca="1">SoldeN_1("221")+SoldeN_1("2821")+SoldeN_1("2921")</f>
        <v>0</v>
      </c>
    </row>
    <row r="11" spans="1:6" ht="13.8">
      <c r="A11" s="957"/>
      <c r="B11" s="308" t="s">
        <v>38</v>
      </c>
      <c r="C11" s="310">
        <f ca="1">SoldeN("222")</f>
        <v>28250</v>
      </c>
      <c r="D11" s="310">
        <f ca="1">-SoldeN("2822")-SoldeN("2922")</f>
        <v>25895.83</v>
      </c>
      <c r="E11" s="311">
        <f ca="1">C11-D11</f>
        <v>2354.1699999999983</v>
      </c>
      <c r="F11" s="312">
        <f ca="1">SoldeN_1("222")+SoldeN_1("2822")+SoldeN_1("2922")</f>
        <v>2354.1699999999983</v>
      </c>
    </row>
    <row r="12" spans="1:6" ht="13.8">
      <c r="A12" s="957"/>
      <c r="B12" s="308" t="s">
        <v>39</v>
      </c>
      <c r="C12" s="310">
        <f ca="1">SoldeN("223")</f>
        <v>0</v>
      </c>
      <c r="D12" s="310">
        <f ca="1">-SoldeN("2823")-SoldeN("2923")</f>
        <v>0</v>
      </c>
      <c r="E12" s="311">
        <f ca="1">C12-D12</f>
        <v>0</v>
      </c>
      <c r="F12" s="312">
        <f ca="1">SoldeN_1("223")+SoldeN_1("2823")+SoldeN_1("2923")</f>
        <v>0</v>
      </c>
    </row>
    <row r="13" spans="1:6" ht="13.8">
      <c r="A13" s="957"/>
      <c r="B13" s="313" t="s">
        <v>40</v>
      </c>
      <c r="C13" s="314">
        <f ca="1">SoldeN("228")</f>
        <v>0</v>
      </c>
      <c r="D13" s="314">
        <f ca="1">-SoldeN("2828")-SoldeN("2928")</f>
        <v>2354.17</v>
      </c>
      <c r="E13" s="315">
        <f ca="1">C13-D13</f>
        <v>-2354.17</v>
      </c>
      <c r="F13" s="316">
        <f ca="1">SoldeN_1("228")+SoldeN_1("2828")+SoldeN_1("2928")</f>
        <v>-2354.17</v>
      </c>
    </row>
    <row r="14" spans="1:6" ht="13.8">
      <c r="A14" s="957"/>
      <c r="B14" s="317" t="s">
        <v>205</v>
      </c>
      <c r="C14" s="305">
        <f ca="1">SUM(C15:C21)</f>
        <v>335637.01</v>
      </c>
      <c r="D14" s="305">
        <f ca="1">SUM(D15:D21)</f>
        <v>325071.69999999995</v>
      </c>
      <c r="E14" s="306">
        <f ca="1">SUM(E15:E21)</f>
        <v>10565.310000000014</v>
      </c>
      <c r="F14" s="307">
        <f ca="1">SUM(F15,F16,F17,F18,F19,F20,F21)</f>
        <v>13380.780000000015</v>
      </c>
    </row>
    <row r="15" spans="1:6" ht="13.8">
      <c r="A15" s="957"/>
      <c r="B15" s="318" t="s">
        <v>41</v>
      </c>
      <c r="C15" s="319">
        <f ca="1">SoldeN("231")</f>
        <v>0</v>
      </c>
      <c r="D15" s="319">
        <f ca="1">-SoldeN("2831")-SoldeN("2931")</f>
        <v>0</v>
      </c>
      <c r="E15" s="320">
        <f t="shared" ref="E15:E21" ca="1" si="0">C15-D15</f>
        <v>0</v>
      </c>
      <c r="F15" s="321">
        <f ca="1">SoldeN_1("231")+SoldeN_1("2831")+SoldeN_1("2931")</f>
        <v>0</v>
      </c>
    </row>
    <row r="16" spans="1:6" ht="13.8">
      <c r="A16" s="957"/>
      <c r="B16" s="308" t="s">
        <v>42</v>
      </c>
      <c r="C16" s="310">
        <f ca="1">SoldeN("232")</f>
        <v>0</v>
      </c>
      <c r="D16" s="310">
        <f ca="1">-SoldeN("2832")-SoldeN("2932")</f>
        <v>0</v>
      </c>
      <c r="E16" s="311">
        <f t="shared" ca="1" si="0"/>
        <v>0</v>
      </c>
      <c r="F16" s="321">
        <f ca="1">SoldeN_1("232")+SoldeN_1("2832")+SoldeN_1("2932")</f>
        <v>0</v>
      </c>
    </row>
    <row r="17" spans="1:6" ht="13.8">
      <c r="A17" s="957"/>
      <c r="B17" s="308" t="s">
        <v>43</v>
      </c>
      <c r="C17" s="310">
        <f ca="1">SoldeN("233")</f>
        <v>14860</v>
      </c>
      <c r="D17" s="310">
        <f ca="1">-SoldeN("2833")-SoldeN("2933")</f>
        <v>1795.58</v>
      </c>
      <c r="E17" s="311">
        <f t="shared" ca="1" si="0"/>
        <v>13064.42</v>
      </c>
      <c r="F17" s="321">
        <f ca="1">SoldeN_1("233")+SoldeN_1("2833")+SoldeN_1("2933")</f>
        <v>13064.42</v>
      </c>
    </row>
    <row r="18" spans="1:6" ht="13.8">
      <c r="A18" s="957"/>
      <c r="B18" s="308" t="s">
        <v>44</v>
      </c>
      <c r="C18" s="310">
        <f ca="1">SoldeN("234")</f>
        <v>235875</v>
      </c>
      <c r="D18" s="310">
        <f ca="1">-SoldeN("2834")-SoldeN("2934")</f>
        <v>235873</v>
      </c>
      <c r="E18" s="311">
        <f t="shared" ca="1" si="0"/>
        <v>2</v>
      </c>
      <c r="F18" s="321">
        <f ca="1">SoldeN_1("234")+SoldeN_1("2834")+SoldeN_1("2934")</f>
        <v>2</v>
      </c>
    </row>
    <row r="19" spans="1:6" ht="13.8">
      <c r="A19" s="957"/>
      <c r="B19" s="308" t="s">
        <v>45</v>
      </c>
      <c r="C19" s="310">
        <f ca="1">SoldeN("235")</f>
        <v>84902.010000000009</v>
      </c>
      <c r="D19" s="310">
        <f ca="1">-SoldeN("2835")-SoldeN("2935")</f>
        <v>87403.12</v>
      </c>
      <c r="E19" s="311">
        <f t="shared" ca="1" si="0"/>
        <v>-2501.109999999986</v>
      </c>
      <c r="F19" s="321">
        <f ca="1">SoldeN_1("235")+SoldeN_1("2835")+SoldeN_1("2935")</f>
        <v>314.36000000001513</v>
      </c>
    </row>
    <row r="20" spans="1:6" ht="13.8">
      <c r="A20" s="957"/>
      <c r="B20" s="308" t="s">
        <v>130</v>
      </c>
      <c r="C20" s="310">
        <f ca="1">SoldeN("238")</f>
        <v>0</v>
      </c>
      <c r="D20" s="310">
        <f ca="1">-SoldeN("2838")-SoldeN("2938")</f>
        <v>0</v>
      </c>
      <c r="E20" s="311">
        <f t="shared" ca="1" si="0"/>
        <v>0</v>
      </c>
      <c r="F20" s="321">
        <f ca="1">SoldeN_1("238")+SoldeN_1("2838")+SoldeN_1("2938")</f>
        <v>0</v>
      </c>
    </row>
    <row r="21" spans="1:6" ht="13.8">
      <c r="A21" s="957"/>
      <c r="B21" s="313" t="s">
        <v>120</v>
      </c>
      <c r="C21" s="314">
        <f ca="1">SoldeN("239")</f>
        <v>0</v>
      </c>
      <c r="D21" s="314">
        <f ca="1">-SoldeN("2839")-SoldeN("2939")</f>
        <v>0</v>
      </c>
      <c r="E21" s="315">
        <f t="shared" ca="1" si="0"/>
        <v>0</v>
      </c>
      <c r="F21" s="316">
        <f ca="1">SoldeN_1("239")+SoldeN_1("2839")+SoldeN_1("2939")</f>
        <v>0</v>
      </c>
    </row>
    <row r="22" spans="1:6" ht="13.8">
      <c r="A22" s="957"/>
      <c r="B22" s="317" t="s">
        <v>515</v>
      </c>
      <c r="C22" s="305">
        <f ca="1">SUM(C23:C26)</f>
        <v>0</v>
      </c>
      <c r="D22" s="305">
        <f ca="1">SUM(D23:D26)</f>
        <v>0</v>
      </c>
      <c r="E22" s="306">
        <f ca="1">SUM(E23:E26)</f>
        <v>0</v>
      </c>
      <c r="F22" s="307">
        <f ca="1">SUM(F23,F24,F25,F26)</f>
        <v>0</v>
      </c>
    </row>
    <row r="23" spans="1:6" ht="13.8">
      <c r="A23" s="957"/>
      <c r="B23" s="318" t="s">
        <v>209</v>
      </c>
      <c r="C23" s="319">
        <f ca="1">SoldeN("241")</f>
        <v>0</v>
      </c>
      <c r="D23" s="319">
        <f ca="1">-SoldeN("2941")</f>
        <v>0</v>
      </c>
      <c r="E23" s="320">
        <f ca="1">C23-D23</f>
        <v>0</v>
      </c>
      <c r="F23" s="321">
        <f ca="1">SoldeN_1("241")+SoldeN_1("2941")</f>
        <v>0</v>
      </c>
    </row>
    <row r="24" spans="1:6" ht="13.8">
      <c r="A24" s="957"/>
      <c r="B24" s="308" t="s">
        <v>121</v>
      </c>
      <c r="C24" s="310">
        <f ca="1">SoldeN("248")</f>
        <v>0</v>
      </c>
      <c r="D24" s="310">
        <f ca="1">-SoldeN("2948")</f>
        <v>0</v>
      </c>
      <c r="E24" s="311">
        <f ca="1">C24-D24</f>
        <v>0</v>
      </c>
      <c r="F24" s="312">
        <f ca="1">SoldeN_1("248")+SoldeN_1("2948")</f>
        <v>0</v>
      </c>
    </row>
    <row r="25" spans="1:6" ht="13.8">
      <c r="A25" s="957"/>
      <c r="B25" s="308" t="s">
        <v>122</v>
      </c>
      <c r="C25" s="310">
        <f ca="1">SoldeN("251")</f>
        <v>0</v>
      </c>
      <c r="D25" s="310">
        <f ca="1">-SoldeN("2951")</f>
        <v>0</v>
      </c>
      <c r="E25" s="311">
        <f ca="1">C25-D25</f>
        <v>0</v>
      </c>
      <c r="F25" s="312">
        <f ca="1">SoldeN_1("251")+SoldeN_1("2951")</f>
        <v>0</v>
      </c>
    </row>
    <row r="26" spans="1:6" ht="13.8">
      <c r="A26" s="957"/>
      <c r="B26" s="313" t="s">
        <v>210</v>
      </c>
      <c r="C26" s="314">
        <f ca="1">SoldeN("258")</f>
        <v>0</v>
      </c>
      <c r="D26" s="322">
        <f ca="1">-SoldeN("2958")</f>
        <v>0</v>
      </c>
      <c r="E26" s="315">
        <f ca="1">C26-D26</f>
        <v>0</v>
      </c>
      <c r="F26" s="316">
        <f ca="1">SoldeN_1("258")+SoldeN_1("2958")</f>
        <v>0</v>
      </c>
    </row>
    <row r="27" spans="1:6" ht="13.8">
      <c r="A27" s="957"/>
      <c r="B27" s="317" t="s">
        <v>514</v>
      </c>
      <c r="C27" s="306">
        <f ca="1">SUM(C28:C29)</f>
        <v>0</v>
      </c>
      <c r="D27" s="323">
        <v>0</v>
      </c>
      <c r="E27" s="324">
        <f ca="1">SUM(E28:E29)</f>
        <v>0</v>
      </c>
      <c r="F27" s="307">
        <f ca="1">SUM(F28:F29)</f>
        <v>0</v>
      </c>
    </row>
    <row r="28" spans="1:6" ht="13.8">
      <c r="A28" s="957"/>
      <c r="B28" s="325" t="s">
        <v>123</v>
      </c>
      <c r="C28" s="326">
        <f ca="1">SoldeN("271")</f>
        <v>0</v>
      </c>
      <c r="D28" s="327">
        <v>0</v>
      </c>
      <c r="E28" s="328">
        <f ca="1">C28-D28</f>
        <v>0</v>
      </c>
      <c r="F28" s="329">
        <f ca="1">SoldeN_1("271")</f>
        <v>0</v>
      </c>
    </row>
    <row r="29" spans="1:6" ht="13.8">
      <c r="A29" s="957"/>
      <c r="B29" s="313" t="s">
        <v>211</v>
      </c>
      <c r="C29" s="330">
        <f ca="1">SoldeN("272")</f>
        <v>0</v>
      </c>
      <c r="D29" s="331">
        <v>0</v>
      </c>
      <c r="E29" s="332">
        <f ca="1">C29-D29</f>
        <v>0</v>
      </c>
      <c r="F29" s="316">
        <f ca="1">SoldeN_1("272")</f>
        <v>0</v>
      </c>
    </row>
    <row r="30" spans="1:6" ht="14.4" thickBot="1">
      <c r="A30" s="958"/>
      <c r="B30" s="333" t="s">
        <v>435</v>
      </c>
      <c r="C30" s="334">
        <f ca="1">SUM(C27,C22,C14,C9,C5)</f>
        <v>367993.01</v>
      </c>
      <c r="D30" s="334">
        <f ca="1">SUM(D27,D22,D14,D9,D5)</f>
        <v>357427.29999999993</v>
      </c>
      <c r="E30" s="335">
        <f ca="1">SUM(E27,E22,E14,E9,E5)</f>
        <v>10565.710000000014</v>
      </c>
      <c r="F30" s="336">
        <f ca="1">SUM(F27,F22,F14,F9,F5)</f>
        <v>13381.180000000015</v>
      </c>
    </row>
    <row r="31" spans="1:6" ht="14.4" thickTop="1">
      <c r="A31" s="959" t="s">
        <v>208</v>
      </c>
      <c r="B31" s="337" t="s">
        <v>201</v>
      </c>
      <c r="C31" s="338">
        <f ca="1">SUM(C32:C36)</f>
        <v>471035.17</v>
      </c>
      <c r="D31" s="338">
        <f ca="1">SUM(D32:D36)</f>
        <v>0</v>
      </c>
      <c r="E31" s="339">
        <f ca="1">SUM(E32:E36)</f>
        <v>471035.17</v>
      </c>
      <c r="F31" s="340">
        <f ca="1">SUM(F32,F33,F34,F35,F36)</f>
        <v>401035.17</v>
      </c>
    </row>
    <row r="32" spans="1:6" ht="13.8">
      <c r="A32" s="960"/>
      <c r="B32" s="318" t="s">
        <v>124</v>
      </c>
      <c r="C32" s="319">
        <f ca="1">SoldeN("311")</f>
        <v>0</v>
      </c>
      <c r="D32" s="319">
        <f ca="1">-SoldeN("3911")</f>
        <v>0</v>
      </c>
      <c r="E32" s="320">
        <f ca="1">C32-D32</f>
        <v>0</v>
      </c>
      <c r="F32" s="321">
        <f ca="1">SoldeN_1("311")+SoldeN_1("3911")</f>
        <v>0</v>
      </c>
    </row>
    <row r="33" spans="1:6" ht="13.8">
      <c r="A33" s="960"/>
      <c r="B33" s="308" t="s">
        <v>125</v>
      </c>
      <c r="C33" s="310">
        <f ca="1">SoldeN("312")</f>
        <v>0</v>
      </c>
      <c r="D33" s="310">
        <f ca="1">-SoldeN("3912")</f>
        <v>0</v>
      </c>
      <c r="E33" s="311">
        <f ca="1">C33-D33</f>
        <v>0</v>
      </c>
      <c r="F33" s="312">
        <f ca="1">SoldeN_1("312")+SoldeN_1("3912")</f>
        <v>0</v>
      </c>
    </row>
    <row r="34" spans="1:6" ht="13.8">
      <c r="A34" s="960"/>
      <c r="B34" s="308" t="s">
        <v>126</v>
      </c>
      <c r="C34" s="310">
        <f ca="1">SoldeN("313")</f>
        <v>0</v>
      </c>
      <c r="D34" s="310">
        <f ca="1">-SoldeN("3913")</f>
        <v>0</v>
      </c>
      <c r="E34" s="311">
        <f ca="1">C34-D34</f>
        <v>0</v>
      </c>
      <c r="F34" s="312">
        <f ca="1">SoldeN_1("313")+SoldeN_1("3913")</f>
        <v>0</v>
      </c>
    </row>
    <row r="35" spans="1:6" ht="13.8">
      <c r="A35" s="960"/>
      <c r="B35" s="308" t="s">
        <v>212</v>
      </c>
      <c r="C35" s="310">
        <f ca="1">SoldeN("314")</f>
        <v>0</v>
      </c>
      <c r="D35" s="310">
        <f ca="1">-SoldeN("3914")</f>
        <v>0</v>
      </c>
      <c r="E35" s="311">
        <f ca="1">C35-D35</f>
        <v>0</v>
      </c>
      <c r="F35" s="312">
        <f ca="1">SoldeN_1("314")+SoldeN_1("3914")</f>
        <v>0</v>
      </c>
    </row>
    <row r="36" spans="1:6" ht="13.8">
      <c r="A36" s="960"/>
      <c r="B36" s="341" t="s">
        <v>127</v>
      </c>
      <c r="C36" s="314">
        <f ca="1">SoldeN("315")</f>
        <v>471035.17</v>
      </c>
      <c r="D36" s="314">
        <f ca="1">-SoldeN("3915")</f>
        <v>0</v>
      </c>
      <c r="E36" s="315">
        <f ca="1">C36-D36</f>
        <v>471035.17</v>
      </c>
      <c r="F36" s="316">
        <f ca="1">SoldeN_1("315")+SoldeN_1("3915")</f>
        <v>401035.17</v>
      </c>
    </row>
    <row r="37" spans="1:6" ht="13.8">
      <c r="A37" s="960"/>
      <c r="B37" s="342" t="s">
        <v>202</v>
      </c>
      <c r="C37" s="305">
        <f ca="1">SUM(C38:C44)</f>
        <v>715005.46</v>
      </c>
      <c r="D37" s="305">
        <f ca="1">SUM(D38:D44)</f>
        <v>0</v>
      </c>
      <c r="E37" s="306">
        <f ca="1">SUM(E38:E44)</f>
        <v>715005.46</v>
      </c>
      <c r="F37" s="307">
        <f ca="1">SUM(F38,F39,F40,F41,F42,F43,F44)</f>
        <v>643504.92000000004</v>
      </c>
    </row>
    <row r="38" spans="1:6" ht="13.8">
      <c r="A38" s="960"/>
      <c r="B38" s="318" t="s">
        <v>213</v>
      </c>
      <c r="C38" s="319">
        <f ca="1">SoldeN("341")</f>
        <v>0</v>
      </c>
      <c r="D38" s="319">
        <f ca="1">-SoldeN("3941")</f>
        <v>0</v>
      </c>
      <c r="E38" s="320">
        <f t="shared" ref="E38:E46" ca="1" si="1">C38-D38</f>
        <v>0</v>
      </c>
      <c r="F38" s="321">
        <f ca="1">SoldeN_1("341")+SoldeN_1("3941")</f>
        <v>0</v>
      </c>
    </row>
    <row r="39" spans="1:6" ht="13.8">
      <c r="A39" s="960"/>
      <c r="B39" s="308" t="s">
        <v>214</v>
      </c>
      <c r="C39" s="310">
        <f ca="1">SoldeN("342")</f>
        <v>691462.83</v>
      </c>
      <c r="D39" s="310">
        <f ca="1">-SoldeN("3942")</f>
        <v>0</v>
      </c>
      <c r="E39" s="311">
        <f t="shared" ca="1" si="1"/>
        <v>691462.83</v>
      </c>
      <c r="F39" s="321">
        <f ca="1">SoldeN_1("342")+SoldeN_1("3942")</f>
        <v>622316.55000000005</v>
      </c>
    </row>
    <row r="40" spans="1:6" ht="13.8">
      <c r="A40" s="960"/>
      <c r="B40" s="308" t="s">
        <v>194</v>
      </c>
      <c r="C40" s="310">
        <f ca="1">SoldeN("343")</f>
        <v>0</v>
      </c>
      <c r="D40" s="310">
        <f ca="1">-SoldeN("3943")</f>
        <v>0</v>
      </c>
      <c r="E40" s="311">
        <f t="shared" ca="1" si="1"/>
        <v>0</v>
      </c>
      <c r="F40" s="321">
        <f ca="1">SoldeN_1("343")+SoldeN_1("3943")</f>
        <v>0</v>
      </c>
    </row>
    <row r="41" spans="1:6" ht="13.8">
      <c r="A41" s="960"/>
      <c r="B41" s="308" t="s">
        <v>195</v>
      </c>
      <c r="C41" s="310">
        <f ca="1">SoldeN("345")</f>
        <v>23542.629999999997</v>
      </c>
      <c r="D41" s="310">
        <f ca="1">-SoldeN("3945")</f>
        <v>0</v>
      </c>
      <c r="E41" s="311">
        <f t="shared" ca="1" si="1"/>
        <v>23542.629999999997</v>
      </c>
      <c r="F41" s="321">
        <f ca="1">SoldeN_1("345")+SoldeN_1("3945")</f>
        <v>21188.37</v>
      </c>
    </row>
    <row r="42" spans="1:6" ht="13.8">
      <c r="A42" s="960"/>
      <c r="B42" s="308" t="s">
        <v>196</v>
      </c>
      <c r="C42" s="310">
        <f ca="1">SoldeN("346")</f>
        <v>0</v>
      </c>
      <c r="D42" s="310">
        <f ca="1">-SoldeN("3946")</f>
        <v>0</v>
      </c>
      <c r="E42" s="311">
        <f t="shared" ca="1" si="1"/>
        <v>0</v>
      </c>
      <c r="F42" s="321">
        <f ca="1">SoldeN_1("346")+SoldeN_1("3946")</f>
        <v>0</v>
      </c>
    </row>
    <row r="43" spans="1:6" ht="13.8">
      <c r="A43" s="960"/>
      <c r="B43" s="308" t="s">
        <v>197</v>
      </c>
      <c r="C43" s="310">
        <f ca="1">SoldeN("348")</f>
        <v>0</v>
      </c>
      <c r="D43" s="310">
        <f ca="1">-SoldeN("3948")</f>
        <v>0</v>
      </c>
      <c r="E43" s="311">
        <f t="shared" ca="1" si="1"/>
        <v>0</v>
      </c>
      <c r="F43" s="321">
        <f ca="1">SoldeN_1("348")+SoldeN_1("3948")</f>
        <v>0</v>
      </c>
    </row>
    <row r="44" spans="1:6" ht="13.8">
      <c r="A44" s="960"/>
      <c r="B44" s="313" t="s">
        <v>215</v>
      </c>
      <c r="C44" s="314">
        <f ca="1">SoldeN("349")</f>
        <v>0</v>
      </c>
      <c r="D44" s="314">
        <f ca="1">-SoldeN("3949")</f>
        <v>0</v>
      </c>
      <c r="E44" s="315">
        <f t="shared" ca="1" si="1"/>
        <v>0</v>
      </c>
      <c r="F44" s="316">
        <f ca="1">SoldeN_1("349")+SoldeN_1("3949")</f>
        <v>0</v>
      </c>
    </row>
    <row r="45" spans="1:6" ht="13.8">
      <c r="A45" s="960"/>
      <c r="B45" s="343" t="s">
        <v>20</v>
      </c>
      <c r="C45" s="344">
        <f ca="1">SoldeN("35")</f>
        <v>0</v>
      </c>
      <c r="D45" s="344">
        <f ca="1">-SoldeN("395")</f>
        <v>0</v>
      </c>
      <c r="E45" s="345">
        <f t="shared" ca="1" si="1"/>
        <v>0</v>
      </c>
      <c r="F45" s="346">
        <f ca="1">SoldeN_1("35")+SoldeN_1("395")</f>
        <v>0</v>
      </c>
    </row>
    <row r="46" spans="1:6" ht="13.8">
      <c r="A46" s="960"/>
      <c r="B46" s="317" t="s">
        <v>22</v>
      </c>
      <c r="C46" s="305">
        <f ca="1">SoldeN("37")</f>
        <v>0</v>
      </c>
      <c r="D46" s="323">
        <v>0</v>
      </c>
      <c r="E46" s="347">
        <f t="shared" ca="1" si="1"/>
        <v>0</v>
      </c>
      <c r="F46" s="307">
        <f ca="1">SoldeN_1("37")</f>
        <v>0</v>
      </c>
    </row>
    <row r="47" spans="1:6" ht="14.4" thickBot="1">
      <c r="A47" s="961"/>
      <c r="B47" s="333" t="s">
        <v>23</v>
      </c>
      <c r="C47" s="334">
        <f ca="1">SUM(C46,C45,C37,C31)</f>
        <v>1186040.6299999999</v>
      </c>
      <c r="D47" s="334">
        <f ca="1">SUM(D46,D45,D37,D31)</f>
        <v>0</v>
      </c>
      <c r="E47" s="335">
        <f ca="1">SUM(E46,E45,E37,E31)</f>
        <v>1186040.6299999999</v>
      </c>
      <c r="F47" s="336">
        <f ca="1">SUM(F46,F45,F37,F31)</f>
        <v>1044540.0900000001</v>
      </c>
    </row>
    <row r="48" spans="1:6" ht="14.4" thickTop="1">
      <c r="A48" s="959" t="s">
        <v>207</v>
      </c>
      <c r="B48" s="348" t="s">
        <v>198</v>
      </c>
      <c r="C48" s="349">
        <f ca="1">SUM(C49:C51)</f>
        <v>11394.8</v>
      </c>
      <c r="D48" s="349">
        <f ca="1">SUM(D49:D51)</f>
        <v>0</v>
      </c>
      <c r="E48" s="350">
        <f ca="1">SUM(E49:E51)</f>
        <v>11394.8</v>
      </c>
      <c r="F48" s="351">
        <f ca="1">SUM(F49,F50,F51)</f>
        <v>10255.32</v>
      </c>
    </row>
    <row r="49" spans="1:6" ht="13.8">
      <c r="A49" s="957"/>
      <c r="B49" s="325" t="s">
        <v>199</v>
      </c>
      <c r="C49" s="352">
        <f ca="1">SoldeN("511")</f>
        <v>0</v>
      </c>
      <c r="D49" s="352">
        <f ca="1">-SoldeN("5911")</f>
        <v>0</v>
      </c>
      <c r="E49" s="353">
        <f ca="1">C49-D49</f>
        <v>0</v>
      </c>
      <c r="F49" s="329">
        <f ca="1">SoldeN_1("511")+SoldeN_1("5911")</f>
        <v>0</v>
      </c>
    </row>
    <row r="50" spans="1:6" ht="13.8">
      <c r="A50" s="957"/>
      <c r="B50" s="308" t="s">
        <v>200</v>
      </c>
      <c r="C50" s="310">
        <f ca="1">SoldeN("514")</f>
        <v>6157.27</v>
      </c>
      <c r="D50" s="310">
        <f ca="1">-SoldeN("5914")</f>
        <v>0</v>
      </c>
      <c r="E50" s="311">
        <f ca="1">C50-D50</f>
        <v>6157.27</v>
      </c>
      <c r="F50" s="312">
        <f ca="1">SoldeN_1("514")+SoldeN_1("5914")</f>
        <v>5541.54</v>
      </c>
    </row>
    <row r="51" spans="1:6" ht="13.8">
      <c r="A51" s="957"/>
      <c r="B51" s="313" t="s">
        <v>426</v>
      </c>
      <c r="C51" s="314">
        <f ca="1">SoldeN("516")</f>
        <v>5237.53</v>
      </c>
      <c r="D51" s="314">
        <f ca="1">-SoldeN("5916")</f>
        <v>0</v>
      </c>
      <c r="E51" s="315">
        <f ca="1">C51-D51</f>
        <v>5237.53</v>
      </c>
      <c r="F51" s="316">
        <f ca="1">SoldeN_1("516")+SoldeN_1("5916")</f>
        <v>4713.78</v>
      </c>
    </row>
    <row r="52" spans="1:6" ht="14.4" thickBot="1">
      <c r="A52" s="958"/>
      <c r="B52" s="333" t="s">
        <v>427</v>
      </c>
      <c r="C52" s="334">
        <f ca="1">SUM(C48)</f>
        <v>11394.8</v>
      </c>
      <c r="D52" s="334">
        <f ca="1">SUM(D48)</f>
        <v>0</v>
      </c>
      <c r="E52" s="335">
        <f ca="1">SUM(E48)</f>
        <v>11394.8</v>
      </c>
      <c r="F52" s="336">
        <f ca="1">SUM(F48)</f>
        <v>10255.32</v>
      </c>
    </row>
    <row r="53" spans="1:6" ht="14.4" thickTop="1">
      <c r="A53" s="968" t="s">
        <v>428</v>
      </c>
      <c r="B53" s="969"/>
      <c r="C53" s="354">
        <f ca="1">SUM(C52,C47,C30)</f>
        <v>1565428.44</v>
      </c>
      <c r="D53" s="354">
        <f ca="1">SUM(D52,D47,D30)</f>
        <v>357427.29999999993</v>
      </c>
      <c r="E53" s="355">
        <f ca="1">SUM(E52,E47,E30)</f>
        <v>1208001.1399999999</v>
      </c>
      <c r="F53" s="356">
        <f ca="1">SUM(F52,F47,F30)</f>
        <v>1068176.5900000001</v>
      </c>
    </row>
    <row r="54" spans="1:6" ht="13.8" thickBot="1">
      <c r="A54" s="357"/>
      <c r="B54" s="357"/>
      <c r="C54" s="357"/>
      <c r="D54" s="357"/>
      <c r="E54" s="358"/>
      <c r="F54" s="358"/>
    </row>
    <row r="55" spans="1:6" s="3" customFormat="1" ht="18.600000000000001" thickBot="1">
      <c r="A55" s="949" t="s">
        <v>24</v>
      </c>
      <c r="B55" s="950"/>
      <c r="C55" s="950"/>
      <c r="D55" s="950"/>
      <c r="E55" s="951"/>
    </row>
    <row r="56" spans="1:6" s="3" customFormat="1" ht="13.8">
      <c r="A56" s="297" t="str">
        <f>CONCATENATE(PagePrincipale!$F$9)</f>
        <v>D3 Soft SARL AU</v>
      </c>
      <c r="E56" s="301" t="str">
        <f ca="1">PeriodeArrete_Au()</f>
        <v>Au 31/12/2017</v>
      </c>
    </row>
    <row r="57" spans="1:6" s="3" customFormat="1" ht="13.8">
      <c r="A57" s="946" t="s">
        <v>434</v>
      </c>
      <c r="B57" s="947"/>
      <c r="C57" s="948"/>
      <c r="D57" s="359" t="s">
        <v>429</v>
      </c>
      <c r="E57" s="360" t="s">
        <v>433</v>
      </c>
    </row>
    <row r="58" spans="1:6" s="3" customFormat="1" ht="13.8">
      <c r="A58" s="952" t="s">
        <v>102</v>
      </c>
      <c r="B58" s="930" t="s">
        <v>25</v>
      </c>
      <c r="C58" s="931"/>
      <c r="D58" s="361">
        <f ca="1">SUM(D59:D66,D67)</f>
        <v>-114310.29999999999</v>
      </c>
      <c r="E58" s="362">
        <f ca="1">SUM(E59:E66,E67)</f>
        <v>-104158.41999999993</v>
      </c>
    </row>
    <row r="59" spans="1:6" s="3" customFormat="1" ht="13.8">
      <c r="A59" s="939"/>
      <c r="B59" s="936" t="s">
        <v>219</v>
      </c>
      <c r="C59" s="937"/>
      <c r="D59" s="363">
        <f ca="1">-SoldeN("111")-D60</f>
        <v>200000</v>
      </c>
      <c r="E59" s="364">
        <f ca="1">-SoldeN_1("111")-E60</f>
        <v>200000</v>
      </c>
    </row>
    <row r="60" spans="1:6" s="3" customFormat="1" ht="13.8">
      <c r="A60" s="939"/>
      <c r="B60" s="954" t="s">
        <v>1220</v>
      </c>
      <c r="C60" s="955"/>
      <c r="D60" s="365">
        <f ca="1">-SoldeN("1119")</f>
        <v>0</v>
      </c>
      <c r="E60" s="364">
        <f ca="1">-SoldeN_1("1119")</f>
        <v>0</v>
      </c>
    </row>
    <row r="61" spans="1:6" s="3" customFormat="1" ht="13.8">
      <c r="A61" s="939"/>
      <c r="B61" s="932" t="s">
        <v>220</v>
      </c>
      <c r="C61" s="933"/>
      <c r="D61" s="365">
        <f ca="1">-SoldeN("112")</f>
        <v>0</v>
      </c>
      <c r="E61" s="364">
        <f ca="1">-SoldeN_1("112")</f>
        <v>0</v>
      </c>
    </row>
    <row r="62" spans="1:6" s="3" customFormat="1" ht="13.8">
      <c r="A62" s="939"/>
      <c r="B62" s="932" t="s">
        <v>363</v>
      </c>
      <c r="C62" s="933"/>
      <c r="D62" s="365">
        <f ca="1">-SoldeN("113")</f>
        <v>0</v>
      </c>
      <c r="E62" s="364">
        <f ca="1">-SoldeN_1("113")</f>
        <v>0</v>
      </c>
    </row>
    <row r="63" spans="1:6" s="3" customFormat="1" ht="13.8">
      <c r="A63" s="939"/>
      <c r="B63" s="932" t="s">
        <v>364</v>
      </c>
      <c r="C63" s="933"/>
      <c r="D63" s="365">
        <f ca="1">-SoldeN("114")</f>
        <v>0</v>
      </c>
      <c r="E63" s="364">
        <f ca="1">-SoldeN_1("114")</f>
        <v>0</v>
      </c>
    </row>
    <row r="64" spans="1:6" s="3" customFormat="1" ht="13.8">
      <c r="A64" s="939"/>
      <c r="B64" s="932" t="s">
        <v>221</v>
      </c>
      <c r="C64" s="933"/>
      <c r="D64" s="365">
        <f ca="1">-SoldeN("115")</f>
        <v>0</v>
      </c>
      <c r="E64" s="364">
        <f ca="1">-SoldeN_1("115")</f>
        <v>0</v>
      </c>
    </row>
    <row r="65" spans="1:5" s="3" customFormat="1" ht="13.8">
      <c r="A65" s="939"/>
      <c r="B65" s="932" t="s">
        <v>222</v>
      </c>
      <c r="C65" s="933"/>
      <c r="D65" s="365">
        <f ca="1">-SoldeN("116")</f>
        <v>-311644.68</v>
      </c>
      <c r="E65" s="364">
        <f ca="1">-SoldeN_1("116")</f>
        <v>-311644.68</v>
      </c>
    </row>
    <row r="66" spans="1:5" s="3" customFormat="1" ht="13.8">
      <c r="A66" s="939"/>
      <c r="B66" s="932" t="s">
        <v>1222</v>
      </c>
      <c r="C66" s="933"/>
      <c r="D66" s="365">
        <f ca="1">-SoldeN("118")</f>
        <v>0</v>
      </c>
      <c r="E66" s="364">
        <f ca="1">-SoldeN_1("118")</f>
        <v>0</v>
      </c>
    </row>
    <row r="67" spans="1:5" s="3" customFormat="1" ht="13.8">
      <c r="A67" s="939"/>
      <c r="B67" s="934" t="s">
        <v>365</v>
      </c>
      <c r="C67" s="935"/>
      <c r="D67" s="365">
        <f ca="1">-SoldeN("7")-SoldeN("6")</f>
        <v>-2665.6199999999953</v>
      </c>
      <c r="E67" s="364">
        <f ca="1">-SoldeN_1("7")-SoldeN_1("6")</f>
        <v>7486.2600000000675</v>
      </c>
    </row>
    <row r="68" spans="1:5" s="3" customFormat="1" ht="13.8">
      <c r="A68" s="939"/>
      <c r="B68" s="930" t="s">
        <v>351</v>
      </c>
      <c r="C68" s="931"/>
      <c r="D68" s="361">
        <f ca="1">SUM(D59:D66,D67)</f>
        <v>-114310.29999999999</v>
      </c>
      <c r="E68" s="362">
        <f ca="1">SUM(E59:E66,E67)</f>
        <v>-104158.41999999993</v>
      </c>
    </row>
    <row r="69" spans="1:5" s="3" customFormat="1" ht="13.8">
      <c r="A69" s="939"/>
      <c r="B69" s="930" t="s">
        <v>352</v>
      </c>
      <c r="C69" s="931"/>
      <c r="D69" s="361">
        <f ca="1">SUM(D70:D72)</f>
        <v>0</v>
      </c>
      <c r="E69" s="362">
        <f ca="1">SUM(E70:E72)</f>
        <v>0</v>
      </c>
    </row>
    <row r="70" spans="1:5" s="3" customFormat="1" ht="13.8">
      <c r="A70" s="939"/>
      <c r="B70" s="936" t="s">
        <v>223</v>
      </c>
      <c r="C70" s="937"/>
      <c r="D70" s="363">
        <f ca="1">-SoldeN("131")</f>
        <v>0</v>
      </c>
      <c r="E70" s="366">
        <f ca="1">-SoldeN_1("131")</f>
        <v>0</v>
      </c>
    </row>
    <row r="71" spans="1:5" s="3" customFormat="1" ht="13.8">
      <c r="A71" s="939"/>
      <c r="B71" s="932" t="s">
        <v>366</v>
      </c>
      <c r="C71" s="933"/>
      <c r="D71" s="365">
        <f ca="1">-SoldeN("135")</f>
        <v>0</v>
      </c>
      <c r="E71" s="364">
        <f ca="1">-SoldeN_1("135")</f>
        <v>0</v>
      </c>
    </row>
    <row r="72" spans="1:5" s="3" customFormat="1" ht="13.8">
      <c r="A72" s="939"/>
      <c r="B72" s="932"/>
      <c r="C72" s="933"/>
      <c r="D72" s="365"/>
      <c r="E72" s="367"/>
    </row>
    <row r="73" spans="1:5" s="3" customFormat="1" ht="13.8">
      <c r="A73" s="939"/>
      <c r="B73" s="930" t="s">
        <v>353</v>
      </c>
      <c r="C73" s="931"/>
      <c r="D73" s="361">
        <f ca="1">SUM(D74:D76)</f>
        <v>0</v>
      </c>
      <c r="E73" s="362">
        <f ca="1">SUM(E74:E76)</f>
        <v>0</v>
      </c>
    </row>
    <row r="74" spans="1:5" s="3" customFormat="1" ht="13.8">
      <c r="A74" s="939"/>
      <c r="B74" s="936" t="s">
        <v>224</v>
      </c>
      <c r="C74" s="937"/>
      <c r="D74" s="363">
        <f ca="1">-SoldeN("141")</f>
        <v>0</v>
      </c>
      <c r="E74" s="366">
        <f ca="1">-SoldeN_1("141")</f>
        <v>0</v>
      </c>
    </row>
    <row r="75" spans="1:5" s="3" customFormat="1" ht="13.8">
      <c r="A75" s="939"/>
      <c r="B75" s="932" t="s">
        <v>225</v>
      </c>
      <c r="C75" s="933"/>
      <c r="D75" s="365">
        <f ca="1">-SoldeN("148")</f>
        <v>0</v>
      </c>
      <c r="E75" s="364">
        <f ca="1">-SoldeN_1("148")</f>
        <v>0</v>
      </c>
    </row>
    <row r="76" spans="1:5" s="3" customFormat="1" ht="13.8">
      <c r="A76" s="939"/>
      <c r="B76" s="932"/>
      <c r="C76" s="933"/>
      <c r="D76" s="368"/>
      <c r="E76" s="367"/>
    </row>
    <row r="77" spans="1:5" s="3" customFormat="1" ht="13.8">
      <c r="A77" s="939"/>
      <c r="B77" s="930" t="s">
        <v>355</v>
      </c>
      <c r="C77" s="931"/>
      <c r="D77" s="361">
        <f ca="1">SUM(D78:D79)</f>
        <v>0</v>
      </c>
      <c r="E77" s="362">
        <f ca="1">SUM(E78:E79)</f>
        <v>0</v>
      </c>
    </row>
    <row r="78" spans="1:5" s="3" customFormat="1" ht="13.8">
      <c r="A78" s="939"/>
      <c r="B78" s="953" t="s">
        <v>323</v>
      </c>
      <c r="C78" s="937"/>
      <c r="D78" s="363">
        <f ca="1">-SoldeN("151")</f>
        <v>0</v>
      </c>
      <c r="E78" s="364">
        <f ca="1">-SoldeN_1("151")</f>
        <v>0</v>
      </c>
    </row>
    <row r="79" spans="1:5" s="3" customFormat="1" ht="13.8">
      <c r="A79" s="939"/>
      <c r="B79" s="945" t="s">
        <v>322</v>
      </c>
      <c r="C79" s="935"/>
      <c r="D79" s="369">
        <f ca="1">-SoldeN("155")</f>
        <v>0</v>
      </c>
      <c r="E79" s="367">
        <f ca="1">-SoldeN_1("155")</f>
        <v>0</v>
      </c>
    </row>
    <row r="80" spans="1:5" s="3" customFormat="1" ht="13.8">
      <c r="A80" s="939"/>
      <c r="B80" s="930" t="s">
        <v>356</v>
      </c>
      <c r="C80" s="931"/>
      <c r="D80" s="361">
        <f ca="1">SUM(D81:D82)</f>
        <v>0</v>
      </c>
      <c r="E80" s="362">
        <f ca="1">SUM(E81:E82)</f>
        <v>0</v>
      </c>
    </row>
    <row r="81" spans="1:5" s="3" customFormat="1" ht="13.8">
      <c r="A81" s="939"/>
      <c r="B81" s="936" t="s">
        <v>367</v>
      </c>
      <c r="C81" s="937"/>
      <c r="D81" s="365">
        <f ca="1">-SoldeN("171")</f>
        <v>0</v>
      </c>
      <c r="E81" s="364">
        <f ca="1">-SoldeN_1("171")</f>
        <v>0</v>
      </c>
    </row>
    <row r="82" spans="1:5" s="3" customFormat="1" ht="13.8">
      <c r="A82" s="939"/>
      <c r="B82" s="934" t="s">
        <v>324</v>
      </c>
      <c r="C82" s="935"/>
      <c r="D82" s="368">
        <f ca="1">-SoldeN("172")</f>
        <v>0</v>
      </c>
      <c r="E82" s="367">
        <f ca="1">-SoldeN_1("172")</f>
        <v>0</v>
      </c>
    </row>
    <row r="83" spans="1:5" s="3" customFormat="1" ht="14.4" thickBot="1">
      <c r="A83" s="940"/>
      <c r="B83" s="943" t="s">
        <v>354</v>
      </c>
      <c r="C83" s="944"/>
      <c r="D83" s="370">
        <f ca="1">SUM(D80,D77,D73,D69,D68)</f>
        <v>-114310.29999999999</v>
      </c>
      <c r="E83" s="371">
        <f ca="1">SUM(E80,E77,E73,E69,E68)</f>
        <v>-104158.41999999993</v>
      </c>
    </row>
    <row r="84" spans="1:5" s="3" customFormat="1" ht="14.4" thickTop="1">
      <c r="A84" s="938" t="s">
        <v>103</v>
      </c>
      <c r="B84" s="930" t="s">
        <v>357</v>
      </c>
      <c r="C84" s="931"/>
      <c r="D84" s="361">
        <f ca="1">SUM(D85:D92)</f>
        <v>1322311.44</v>
      </c>
      <c r="E84" s="362">
        <f ca="1">SUM(E85:E92)</f>
        <v>1172335.01</v>
      </c>
    </row>
    <row r="85" spans="1:5" s="3" customFormat="1" ht="13.8">
      <c r="A85" s="939"/>
      <c r="B85" s="932" t="s">
        <v>368</v>
      </c>
      <c r="C85" s="933"/>
      <c r="D85" s="363">
        <f ca="1">-SoldeN("441")</f>
        <v>45342.32</v>
      </c>
      <c r="E85" s="366">
        <f ca="1">-SoldeN_1("441")</f>
        <v>40808.090000000004</v>
      </c>
    </row>
    <row r="86" spans="1:5" s="3" customFormat="1" ht="13.8">
      <c r="A86" s="939"/>
      <c r="B86" s="932" t="s">
        <v>99</v>
      </c>
      <c r="C86" s="933"/>
      <c r="D86" s="365">
        <f ca="1">-SoldeN("442")</f>
        <v>0</v>
      </c>
      <c r="E86" s="364">
        <f ca="1">-SoldeN_1("442")</f>
        <v>0</v>
      </c>
    </row>
    <row r="87" spans="1:5" s="3" customFormat="1" ht="13.8">
      <c r="A87" s="939"/>
      <c r="B87" s="932" t="s">
        <v>194</v>
      </c>
      <c r="C87" s="933"/>
      <c r="D87" s="365">
        <f ca="1">-SoldeN("443")</f>
        <v>636333.21</v>
      </c>
      <c r="E87" s="364">
        <f ca="1">-SoldeN_1("443")</f>
        <v>572699.89</v>
      </c>
    </row>
    <row r="88" spans="1:5" s="3" customFormat="1" ht="13.8">
      <c r="A88" s="939"/>
      <c r="B88" s="932" t="s">
        <v>325</v>
      </c>
      <c r="C88" s="933"/>
      <c r="D88" s="365">
        <f ca="1">-SoldeN("444")</f>
        <v>3462.77</v>
      </c>
      <c r="E88" s="364">
        <f ca="1">-SoldeN_1("444")</f>
        <v>3116.49</v>
      </c>
    </row>
    <row r="89" spans="1:5" s="3" customFormat="1" ht="13.8">
      <c r="A89" s="939"/>
      <c r="B89" s="932" t="s">
        <v>195</v>
      </c>
      <c r="C89" s="933"/>
      <c r="D89" s="365">
        <f ca="1">-SoldeN("445")</f>
        <v>139185.9</v>
      </c>
      <c r="E89" s="364">
        <f ca="1">-SoldeN_1("445")</f>
        <v>125267.31</v>
      </c>
    </row>
    <row r="90" spans="1:5" s="3" customFormat="1" ht="13.8">
      <c r="A90" s="939"/>
      <c r="B90" s="932" t="s">
        <v>196</v>
      </c>
      <c r="C90" s="933"/>
      <c r="D90" s="365">
        <f ca="1">-SoldeN("446")</f>
        <v>497987.24</v>
      </c>
      <c r="E90" s="364">
        <f ca="1">-SoldeN_1("446")</f>
        <v>430443.23</v>
      </c>
    </row>
    <row r="91" spans="1:5" s="3" customFormat="1" ht="13.8">
      <c r="A91" s="939"/>
      <c r="B91" s="932" t="s">
        <v>516</v>
      </c>
      <c r="C91" s="933"/>
      <c r="D91" s="365">
        <f ca="1">-SoldeN("448")</f>
        <v>0</v>
      </c>
      <c r="E91" s="364">
        <f ca="1">-SoldeN_1("448")</f>
        <v>0</v>
      </c>
    </row>
    <row r="92" spans="1:5" s="3" customFormat="1" ht="13.8">
      <c r="A92" s="939"/>
      <c r="B92" s="932" t="s">
        <v>326</v>
      </c>
      <c r="C92" s="933"/>
      <c r="D92" s="368">
        <f ca="1">-SoldeN("449")</f>
        <v>0</v>
      </c>
      <c r="E92" s="367">
        <f ca="1">-SoldeN_1("449")</f>
        <v>0</v>
      </c>
    </row>
    <row r="93" spans="1:5" s="3" customFormat="1" ht="13.8">
      <c r="A93" s="939"/>
      <c r="B93" s="930" t="s">
        <v>358</v>
      </c>
      <c r="C93" s="931"/>
      <c r="D93" s="372">
        <f ca="1">-SoldeN("45")</f>
        <v>0</v>
      </c>
      <c r="E93" s="373">
        <f ca="1">-SoldeN_1("45")</f>
        <v>0</v>
      </c>
    </row>
    <row r="94" spans="1:5" s="3" customFormat="1" ht="13.8">
      <c r="A94" s="939"/>
      <c r="B94" s="930" t="s">
        <v>359</v>
      </c>
      <c r="C94" s="931"/>
      <c r="D94" s="361">
        <f ca="1">-SoldeN("47")</f>
        <v>0</v>
      </c>
      <c r="E94" s="362">
        <f ca="1">-SoldeN_1("47")</f>
        <v>0</v>
      </c>
    </row>
    <row r="95" spans="1:5" s="3" customFormat="1" ht="14.4" thickBot="1">
      <c r="A95" s="940"/>
      <c r="B95" s="943" t="s">
        <v>360</v>
      </c>
      <c r="C95" s="944"/>
      <c r="D95" s="370">
        <f ca="1">SUM(D84,D93,D94)</f>
        <v>1322311.44</v>
      </c>
      <c r="E95" s="371">
        <f ca="1">SUM(E84,E93,E94)</f>
        <v>1172335.01</v>
      </c>
    </row>
    <row r="96" spans="1:5" s="3" customFormat="1" ht="14.4" thickTop="1">
      <c r="A96" s="938" t="s">
        <v>207</v>
      </c>
      <c r="B96" s="930" t="s">
        <v>327</v>
      </c>
      <c r="C96" s="931"/>
      <c r="D96" s="361">
        <f ca="1">SUM(D97:D99)</f>
        <v>0</v>
      </c>
      <c r="E96" s="362">
        <f ca="1">SUM(E97:E99)</f>
        <v>0</v>
      </c>
    </row>
    <row r="97" spans="1:6" s="3" customFormat="1" ht="13.8">
      <c r="A97" s="939"/>
      <c r="B97" s="932" t="s">
        <v>100</v>
      </c>
      <c r="C97" s="933"/>
      <c r="D97" s="365">
        <f ca="1">-SoldeN("552")</f>
        <v>0</v>
      </c>
      <c r="E97" s="364">
        <f ca="1">-SoldeN_1("552")</f>
        <v>0</v>
      </c>
    </row>
    <row r="98" spans="1:6" s="3" customFormat="1" ht="13.8">
      <c r="A98" s="939"/>
      <c r="B98" s="932" t="s">
        <v>96</v>
      </c>
      <c r="C98" s="933"/>
      <c r="D98" s="365">
        <f ca="1">-SoldeN("553")</f>
        <v>0</v>
      </c>
      <c r="E98" s="364">
        <f ca="1">-SoldeN_1("553")</f>
        <v>0</v>
      </c>
      <c r="F98" s="11"/>
    </row>
    <row r="99" spans="1:6" s="3" customFormat="1" ht="13.8">
      <c r="A99" s="939"/>
      <c r="B99" s="932" t="s">
        <v>101</v>
      </c>
      <c r="C99" s="933"/>
      <c r="D99" s="368">
        <f ca="1">-SoldeN("554")</f>
        <v>0</v>
      </c>
      <c r="E99" s="367">
        <f ca="1">-SoldeN_1("554")</f>
        <v>0</v>
      </c>
    </row>
    <row r="100" spans="1:6" s="3" customFormat="1" ht="14.4" thickBot="1">
      <c r="A100" s="940"/>
      <c r="B100" s="943" t="s">
        <v>427</v>
      </c>
      <c r="C100" s="944"/>
      <c r="D100" s="374">
        <f ca="1">SUM(D97:D99)</f>
        <v>0</v>
      </c>
      <c r="E100" s="375">
        <f ca="1">SUM(E97:E99)</f>
        <v>0</v>
      </c>
    </row>
    <row r="101" spans="1:6" s="3" customFormat="1" ht="14.4" thickTop="1">
      <c r="A101" s="941" t="s">
        <v>328</v>
      </c>
      <c r="B101" s="942"/>
      <c r="C101" s="942"/>
      <c r="D101" s="361">
        <f ca="1">SUM(D100,D95,D83)</f>
        <v>1208001.1399999999</v>
      </c>
      <c r="E101" s="362">
        <f ca="1">SUM(E100,E95,E83)</f>
        <v>1068176.5900000001</v>
      </c>
      <c r="F101" s="376"/>
    </row>
    <row r="102" spans="1:6" s="3" customFormat="1" ht="13.8">
      <c r="A102" s="377" t="s">
        <v>361</v>
      </c>
      <c r="B102" s="377"/>
      <c r="C102" s="378"/>
      <c r="D102" s="379"/>
      <c r="E102" s="11"/>
      <c r="F102" s="376"/>
    </row>
    <row r="103" spans="1:6" s="3" customFormat="1" ht="13.8">
      <c r="A103" s="377" t="s">
        <v>362</v>
      </c>
      <c r="B103" s="377"/>
      <c r="C103" s="378"/>
      <c r="F103" s="376"/>
    </row>
  </sheetData>
  <sheetProtection formatCells="0" formatColumns="0" formatRows="0"/>
  <mergeCells count="57">
    <mergeCell ref="B62:C62"/>
    <mergeCell ref="B63:C63"/>
    <mergeCell ref="A5:A30"/>
    <mergeCell ref="A31:A47"/>
    <mergeCell ref="F3:F4"/>
    <mergeCell ref="A3:B4"/>
    <mergeCell ref="A53:B53"/>
    <mergeCell ref="C3:E3"/>
    <mergeCell ref="A48:A52"/>
    <mergeCell ref="B72:C72"/>
    <mergeCell ref="B76:C76"/>
    <mergeCell ref="B61:C61"/>
    <mergeCell ref="A57:C57"/>
    <mergeCell ref="A55:E55"/>
    <mergeCell ref="B58:C58"/>
    <mergeCell ref="B59:C59"/>
    <mergeCell ref="A58:A83"/>
    <mergeCell ref="B83:C83"/>
    <mergeCell ref="B81:C81"/>
    <mergeCell ref="B78:C78"/>
    <mergeCell ref="B77:C77"/>
    <mergeCell ref="B67:C67"/>
    <mergeCell ref="B60:C60"/>
    <mergeCell ref="B71:C71"/>
    <mergeCell ref="B73:C73"/>
    <mergeCell ref="B68:C68"/>
    <mergeCell ref="B64:C64"/>
    <mergeCell ref="B65:C65"/>
    <mergeCell ref="B66:C66"/>
    <mergeCell ref="A101:C101"/>
    <mergeCell ref="B85:C85"/>
    <mergeCell ref="B86:C86"/>
    <mergeCell ref="B87:C87"/>
    <mergeCell ref="B88:C88"/>
    <mergeCell ref="B90:C90"/>
    <mergeCell ref="B93:C93"/>
    <mergeCell ref="B95:C95"/>
    <mergeCell ref="B100:C100"/>
    <mergeCell ref="B79:C79"/>
    <mergeCell ref="B69:C69"/>
    <mergeCell ref="B70:C70"/>
    <mergeCell ref="A1:F1"/>
    <mergeCell ref="B94:C94"/>
    <mergeCell ref="B96:C96"/>
    <mergeCell ref="B97:C97"/>
    <mergeCell ref="B84:C84"/>
    <mergeCell ref="B82:C82"/>
    <mergeCell ref="B80:C80"/>
    <mergeCell ref="B74:C74"/>
    <mergeCell ref="B75:C75"/>
    <mergeCell ref="B89:C89"/>
    <mergeCell ref="A96:A100"/>
    <mergeCell ref="A84:A95"/>
    <mergeCell ref="B99:C99"/>
    <mergeCell ref="B98:C98"/>
    <mergeCell ref="B91:C91"/>
    <mergeCell ref="B92:C92"/>
  </mergeCells>
  <phoneticPr fontId="0" type="noConversion"/>
  <pageMargins left="0.59055118110236227" right="0" top="0.78740157480314965" bottom="0" header="0.59055118110236227" footer="0.19685039370078741"/>
  <pageSetup paperSize="9" scale="90" fitToHeight="2" orientation="portrait" r:id="rId1"/>
  <headerFooter alignWithMargins="0">
    <oddHeader>&amp;R&amp;"Tahoma,Gras"&amp;8Tableau &amp;A (&amp;P/&amp;N)</oddHeader>
    <oddFooter>&amp;L&amp;3www.xedis.ma</oddFooter>
  </headerFooter>
  <rowBreaks count="1" manualBreakCount="1">
    <brk id="5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2" r:id="rId4" name="GoToMain">
              <controlPr defaultSize="0" print="0" autoFill="0" autoPict="0" macro="[0]!GoToMain">
                <anchor>
                  <from>
                    <xdr:col>0</xdr:col>
                    <xdr:colOff>0</xdr:colOff>
                    <xdr:row>0</xdr:row>
                    <xdr:rowOff>0</xdr:rowOff>
                  </from>
                  <to>
                    <xdr:col>1</xdr:col>
                    <xdr:colOff>114300</xdr:colOff>
                    <xdr:row>0</xdr:row>
                    <xdr:rowOff>228600</xdr:rowOff>
                  </to>
                </anchor>
              </controlPr>
            </control>
          </mc:Choice>
        </mc:AlternateContent>
        <mc:AlternateContent xmlns:mc="http://schemas.openxmlformats.org/markup-compatibility/2006">
          <mc:Choice Requires="x14">
            <control shapeId="5123" r:id="rId5" name="GoToMain_">
              <controlPr defaultSize="0" print="0" autoFill="0" autoPict="0" macro="[0]!GoToMain">
                <anchor>
                  <from>
                    <xdr:col>0</xdr:col>
                    <xdr:colOff>0</xdr:colOff>
                    <xdr:row>54</xdr:row>
                    <xdr:rowOff>0</xdr:rowOff>
                  </from>
                  <to>
                    <xdr:col>1</xdr:col>
                    <xdr:colOff>114300</xdr:colOff>
                    <xdr:row>54</xdr:row>
                    <xdr:rowOff>228600</xdr:rowOff>
                  </to>
                </anchor>
              </controlPr>
            </control>
          </mc:Choice>
        </mc:AlternateContent>
        <mc:AlternateContent xmlns:mc="http://schemas.openxmlformats.org/markup-compatibility/2006">
          <mc:Choice Requires="x14">
            <control shapeId="5124" r:id="rId6" name="CADRE_NEANT_T01_1_BOUTTON">
              <controlPr defaultSize="0" print="0" autoFill="0" autoLine="0" autoPict="0" macro="[0]!Cadre_Neant_Tab01_1">
                <anchor moveWithCells="1">
                  <from>
                    <xdr:col>5</xdr:col>
                    <xdr:colOff>495300</xdr:colOff>
                    <xdr:row>0</xdr:row>
                    <xdr:rowOff>7620</xdr:rowOff>
                  </from>
                  <to>
                    <xdr:col>5</xdr:col>
                    <xdr:colOff>1074420</xdr:colOff>
                    <xdr:row>0</xdr:row>
                    <xdr:rowOff>228600</xdr:rowOff>
                  </to>
                </anchor>
              </controlPr>
            </control>
          </mc:Choice>
        </mc:AlternateContent>
        <mc:AlternateContent xmlns:mc="http://schemas.openxmlformats.org/markup-compatibility/2006">
          <mc:Choice Requires="x14">
            <control shapeId="5125" r:id="rId7" name="CADRE_NEANT_T01_2_BOUTTON">
              <controlPr defaultSize="0" print="0" autoFill="0" autoLine="0" autoPict="0" macro="[0]!Cadre_Neant_Tab01_2">
                <anchor moveWithCells="1">
                  <from>
                    <xdr:col>4</xdr:col>
                    <xdr:colOff>487680</xdr:colOff>
                    <xdr:row>54</xdr:row>
                    <xdr:rowOff>7620</xdr:rowOff>
                  </from>
                  <to>
                    <xdr:col>4</xdr:col>
                    <xdr:colOff>1066800</xdr:colOff>
                    <xdr:row>54</xdr:row>
                    <xdr:rowOff>228600</xdr:rowOff>
                  </to>
                </anchor>
              </controlPr>
            </control>
          </mc:Choice>
        </mc:AlternateContent>
        <mc:AlternateContent xmlns:mc="http://schemas.openxmlformats.org/markup-compatibility/2006">
          <mc:Choice Requires="x14">
            <control shapeId="5127" r:id="rId8" name="GoToLast">
              <controlPr defaultSize="0" print="0" autoFill="0" autoPict="0" macro="[0]!GoToLastSelection">
                <anchor moveWithCells="1" sizeWithCells="1">
                  <from>
                    <xdr:col>1</xdr:col>
                    <xdr:colOff>121920</xdr:colOff>
                    <xdr:row>0</xdr:row>
                    <xdr:rowOff>0</xdr:rowOff>
                  </from>
                  <to>
                    <xdr:col>1</xdr:col>
                    <xdr:colOff>487680</xdr:colOff>
                    <xdr:row>0</xdr:row>
                    <xdr:rowOff>228600</xdr:rowOff>
                  </to>
                </anchor>
              </controlPr>
            </control>
          </mc:Choice>
        </mc:AlternateContent>
        <mc:AlternateContent xmlns:mc="http://schemas.openxmlformats.org/markup-compatibility/2006">
          <mc:Choice Requires="x14">
            <control shapeId="5129" r:id="rId9" name="GoToLast_">
              <controlPr defaultSize="0" print="0" autoFill="0" autoPict="0" macro="[0]!GoToLastSelection">
                <anchor moveWithCells="1" sizeWithCells="1">
                  <from>
                    <xdr:col>1</xdr:col>
                    <xdr:colOff>121920</xdr:colOff>
                    <xdr:row>54</xdr:row>
                    <xdr:rowOff>0</xdr:rowOff>
                  </from>
                  <to>
                    <xdr:col>1</xdr:col>
                    <xdr:colOff>487680</xdr:colOff>
                    <xdr:row>54</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02"/>
  <dimension ref="A1:G69"/>
  <sheetViews>
    <sheetView topLeftCell="A53" workbookViewId="0">
      <selection activeCell="E63" sqref="E63"/>
    </sheetView>
  </sheetViews>
  <sheetFormatPr baseColWidth="10" defaultColWidth="11.44140625" defaultRowHeight="13.8"/>
  <cols>
    <col min="1" max="1" width="3.6640625" style="438" customWidth="1"/>
    <col min="2" max="2" width="3.6640625" style="439" bestFit="1" customWidth="1"/>
    <col min="3" max="3" width="33.88671875" style="438" bestFit="1" customWidth="1"/>
    <col min="4" max="7" width="16.6640625" style="432" customWidth="1"/>
    <col min="8" max="16384" width="11.44140625" style="3"/>
  </cols>
  <sheetData>
    <row r="1" spans="1:7" ht="18.600000000000001" thickBot="1">
      <c r="A1" s="989" t="s">
        <v>436</v>
      </c>
      <c r="B1" s="990"/>
      <c r="C1" s="990"/>
      <c r="D1" s="990"/>
      <c r="E1" s="990"/>
      <c r="F1" s="990"/>
      <c r="G1" s="991"/>
    </row>
    <row r="2" spans="1:7">
      <c r="A2" s="297" t="str">
        <f>CONCATENATE(PagePrincipale!$F$9)</f>
        <v>D3 Soft SARL AU</v>
      </c>
      <c r="B2" s="5"/>
      <c r="C2" s="3"/>
      <c r="D2" s="3"/>
      <c r="E2" s="3"/>
      <c r="F2" s="3"/>
      <c r="G2" s="301" t="str">
        <f ca="1">PeriodeArrete_DuAu()</f>
        <v>Du 1/1/2017 Au 31/12/2017</v>
      </c>
    </row>
    <row r="3" spans="1:7">
      <c r="A3" s="978" t="s">
        <v>434</v>
      </c>
      <c r="B3" s="979"/>
      <c r="C3" s="980"/>
      <c r="D3" s="976" t="s">
        <v>416</v>
      </c>
      <c r="E3" s="977"/>
      <c r="F3" s="987" t="s">
        <v>413</v>
      </c>
      <c r="G3" s="992" t="s">
        <v>414</v>
      </c>
    </row>
    <row r="4" spans="1:7" ht="41.4">
      <c r="A4" s="981"/>
      <c r="B4" s="982"/>
      <c r="C4" s="983"/>
      <c r="D4" s="380" t="s">
        <v>412</v>
      </c>
      <c r="E4" s="380" t="s">
        <v>421</v>
      </c>
      <c r="F4" s="988"/>
      <c r="G4" s="993"/>
    </row>
    <row r="5" spans="1:7">
      <c r="A5" s="984"/>
      <c r="B5" s="985"/>
      <c r="C5" s="986"/>
      <c r="D5" s="381" t="s">
        <v>408</v>
      </c>
      <c r="E5" s="381" t="s">
        <v>409</v>
      </c>
      <c r="F5" s="382" t="s">
        <v>410</v>
      </c>
      <c r="G5" s="383" t="s">
        <v>411</v>
      </c>
    </row>
    <row r="6" spans="1:7">
      <c r="A6" s="973" t="s">
        <v>415</v>
      </c>
      <c r="B6" s="384" t="s">
        <v>417</v>
      </c>
      <c r="C6" s="385" t="s">
        <v>105</v>
      </c>
      <c r="D6" s="386">
        <f ca="1">SUM(D9:D14)</f>
        <v>334861.28999999998</v>
      </c>
      <c r="E6" s="386">
        <f ca="1">SUM(E9:E14)</f>
        <v>0</v>
      </c>
      <c r="F6" s="387">
        <f ca="1">SUM(F9:F14)</f>
        <v>334861.28999999998</v>
      </c>
      <c r="G6" s="388">
        <f ca="1">SUM(G9:G14)</f>
        <v>301375.16000000003</v>
      </c>
    </row>
    <row r="7" spans="1:7">
      <c r="A7" s="974"/>
      <c r="B7" s="389"/>
      <c r="C7" s="390" t="s">
        <v>106</v>
      </c>
      <c r="D7" s="391">
        <f ca="1">F7-E7</f>
        <v>0</v>
      </c>
      <c r="E7" s="392">
        <f ca="1">-SoldeN("7118")</f>
        <v>0</v>
      </c>
      <c r="F7" s="393">
        <f ca="1">-SoldeN("711")</f>
        <v>0</v>
      </c>
      <c r="G7" s="394">
        <f ca="1">-SoldeN_1("711")</f>
        <v>0</v>
      </c>
    </row>
    <row r="8" spans="1:7">
      <c r="A8" s="974"/>
      <c r="B8" s="389"/>
      <c r="C8" s="390" t="s">
        <v>107</v>
      </c>
      <c r="D8" s="391">
        <f ca="1">F8-E8</f>
        <v>264857.67</v>
      </c>
      <c r="E8" s="392">
        <f ca="1">-SoldeN("7128")</f>
        <v>0</v>
      </c>
      <c r="F8" s="393">
        <f ca="1">-SoldeN("712")</f>
        <v>264857.67</v>
      </c>
      <c r="G8" s="394">
        <f ca="1">-SoldeN_1("712")</f>
        <v>238371.9</v>
      </c>
    </row>
    <row r="9" spans="1:7">
      <c r="A9" s="974"/>
      <c r="B9" s="389"/>
      <c r="C9" s="395" t="s">
        <v>108</v>
      </c>
      <c r="D9" s="396">
        <f ca="1">SUM(D7:D8)</f>
        <v>264857.67</v>
      </c>
      <c r="E9" s="396">
        <f ca="1">SUM(E7:E8)</f>
        <v>0</v>
      </c>
      <c r="F9" s="397">
        <f ca="1">SUM(F7:F8)</f>
        <v>264857.67</v>
      </c>
      <c r="G9" s="398">
        <f ca="1">SUM(G7:G8)</f>
        <v>238371.9</v>
      </c>
    </row>
    <row r="10" spans="1:7">
      <c r="A10" s="974"/>
      <c r="B10" s="389"/>
      <c r="C10" s="390" t="s">
        <v>109</v>
      </c>
      <c r="D10" s="391">
        <f ca="1">F10-E10</f>
        <v>70000</v>
      </c>
      <c r="E10" s="392">
        <f ca="1">-SoldeN("7138")</f>
        <v>0</v>
      </c>
      <c r="F10" s="393">
        <f ca="1">-SoldeN("713")</f>
        <v>70000</v>
      </c>
      <c r="G10" s="394">
        <f ca="1">-SoldeN_1("713")</f>
        <v>63000</v>
      </c>
    </row>
    <row r="11" spans="1:7">
      <c r="A11" s="974"/>
      <c r="B11" s="389"/>
      <c r="C11" s="390" t="s">
        <v>110</v>
      </c>
      <c r="D11" s="391">
        <f ca="1">F11-E11</f>
        <v>0</v>
      </c>
      <c r="E11" s="392">
        <f ca="1">-SoldeN("7148")</f>
        <v>0</v>
      </c>
      <c r="F11" s="393">
        <f ca="1">-SoldeN("714")</f>
        <v>0</v>
      </c>
      <c r="G11" s="394">
        <f ca="1">-SoldeN_1("714")</f>
        <v>0</v>
      </c>
    </row>
    <row r="12" spans="1:7">
      <c r="A12" s="974"/>
      <c r="B12" s="389"/>
      <c r="C12" s="390" t="s">
        <v>111</v>
      </c>
      <c r="D12" s="391">
        <f ca="1">F12-E12</f>
        <v>0</v>
      </c>
      <c r="E12" s="392">
        <f ca="1">-SoldeN("7168")</f>
        <v>0</v>
      </c>
      <c r="F12" s="393">
        <f ca="1">-SoldeN("716")</f>
        <v>0</v>
      </c>
      <c r="G12" s="394">
        <f ca="1">-SoldeN_1("716")</f>
        <v>0</v>
      </c>
    </row>
    <row r="13" spans="1:7">
      <c r="A13" s="974"/>
      <c r="B13" s="389"/>
      <c r="C13" s="390" t="s">
        <v>112</v>
      </c>
      <c r="D13" s="391">
        <f ca="1">F13-E13</f>
        <v>3.62</v>
      </c>
      <c r="E13" s="392">
        <f ca="1">-SoldeN("7188")</f>
        <v>0</v>
      </c>
      <c r="F13" s="393">
        <f ca="1">-SoldeN("718")</f>
        <v>3.62</v>
      </c>
      <c r="G13" s="394">
        <f ca="1">-SoldeN_1("718")</f>
        <v>3.26</v>
      </c>
    </row>
    <row r="14" spans="1:7">
      <c r="A14" s="974"/>
      <c r="B14" s="389"/>
      <c r="C14" s="399" t="s">
        <v>329</v>
      </c>
      <c r="D14" s="391">
        <f ca="1">F14-E14</f>
        <v>0</v>
      </c>
      <c r="E14" s="392">
        <f ca="1">-SoldeN("7198")</f>
        <v>0</v>
      </c>
      <c r="F14" s="400">
        <f ca="1">-SoldeN("719")</f>
        <v>0</v>
      </c>
      <c r="G14" s="401">
        <f ca="1">-SoldeN_1("719")</f>
        <v>0</v>
      </c>
    </row>
    <row r="15" spans="1:7">
      <c r="A15" s="974"/>
      <c r="B15" s="389"/>
      <c r="C15" s="402" t="s">
        <v>330</v>
      </c>
      <c r="D15" s="403">
        <f ca="1">SUM(D9:D14)</f>
        <v>334861.28999999998</v>
      </c>
      <c r="E15" s="403">
        <f ca="1">SUM(E9:E14)</f>
        <v>0</v>
      </c>
      <c r="F15" s="404">
        <f ca="1">SUM(F9:F14)</f>
        <v>334861.28999999998</v>
      </c>
      <c r="G15" s="405">
        <f ca="1">SUM(G9:G14)</f>
        <v>301375.16000000003</v>
      </c>
    </row>
    <row r="16" spans="1:7">
      <c r="A16" s="974"/>
      <c r="B16" s="389" t="s">
        <v>418</v>
      </c>
      <c r="C16" s="385" t="s">
        <v>331</v>
      </c>
      <c r="D16" s="386">
        <f ca="1">SUM(D17:D23)</f>
        <v>322886.90999999997</v>
      </c>
      <c r="E16" s="386">
        <f ca="1">SUM(E17:E23)</f>
        <v>9600</v>
      </c>
      <c r="F16" s="387">
        <f ca="1">SUM(F17:F23)</f>
        <v>332486.90999999997</v>
      </c>
      <c r="G16" s="388">
        <f ca="1">SUM(G17:G23)</f>
        <v>290358.90000000002</v>
      </c>
    </row>
    <row r="17" spans="1:7">
      <c r="A17" s="974"/>
      <c r="B17" s="389"/>
      <c r="C17" s="406" t="s">
        <v>332</v>
      </c>
      <c r="D17" s="391">
        <f t="shared" ref="D17:D23" ca="1" si="0">F17-E17</f>
        <v>0</v>
      </c>
      <c r="E17" s="392">
        <f ca="1">SoldeN("6118")</f>
        <v>0</v>
      </c>
      <c r="F17" s="393">
        <f ca="1">SoldeN("611")</f>
        <v>0</v>
      </c>
      <c r="G17" s="394">
        <f ca="1">SoldeN_1("611")</f>
        <v>0</v>
      </c>
    </row>
    <row r="18" spans="1:7">
      <c r="A18" s="974"/>
      <c r="B18" s="389"/>
      <c r="C18" s="390" t="s">
        <v>333</v>
      </c>
      <c r="D18" s="391">
        <f t="shared" ca="1" si="0"/>
        <v>10334.040000000001</v>
      </c>
      <c r="E18" s="392">
        <f ca="1">SoldeN("6128")</f>
        <v>0</v>
      </c>
      <c r="F18" s="393">
        <f ca="1">SoldeN("612")</f>
        <v>10334.040000000001</v>
      </c>
      <c r="G18" s="394">
        <f ca="1">SoldeN_1("612")</f>
        <v>9300.64</v>
      </c>
    </row>
    <row r="19" spans="1:7">
      <c r="A19" s="974"/>
      <c r="B19" s="389"/>
      <c r="C19" s="390" t="s">
        <v>334</v>
      </c>
      <c r="D19" s="391">
        <f t="shared" ca="1" si="0"/>
        <v>65929.08</v>
      </c>
      <c r="E19" s="393">
        <f ca="1">SoldeN("6138")+SoldeN("6148")</f>
        <v>0</v>
      </c>
      <c r="F19" s="393">
        <f ca="1">SoldeN("613")+SoldeN("614")</f>
        <v>65929.08</v>
      </c>
      <c r="G19" s="394">
        <f ca="1">SoldeN_1("613")+SoldeN_1("614")</f>
        <v>59336.17</v>
      </c>
    </row>
    <row r="20" spans="1:7">
      <c r="A20" s="974"/>
      <c r="B20" s="389"/>
      <c r="C20" s="390" t="s">
        <v>335</v>
      </c>
      <c r="D20" s="391">
        <f t="shared" ca="1" si="0"/>
        <v>4816</v>
      </c>
      <c r="E20" s="392">
        <f ca="1">SoldeN("6168")</f>
        <v>9600</v>
      </c>
      <c r="F20" s="393">
        <f ca="1">SoldeN("616")</f>
        <v>14416</v>
      </c>
      <c r="G20" s="394">
        <f ca="1">SoldeN_1("616")</f>
        <v>4329</v>
      </c>
    </row>
    <row r="21" spans="1:7">
      <c r="A21" s="974"/>
      <c r="B21" s="389"/>
      <c r="C21" s="390" t="s">
        <v>336</v>
      </c>
      <c r="D21" s="391">
        <f t="shared" ca="1" si="0"/>
        <v>233984.28</v>
      </c>
      <c r="E21" s="392">
        <f ca="1">SoldeN("6178")</f>
        <v>0</v>
      </c>
      <c r="F21" s="393">
        <f ca="1">SoldeN("617")</f>
        <v>233984.28</v>
      </c>
      <c r="G21" s="394">
        <f ca="1">SoldeN_1("617")</f>
        <v>210585.85</v>
      </c>
    </row>
    <row r="22" spans="1:7">
      <c r="A22" s="974"/>
      <c r="B22" s="389"/>
      <c r="C22" s="390" t="s">
        <v>337</v>
      </c>
      <c r="D22" s="391">
        <f t="shared" ca="1" si="0"/>
        <v>8.0399999999999991</v>
      </c>
      <c r="E22" s="392">
        <f ca="1">SoldeN("6188")</f>
        <v>0</v>
      </c>
      <c r="F22" s="393">
        <f ca="1">SoldeN("618")</f>
        <v>8.0399999999999991</v>
      </c>
      <c r="G22" s="394">
        <f ca="1">SoldeN_1("618")</f>
        <v>7.24</v>
      </c>
    </row>
    <row r="23" spans="1:7">
      <c r="A23" s="974"/>
      <c r="B23" s="389"/>
      <c r="C23" s="399" t="s">
        <v>338</v>
      </c>
      <c r="D23" s="407">
        <f t="shared" ca="1" si="0"/>
        <v>7815.47</v>
      </c>
      <c r="E23" s="408">
        <f ca="1">SoldeN("6198")</f>
        <v>0</v>
      </c>
      <c r="F23" s="400">
        <f ca="1">SoldeN("619")</f>
        <v>7815.47</v>
      </c>
      <c r="G23" s="401">
        <f ca="1">SoldeN_1("619")</f>
        <v>6800</v>
      </c>
    </row>
    <row r="24" spans="1:7">
      <c r="A24" s="974"/>
      <c r="B24" s="389"/>
      <c r="C24" s="402" t="s">
        <v>339</v>
      </c>
      <c r="D24" s="403">
        <f ca="1">SUM(D17:D18,D19:D23)</f>
        <v>322886.90999999997</v>
      </c>
      <c r="E24" s="403">
        <f ca="1">SUM(E17:E18,E19:E23)</f>
        <v>9600</v>
      </c>
      <c r="F24" s="409">
        <f ca="1">SUM(F17:F18,F19:F23)</f>
        <v>332486.90999999997</v>
      </c>
      <c r="G24" s="410">
        <f ca="1">SUM(G17:G18,G19:G23)</f>
        <v>290358.90000000002</v>
      </c>
    </row>
    <row r="25" spans="1:7">
      <c r="A25" s="975"/>
      <c r="B25" s="411" t="s">
        <v>419</v>
      </c>
      <c r="C25" s="412" t="s">
        <v>340</v>
      </c>
      <c r="D25" s="413">
        <v>0</v>
      </c>
      <c r="E25" s="413">
        <v>0</v>
      </c>
      <c r="F25" s="409">
        <f ca="1">F15-F24</f>
        <v>2374.3800000000047</v>
      </c>
      <c r="G25" s="410">
        <f ca="1">G15-G24</f>
        <v>11016.260000000009</v>
      </c>
    </row>
    <row r="26" spans="1:7">
      <c r="A26" s="973" t="s">
        <v>425</v>
      </c>
      <c r="B26" s="414" t="s">
        <v>420</v>
      </c>
      <c r="C26" s="385" t="s">
        <v>341</v>
      </c>
      <c r="D26" s="386">
        <f ca="1">SUM(D27:D30)</f>
        <v>0</v>
      </c>
      <c r="E26" s="386">
        <f ca="1">SUM(E27:E30)</f>
        <v>0</v>
      </c>
      <c r="F26" s="387">
        <f ca="1">SUM(F27:F30)</f>
        <v>0</v>
      </c>
      <c r="G26" s="388">
        <f ca="1">SUM(G27:G30)</f>
        <v>0</v>
      </c>
    </row>
    <row r="27" spans="1:7">
      <c r="A27" s="974"/>
      <c r="B27" s="414"/>
      <c r="C27" s="390" t="s">
        <v>180</v>
      </c>
      <c r="D27" s="391">
        <f ca="1">F27-E27</f>
        <v>0</v>
      </c>
      <c r="E27" s="392">
        <f ca="1">-SoldeN("7328")</f>
        <v>0</v>
      </c>
      <c r="F27" s="393">
        <f ca="1">-SoldeN("732")</f>
        <v>0</v>
      </c>
      <c r="G27" s="394">
        <f ca="1">-SoldeN_1("732")</f>
        <v>0</v>
      </c>
    </row>
    <row r="28" spans="1:7">
      <c r="A28" s="974"/>
      <c r="B28" s="414"/>
      <c r="C28" s="390" t="s">
        <v>342</v>
      </c>
      <c r="D28" s="391">
        <f ca="1">F28-E28</f>
        <v>0</v>
      </c>
      <c r="E28" s="392">
        <f ca="1">-SoldeN("7338")</f>
        <v>0</v>
      </c>
      <c r="F28" s="393">
        <f ca="1">-SoldeN("733")</f>
        <v>0</v>
      </c>
      <c r="G28" s="394">
        <f ca="1">-SoldeN_1("733")</f>
        <v>0</v>
      </c>
    </row>
    <row r="29" spans="1:7">
      <c r="A29" s="974"/>
      <c r="B29" s="414"/>
      <c r="C29" s="390" t="s">
        <v>343</v>
      </c>
      <c r="D29" s="391">
        <f ca="1">F29-E29</f>
        <v>0</v>
      </c>
      <c r="E29" s="392">
        <f ca="1">-SoldeN("7388")</f>
        <v>0</v>
      </c>
      <c r="F29" s="393">
        <f ca="1">-SoldeN("738")</f>
        <v>0</v>
      </c>
      <c r="G29" s="394">
        <f ca="1">-SoldeN_1("738")</f>
        <v>0</v>
      </c>
    </row>
    <row r="30" spans="1:7">
      <c r="A30" s="974"/>
      <c r="B30" s="414"/>
      <c r="C30" s="399" t="s">
        <v>344</v>
      </c>
      <c r="D30" s="415">
        <f ca="1">F30-E30</f>
        <v>0</v>
      </c>
      <c r="E30" s="416">
        <f ca="1">-SoldeN("7398")</f>
        <v>0</v>
      </c>
      <c r="F30" s="417">
        <f ca="1">-SoldeN("739")</f>
        <v>0</v>
      </c>
      <c r="G30" s="401">
        <f ca="1">-SoldeN_1("739")</f>
        <v>0</v>
      </c>
    </row>
    <row r="31" spans="1:7">
      <c r="A31" s="974"/>
      <c r="B31" s="414"/>
      <c r="C31" s="402" t="s">
        <v>345</v>
      </c>
      <c r="D31" s="418">
        <f ca="1">SUM(D27:D30)</f>
        <v>0</v>
      </c>
      <c r="E31" s="418">
        <f ca="1">SUM(E27:E30)</f>
        <v>0</v>
      </c>
      <c r="F31" s="409">
        <f ca="1">SUM(F27:F30)</f>
        <v>0</v>
      </c>
      <c r="G31" s="410">
        <f ca="1">SUM(G27:G30)</f>
        <v>0</v>
      </c>
    </row>
    <row r="32" spans="1:7">
      <c r="A32" s="974"/>
      <c r="B32" s="414" t="s">
        <v>422</v>
      </c>
      <c r="C32" s="385" t="s">
        <v>346</v>
      </c>
      <c r="D32" s="386">
        <f ca="1">SUM(D33:D36)</f>
        <v>0</v>
      </c>
      <c r="E32" s="386">
        <f ca="1">SUM(E33:E36)</f>
        <v>0</v>
      </c>
      <c r="F32" s="387">
        <f ca="1">SUM(F33:F36)</f>
        <v>0</v>
      </c>
      <c r="G32" s="388">
        <f ca="1">SUM(G33:G36)</f>
        <v>0</v>
      </c>
    </row>
    <row r="33" spans="1:7">
      <c r="A33" s="974"/>
      <c r="B33" s="414"/>
      <c r="C33" s="390" t="s">
        <v>347</v>
      </c>
      <c r="D33" s="391">
        <f ca="1">F33-E33</f>
        <v>0</v>
      </c>
      <c r="E33" s="392">
        <f ca="1">SoldeN("6318")</f>
        <v>0</v>
      </c>
      <c r="F33" s="393">
        <f ca="1">SoldeN("631")</f>
        <v>0</v>
      </c>
      <c r="G33" s="394">
        <f ca="1">SoldeN_1("631")</f>
        <v>0</v>
      </c>
    </row>
    <row r="34" spans="1:7">
      <c r="A34" s="974"/>
      <c r="B34" s="414"/>
      <c r="C34" s="390" t="s">
        <v>283</v>
      </c>
      <c r="D34" s="391">
        <f ca="1">F34-E34</f>
        <v>0</v>
      </c>
      <c r="E34" s="392">
        <f ca="1">SoldeN("6338")</f>
        <v>0</v>
      </c>
      <c r="F34" s="393">
        <f ca="1">SoldeN("633")</f>
        <v>0</v>
      </c>
      <c r="G34" s="394">
        <f ca="1">SoldeN_1("633")</f>
        <v>0</v>
      </c>
    </row>
    <row r="35" spans="1:7">
      <c r="A35" s="974"/>
      <c r="B35" s="414"/>
      <c r="C35" s="390" t="s">
        <v>284</v>
      </c>
      <c r="D35" s="391">
        <f ca="1">F35-E35</f>
        <v>0</v>
      </c>
      <c r="E35" s="392">
        <f ca="1">SoldeN("6388")</f>
        <v>0</v>
      </c>
      <c r="F35" s="393">
        <f ca="1">SoldeN("638")</f>
        <v>0</v>
      </c>
      <c r="G35" s="394">
        <f ca="1">SoldeN_1("638")</f>
        <v>0</v>
      </c>
    </row>
    <row r="36" spans="1:7">
      <c r="A36" s="974"/>
      <c r="B36" s="414"/>
      <c r="C36" s="399" t="s">
        <v>4</v>
      </c>
      <c r="D36" s="415">
        <f ca="1">F36-E36</f>
        <v>0</v>
      </c>
      <c r="E36" s="416">
        <f ca="1">SoldeN("6398")</f>
        <v>0</v>
      </c>
      <c r="F36" s="417">
        <f ca="1">SoldeN("639")</f>
        <v>0</v>
      </c>
      <c r="G36" s="401">
        <f ca="1">SoldeN_1("639")</f>
        <v>0</v>
      </c>
    </row>
    <row r="37" spans="1:7">
      <c r="A37" s="974"/>
      <c r="B37" s="414"/>
      <c r="C37" s="402" t="s">
        <v>5</v>
      </c>
      <c r="D37" s="418">
        <f ca="1">SUM(D33:D36)</f>
        <v>0</v>
      </c>
      <c r="E37" s="418">
        <f ca="1">SUM(E33:E36)</f>
        <v>0</v>
      </c>
      <c r="F37" s="409">
        <f ca="1">SUM(F33:F36)</f>
        <v>0</v>
      </c>
      <c r="G37" s="410">
        <f ca="1">SUM(G33:G36)</f>
        <v>0</v>
      </c>
    </row>
    <row r="38" spans="1:7">
      <c r="A38" s="975"/>
      <c r="B38" s="411" t="s">
        <v>423</v>
      </c>
      <c r="C38" s="412" t="s">
        <v>6</v>
      </c>
      <c r="D38" s="413">
        <v>0</v>
      </c>
      <c r="E38" s="413">
        <v>0</v>
      </c>
      <c r="F38" s="409">
        <f ca="1">F31-F37</f>
        <v>0</v>
      </c>
      <c r="G38" s="410">
        <f ca="1">G31-G37</f>
        <v>0</v>
      </c>
    </row>
    <row r="39" spans="1:7">
      <c r="A39" s="419"/>
      <c r="B39" s="420" t="s">
        <v>424</v>
      </c>
      <c r="C39" s="412" t="s">
        <v>407</v>
      </c>
      <c r="D39" s="413">
        <v>0</v>
      </c>
      <c r="E39" s="413">
        <v>0</v>
      </c>
      <c r="F39" s="409">
        <f ca="1">SUM(F25,F38)</f>
        <v>2374.3800000000047</v>
      </c>
      <c r="G39" s="410">
        <f ca="1">SUM(G25,G38)</f>
        <v>11016.260000000009</v>
      </c>
    </row>
    <row r="40" spans="1:7">
      <c r="A40" s="421" t="s">
        <v>789</v>
      </c>
      <c r="B40" s="421"/>
      <c r="C40" s="421"/>
      <c r="D40" s="421"/>
      <c r="E40" s="421"/>
      <c r="F40" s="421"/>
      <c r="G40" s="3"/>
    </row>
    <row r="41" spans="1:7" ht="14.4" thickBot="1">
      <c r="A41" s="421" t="s">
        <v>790</v>
      </c>
      <c r="B41" s="421"/>
      <c r="C41" s="421"/>
      <c r="D41" s="421"/>
      <c r="E41" s="421"/>
      <c r="F41" s="421"/>
      <c r="G41" s="3"/>
    </row>
    <row r="42" spans="1:7" ht="18.600000000000001" thickBot="1">
      <c r="A42" s="989" t="s">
        <v>437</v>
      </c>
      <c r="B42" s="990"/>
      <c r="C42" s="990"/>
      <c r="D42" s="990"/>
      <c r="E42" s="990"/>
      <c r="F42" s="990"/>
      <c r="G42" s="991"/>
    </row>
    <row r="43" spans="1:7">
      <c r="A43" s="297" t="str">
        <f>CONCATENATE(PagePrincipale!$F$9)</f>
        <v>D3 Soft SARL AU</v>
      </c>
      <c r="B43" s="5"/>
      <c r="C43" s="3"/>
      <c r="D43" s="3"/>
      <c r="E43" s="3"/>
      <c r="F43" s="3"/>
      <c r="G43" s="301" t="str">
        <f ca="1">PeriodeArrete_DuAu()</f>
        <v>Du 1/1/2017 Au 31/12/2017</v>
      </c>
    </row>
    <row r="44" spans="1:7">
      <c r="A44" s="978" t="s">
        <v>434</v>
      </c>
      <c r="B44" s="979"/>
      <c r="C44" s="980"/>
      <c r="D44" s="976" t="s">
        <v>416</v>
      </c>
      <c r="E44" s="977"/>
      <c r="F44" s="987" t="s">
        <v>413</v>
      </c>
      <c r="G44" s="992" t="s">
        <v>414</v>
      </c>
    </row>
    <row r="45" spans="1:7" ht="41.4">
      <c r="A45" s="981"/>
      <c r="B45" s="982"/>
      <c r="C45" s="983"/>
      <c r="D45" s="380" t="s">
        <v>412</v>
      </c>
      <c r="E45" s="380" t="s">
        <v>421</v>
      </c>
      <c r="F45" s="988"/>
      <c r="G45" s="993"/>
    </row>
    <row r="46" spans="1:7">
      <c r="A46" s="984"/>
      <c r="B46" s="985"/>
      <c r="C46" s="986"/>
      <c r="D46" s="381" t="s">
        <v>408</v>
      </c>
      <c r="E46" s="381" t="s">
        <v>409</v>
      </c>
      <c r="F46" s="382" t="s">
        <v>410</v>
      </c>
      <c r="G46" s="383" t="s">
        <v>411</v>
      </c>
    </row>
    <row r="47" spans="1:7">
      <c r="A47" s="419"/>
      <c r="B47" s="420" t="s">
        <v>424</v>
      </c>
      <c r="C47" s="412" t="s">
        <v>438</v>
      </c>
      <c r="D47" s="413">
        <v>0</v>
      </c>
      <c r="E47" s="413">
        <v>0</v>
      </c>
      <c r="F47" s="409">
        <f ca="1">F39</f>
        <v>2374.3800000000047</v>
      </c>
      <c r="G47" s="405">
        <f ca="1">G39</f>
        <v>11016.260000000009</v>
      </c>
    </row>
    <row r="48" spans="1:7">
      <c r="A48" s="973" t="s">
        <v>503</v>
      </c>
      <c r="B48" s="414" t="s">
        <v>439</v>
      </c>
      <c r="C48" s="385" t="s">
        <v>440</v>
      </c>
      <c r="D48" s="386">
        <f ca="1">SUM(D49:D53)</f>
        <v>0</v>
      </c>
      <c r="E48" s="386">
        <f ca="1">SUM(E49:E53)</f>
        <v>0</v>
      </c>
      <c r="F48" s="387">
        <f ca="1">SUM(F49:F53)</f>
        <v>0</v>
      </c>
      <c r="G48" s="388">
        <f ca="1">SUM(G49:G53)</f>
        <v>0</v>
      </c>
    </row>
    <row r="49" spans="1:7">
      <c r="A49" s="974"/>
      <c r="B49" s="414"/>
      <c r="C49" s="422" t="s">
        <v>441</v>
      </c>
      <c r="D49" s="391">
        <f ca="1">F49-E49</f>
        <v>0</v>
      </c>
      <c r="E49" s="392">
        <f ca="1">-SoldeN("7518")</f>
        <v>0</v>
      </c>
      <c r="F49" s="393">
        <f ca="1">-SoldeN("751")</f>
        <v>0</v>
      </c>
      <c r="G49" s="394">
        <f ca="1">-SoldeN_1("751")</f>
        <v>0</v>
      </c>
    </row>
    <row r="50" spans="1:7">
      <c r="A50" s="974"/>
      <c r="B50" s="414"/>
      <c r="C50" s="423" t="s">
        <v>442</v>
      </c>
      <c r="D50" s="391">
        <f ca="1">F50-E50</f>
        <v>0</v>
      </c>
      <c r="E50" s="392">
        <f ca="1">-SoldeN("7568")</f>
        <v>0</v>
      </c>
      <c r="F50" s="393">
        <f ca="1">-SoldeN("756")</f>
        <v>0</v>
      </c>
      <c r="G50" s="394">
        <f ca="1">-SoldeN_1("756")</f>
        <v>0</v>
      </c>
    </row>
    <row r="51" spans="1:7">
      <c r="A51" s="974"/>
      <c r="B51" s="414"/>
      <c r="C51" s="422" t="s">
        <v>443</v>
      </c>
      <c r="D51" s="391">
        <f ca="1">F51-E51</f>
        <v>0</v>
      </c>
      <c r="E51" s="392">
        <f ca="1">-SoldeN("7578")</f>
        <v>0</v>
      </c>
      <c r="F51" s="393">
        <f ca="1">-SoldeN("757")</f>
        <v>0</v>
      </c>
      <c r="G51" s="394">
        <f ca="1">-SoldeN_1("757")</f>
        <v>0</v>
      </c>
    </row>
    <row r="52" spans="1:7">
      <c r="A52" s="974"/>
      <c r="B52" s="414"/>
      <c r="C52" s="422" t="s">
        <v>444</v>
      </c>
      <c r="D52" s="391">
        <f ca="1">F52-E52</f>
        <v>0</v>
      </c>
      <c r="E52" s="392">
        <f ca="1">-SoldeN("7588")</f>
        <v>0</v>
      </c>
      <c r="F52" s="393">
        <f ca="1">-SoldeN("758")</f>
        <v>0</v>
      </c>
      <c r="G52" s="394">
        <f ca="1">-SoldeN_1("758")</f>
        <v>0</v>
      </c>
    </row>
    <row r="53" spans="1:7">
      <c r="A53" s="974"/>
      <c r="B53" s="414"/>
      <c r="C53" s="424" t="s">
        <v>445</v>
      </c>
      <c r="D53" s="415">
        <f ca="1">F53-E53</f>
        <v>0</v>
      </c>
      <c r="E53" s="425">
        <f ca="1">-SoldeN("7598")</f>
        <v>0</v>
      </c>
      <c r="F53" s="400">
        <f ca="1">-SoldeN("759")</f>
        <v>0</v>
      </c>
      <c r="G53" s="401">
        <f ca="1">-SoldeN_1("759")</f>
        <v>0</v>
      </c>
    </row>
    <row r="54" spans="1:7">
      <c r="A54" s="974"/>
      <c r="B54" s="414"/>
      <c r="C54" s="426" t="s">
        <v>446</v>
      </c>
      <c r="D54" s="418">
        <f ca="1">SUM(D49:D53)</f>
        <v>0</v>
      </c>
      <c r="E54" s="418">
        <f ca="1">SUM(E49:E53)</f>
        <v>0</v>
      </c>
      <c r="F54" s="409">
        <f ca="1">SUM(F49:F53)</f>
        <v>0</v>
      </c>
      <c r="G54" s="410">
        <f ca="1">SUM(G49:G53)</f>
        <v>0</v>
      </c>
    </row>
    <row r="55" spans="1:7">
      <c r="A55" s="974"/>
      <c r="B55" s="414" t="s">
        <v>447</v>
      </c>
      <c r="C55" s="385" t="s">
        <v>448</v>
      </c>
      <c r="D55" s="427">
        <f ca="1">SUM(D56:D59)</f>
        <v>2040</v>
      </c>
      <c r="E55" s="427">
        <f ca="1">SUM(E56:E59)</f>
        <v>0</v>
      </c>
      <c r="F55" s="428">
        <f ca="1">SUM(F56:F59)</f>
        <v>2040</v>
      </c>
      <c r="G55" s="429">
        <f ca="1">SUM(G56:G59)</f>
        <v>1100</v>
      </c>
    </row>
    <row r="56" spans="1:7">
      <c r="A56" s="974"/>
      <c r="B56" s="414"/>
      <c r="C56" s="422" t="s">
        <v>513</v>
      </c>
      <c r="D56" s="392">
        <f ca="1">F56-E56</f>
        <v>0</v>
      </c>
      <c r="E56" s="392">
        <f ca="1">SoldeN("6518")</f>
        <v>0</v>
      </c>
      <c r="F56" s="393">
        <f ca="1">SoldeN("651")</f>
        <v>0</v>
      </c>
      <c r="G56" s="394">
        <f ca="1">SoldeN_1("651")</f>
        <v>0</v>
      </c>
    </row>
    <row r="57" spans="1:7">
      <c r="A57" s="974"/>
      <c r="B57" s="414"/>
      <c r="C57" s="423" t="s">
        <v>449</v>
      </c>
      <c r="D57" s="391">
        <f ca="1">F57-E57</f>
        <v>0</v>
      </c>
      <c r="E57" s="392">
        <f ca="1">SoldeN("6568")</f>
        <v>0</v>
      </c>
      <c r="F57" s="393">
        <f ca="1">SoldeN("656")</f>
        <v>0</v>
      </c>
      <c r="G57" s="394">
        <f ca="1">SoldeN_1("656")</f>
        <v>0</v>
      </c>
    </row>
    <row r="58" spans="1:7">
      <c r="A58" s="974"/>
      <c r="B58" s="414"/>
      <c r="C58" s="422" t="s">
        <v>166</v>
      </c>
      <c r="D58" s="391">
        <f ca="1">F58-E58</f>
        <v>2040</v>
      </c>
      <c r="E58" s="392">
        <f ca="1">SoldeN("6588")</f>
        <v>0</v>
      </c>
      <c r="F58" s="393">
        <f ca="1">SoldeN("658")</f>
        <v>2040</v>
      </c>
      <c r="G58" s="394">
        <f ca="1">SoldeN_1("658")</f>
        <v>1100</v>
      </c>
    </row>
    <row r="59" spans="1:7">
      <c r="A59" s="974"/>
      <c r="B59" s="414"/>
      <c r="C59" s="430" t="s">
        <v>504</v>
      </c>
      <c r="D59" s="415">
        <f ca="1">F59-E59</f>
        <v>0</v>
      </c>
      <c r="E59" s="425">
        <f ca="1">SoldeN("6598")</f>
        <v>0</v>
      </c>
      <c r="F59" s="400">
        <f ca="1">SoldeN("659")</f>
        <v>0</v>
      </c>
      <c r="G59" s="401">
        <f ca="1">SoldeN_1("659")</f>
        <v>0</v>
      </c>
    </row>
    <row r="60" spans="1:7">
      <c r="A60" s="974"/>
      <c r="B60" s="414"/>
      <c r="C60" s="426" t="s">
        <v>494</v>
      </c>
      <c r="D60" s="418">
        <f ca="1">SUM(D56:D59)</f>
        <v>2040</v>
      </c>
      <c r="E60" s="418">
        <f ca="1">SUM(E56:E59)</f>
        <v>0</v>
      </c>
      <c r="F60" s="409">
        <f ca="1">SUM(F56:F59)</f>
        <v>2040</v>
      </c>
      <c r="G60" s="410">
        <f ca="1">SUM(G56:G59)</f>
        <v>1100</v>
      </c>
    </row>
    <row r="61" spans="1:7">
      <c r="A61" s="975"/>
      <c r="B61" s="411" t="s">
        <v>495</v>
      </c>
      <c r="C61" s="412" t="s">
        <v>496</v>
      </c>
      <c r="D61" s="431">
        <v>0</v>
      </c>
      <c r="E61" s="431">
        <v>0</v>
      </c>
      <c r="F61" s="409">
        <f ca="1">F54-F60</f>
        <v>-2040</v>
      </c>
      <c r="G61" s="410">
        <f ca="1">G54-G60</f>
        <v>-1100</v>
      </c>
    </row>
    <row r="62" spans="1:7">
      <c r="A62" s="419"/>
      <c r="B62" s="411" t="s">
        <v>497</v>
      </c>
      <c r="C62" s="412" t="s">
        <v>498</v>
      </c>
      <c r="D62" s="431">
        <v>0</v>
      </c>
      <c r="E62" s="431">
        <v>0</v>
      </c>
      <c r="F62" s="404">
        <f ca="1">SUM(F47,F61)</f>
        <v>334.38000000000466</v>
      </c>
      <c r="G62" s="405">
        <f ca="1">SUM(G47,G61)</f>
        <v>9916.2600000000093</v>
      </c>
    </row>
    <row r="63" spans="1:7">
      <c r="A63" s="419"/>
      <c r="B63" s="411" t="s">
        <v>499</v>
      </c>
      <c r="C63" s="412" t="s">
        <v>500</v>
      </c>
      <c r="D63" s="431">
        <v>0</v>
      </c>
      <c r="E63" s="431">
        <v>0</v>
      </c>
      <c r="F63" s="404">
        <f ca="1">SoldeN("67")</f>
        <v>3000</v>
      </c>
      <c r="G63" s="405">
        <f ca="1">SoldeN_1("67")</f>
        <v>2430</v>
      </c>
    </row>
    <row r="64" spans="1:7">
      <c r="A64" s="419"/>
      <c r="B64" s="411" t="s">
        <v>501</v>
      </c>
      <c r="C64" s="412" t="s">
        <v>502</v>
      </c>
      <c r="D64" s="431">
        <v>0</v>
      </c>
      <c r="E64" s="431">
        <v>0</v>
      </c>
      <c r="F64" s="404">
        <f ca="1">F62-F63</f>
        <v>-2665.6199999999953</v>
      </c>
      <c r="G64" s="405">
        <f ca="1">G62-G63</f>
        <v>7486.2600000000093</v>
      </c>
    </row>
    <row r="65" spans="1:7">
      <c r="A65" s="432"/>
      <c r="B65" s="433"/>
      <c r="C65" s="432"/>
      <c r="F65" s="434"/>
      <c r="G65" s="434"/>
    </row>
    <row r="66" spans="1:7">
      <c r="A66" s="432"/>
      <c r="B66" s="433"/>
      <c r="C66" s="432"/>
    </row>
    <row r="67" spans="1:7">
      <c r="A67" s="435"/>
      <c r="B67" s="436" t="s">
        <v>505</v>
      </c>
      <c r="C67" s="437" t="s">
        <v>506</v>
      </c>
      <c r="D67" s="431">
        <v>0</v>
      </c>
      <c r="E67" s="431">
        <v>0</v>
      </c>
      <c r="F67" s="404">
        <f ca="1">SUM(F15,F31,F54)</f>
        <v>334861.28999999998</v>
      </c>
      <c r="G67" s="405">
        <f ca="1">SUM(G15,G31,G54)</f>
        <v>301375.16000000003</v>
      </c>
    </row>
    <row r="68" spans="1:7">
      <c r="A68" s="435"/>
      <c r="B68" s="436" t="s">
        <v>507</v>
      </c>
      <c r="C68" s="437" t="s">
        <v>508</v>
      </c>
      <c r="D68" s="431">
        <v>0</v>
      </c>
      <c r="E68" s="431">
        <v>0</v>
      </c>
      <c r="F68" s="404">
        <f ca="1">SUM(F63,F60,F37,F24)</f>
        <v>337526.91</v>
      </c>
      <c r="G68" s="405">
        <f ca="1">SUM(G63,G60,G37,G24)</f>
        <v>293888.90000000002</v>
      </c>
    </row>
    <row r="69" spans="1:7">
      <c r="A69" s="435"/>
      <c r="B69" s="436" t="s">
        <v>509</v>
      </c>
      <c r="C69" s="437" t="s">
        <v>510</v>
      </c>
      <c r="D69" s="431">
        <v>0</v>
      </c>
      <c r="E69" s="431">
        <v>0</v>
      </c>
      <c r="F69" s="404">
        <f ca="1">F67-F68</f>
        <v>-2665.6199999999953</v>
      </c>
      <c r="G69" s="405">
        <f ca="1">G67-G68</f>
        <v>7486.2600000000093</v>
      </c>
    </row>
  </sheetData>
  <sheetProtection formatCells="0" formatColumns="0" formatRows="0"/>
  <mergeCells count="13">
    <mergeCell ref="A48:A61"/>
    <mergeCell ref="D3:E3"/>
    <mergeCell ref="A3:C5"/>
    <mergeCell ref="F3:F4"/>
    <mergeCell ref="A1:G1"/>
    <mergeCell ref="A42:G42"/>
    <mergeCell ref="A44:C46"/>
    <mergeCell ref="D44:E44"/>
    <mergeCell ref="F44:F45"/>
    <mergeCell ref="G44:G45"/>
    <mergeCell ref="A6:A25"/>
    <mergeCell ref="A26:A38"/>
    <mergeCell ref="G3:G4"/>
  </mergeCells>
  <phoneticPr fontId="0" type="noConversion"/>
  <pageMargins left="0.59055118110236227" right="0" top="0.78740157480314965" bottom="0" header="0.59055118110236227" footer="0.19685039370078741"/>
  <pageSetup paperSize="9" scale="90" fitToHeight="2" orientation="portrait" r:id="rId1"/>
  <headerFooter alignWithMargins="0">
    <oddHeader>&amp;R&amp;"Tahoma,Gras"&amp;8Tableau &amp;A (&amp;P/&amp;N)</oddHeader>
    <oddFooter>&amp;L&amp;3www.xedis.ma</oddFooter>
  </headerFooter>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GoToMain">
              <controlPr defaultSize="0" print="0" autoFill="0" autoPict="0" macro="[0]!GoToMain">
                <anchor>
                  <from>
                    <xdr:col>0</xdr:col>
                    <xdr:colOff>0</xdr:colOff>
                    <xdr:row>0</xdr:row>
                    <xdr:rowOff>0</xdr:rowOff>
                  </from>
                  <to>
                    <xdr:col>1</xdr:col>
                    <xdr:colOff>114300</xdr:colOff>
                    <xdr:row>0</xdr:row>
                    <xdr:rowOff>228600</xdr:rowOff>
                  </to>
                </anchor>
              </controlPr>
            </control>
          </mc:Choice>
        </mc:AlternateContent>
        <mc:AlternateContent xmlns:mc="http://schemas.openxmlformats.org/markup-compatibility/2006">
          <mc:Choice Requires="x14">
            <control shapeId="6146" r:id="rId5" name="GoToMain_">
              <controlPr defaultSize="0" print="0" autoFill="0" autoPict="0" macro="[0]!GoToMain">
                <anchor>
                  <from>
                    <xdr:col>0</xdr:col>
                    <xdr:colOff>0</xdr:colOff>
                    <xdr:row>41</xdr:row>
                    <xdr:rowOff>0</xdr:rowOff>
                  </from>
                  <to>
                    <xdr:col>1</xdr:col>
                    <xdr:colOff>114300</xdr:colOff>
                    <xdr:row>41</xdr:row>
                    <xdr:rowOff>228600</xdr:rowOff>
                  </to>
                </anchor>
              </controlPr>
            </control>
          </mc:Choice>
        </mc:AlternateContent>
        <mc:AlternateContent xmlns:mc="http://schemas.openxmlformats.org/markup-compatibility/2006">
          <mc:Choice Requires="x14">
            <control shapeId="6147" r:id="rId6" name="CADRE_NEANT_T02_BOUTTON">
              <controlPr defaultSize="0" print="0" autoFill="0" autoLine="0" autoPict="0" macro="[0]!Cadre_Neant_Tab02">
                <anchor moveWithCells="1">
                  <from>
                    <xdr:col>6</xdr:col>
                    <xdr:colOff>480060</xdr:colOff>
                    <xdr:row>0</xdr:row>
                    <xdr:rowOff>7620</xdr:rowOff>
                  </from>
                  <to>
                    <xdr:col>6</xdr:col>
                    <xdr:colOff>1059180</xdr:colOff>
                    <xdr:row>0</xdr:row>
                    <xdr:rowOff>228600</xdr:rowOff>
                  </to>
                </anchor>
              </controlPr>
            </control>
          </mc:Choice>
        </mc:AlternateContent>
        <mc:AlternateContent xmlns:mc="http://schemas.openxmlformats.org/markup-compatibility/2006">
          <mc:Choice Requires="x14">
            <control shapeId="6148" r:id="rId7" name="GoToLast">
              <controlPr defaultSize="0" print="0" autoFill="0" autoPict="0" macro="[0]!GoToLastSelection">
                <anchor moveWithCells="1" sizeWithCells="1">
                  <from>
                    <xdr:col>1</xdr:col>
                    <xdr:colOff>121920</xdr:colOff>
                    <xdr:row>0</xdr:row>
                    <xdr:rowOff>0</xdr:rowOff>
                  </from>
                  <to>
                    <xdr:col>2</xdr:col>
                    <xdr:colOff>236220</xdr:colOff>
                    <xdr:row>0</xdr:row>
                    <xdr:rowOff>228600</xdr:rowOff>
                  </to>
                </anchor>
              </controlPr>
            </control>
          </mc:Choice>
        </mc:AlternateContent>
        <mc:AlternateContent xmlns:mc="http://schemas.openxmlformats.org/markup-compatibility/2006">
          <mc:Choice Requires="x14">
            <control shapeId="6149" r:id="rId8" name="GoToLast_">
              <controlPr defaultSize="0" print="0" autoFill="0" autoPict="0" macro="[0]!GoToLastSelection">
                <anchor moveWithCells="1" sizeWithCells="1">
                  <from>
                    <xdr:col>1</xdr:col>
                    <xdr:colOff>121920</xdr:colOff>
                    <xdr:row>41</xdr:row>
                    <xdr:rowOff>0</xdr:rowOff>
                  </from>
                  <to>
                    <xdr:col>2</xdr:col>
                    <xdr:colOff>236220</xdr:colOff>
                    <xdr:row>41</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03">
    <pageSetUpPr fitToPage="1"/>
  </sheetPr>
  <dimension ref="A1:C58"/>
  <sheetViews>
    <sheetView topLeftCell="A31" workbookViewId="0">
      <selection activeCell="B4" sqref="B4"/>
    </sheetView>
  </sheetViews>
  <sheetFormatPr baseColWidth="10" defaultColWidth="11.44140625" defaultRowHeight="13.8"/>
  <cols>
    <col min="1" max="1" width="66.44140625" style="121" customWidth="1"/>
    <col min="2" max="3" width="16.6640625" style="121" customWidth="1"/>
    <col min="4" max="16384" width="11.44140625" style="3"/>
  </cols>
  <sheetData>
    <row r="1" spans="1:3" ht="18.600000000000001" thickBot="1">
      <c r="A1" s="994" t="s">
        <v>384</v>
      </c>
      <c r="B1" s="995"/>
      <c r="C1" s="996"/>
    </row>
    <row r="2" spans="1:3">
      <c r="A2" s="1" t="str">
        <f>CONCATENATE(PagePrincipale!$F$9)</f>
        <v>D3 Soft SARL AU</v>
      </c>
      <c r="B2" s="104"/>
      <c r="C2" s="105" t="str">
        <f ca="1">PeriodeArrete_DuAu()</f>
        <v>Du 1/1/2017 Au 31/12/2017</v>
      </c>
    </row>
    <row r="3" spans="1:3">
      <c r="A3" s="106" t="s">
        <v>385</v>
      </c>
      <c r="B3" s="106" t="s">
        <v>386</v>
      </c>
      <c r="C3" s="106" t="s">
        <v>386</v>
      </c>
    </row>
    <row r="4" spans="1:3">
      <c r="A4" s="107" t="s">
        <v>142</v>
      </c>
      <c r="B4" s="108"/>
      <c r="C4" s="109"/>
    </row>
    <row r="5" spans="1:3">
      <c r="A5" s="110" t="s">
        <v>143</v>
      </c>
      <c r="B5" s="111">
        <f ca="1">IF('T02'!F69&gt;0,'T02'!F69,0)</f>
        <v>0</v>
      </c>
      <c r="C5" s="112"/>
    </row>
    <row r="6" spans="1:3">
      <c r="A6" s="110" t="s">
        <v>144</v>
      </c>
      <c r="B6" s="109"/>
      <c r="C6" s="111">
        <f ca="1">IF('T02'!F69&lt;0,-'T02'!F69,0)</f>
        <v>2665.6199999999953</v>
      </c>
    </row>
    <row r="7" spans="1:3">
      <c r="A7" s="110"/>
      <c r="B7" s="701"/>
      <c r="C7" s="702"/>
    </row>
    <row r="8" spans="1:3">
      <c r="A8" s="113" t="s">
        <v>145</v>
      </c>
      <c r="B8" s="111">
        <f ca="1">+B9+B17</f>
        <v>0</v>
      </c>
      <c r="C8" s="111"/>
    </row>
    <row r="9" spans="1:3">
      <c r="A9" s="284" t="s">
        <v>146</v>
      </c>
      <c r="B9" s="111">
        <f ca="1">SUM(INDIRECT(ADDRESS(ROW($B$17)-1,COLUMN(),4,TRUE)&amp;":"&amp;ADDRESS(ROW()+1,COLUMN(),4,TRUE)))</f>
        <v>0</v>
      </c>
      <c r="C9" s="111"/>
    </row>
    <row r="10" spans="1:3" s="201" customFormat="1">
      <c r="A10" s="274"/>
      <c r="B10" s="275"/>
      <c r="C10" s="275"/>
    </row>
    <row r="11" spans="1:3" s="201" customFormat="1">
      <c r="A11" s="274"/>
      <c r="B11" s="275"/>
      <c r="C11" s="275"/>
    </row>
    <row r="12" spans="1:3" s="201" customFormat="1">
      <c r="A12" s="274"/>
      <c r="B12" s="275"/>
      <c r="C12" s="275"/>
    </row>
    <row r="13" spans="1:3" s="201" customFormat="1">
      <c r="A13" s="276"/>
      <c r="B13" s="275"/>
      <c r="C13" s="275"/>
    </row>
    <row r="14" spans="1:3" s="201" customFormat="1">
      <c r="A14" s="276"/>
      <c r="B14" s="275"/>
      <c r="C14" s="275"/>
    </row>
    <row r="15" spans="1:3" s="201" customFormat="1">
      <c r="A15" s="276"/>
      <c r="B15" s="275"/>
      <c r="C15" s="275"/>
    </row>
    <row r="16" spans="1:3" s="201" customFormat="1">
      <c r="A16" s="276"/>
      <c r="B16" s="275"/>
      <c r="C16" s="275"/>
    </row>
    <row r="17" spans="1:3">
      <c r="A17" s="284" t="s">
        <v>397</v>
      </c>
      <c r="B17" s="111">
        <f ca="1">SUM(INDIRECT(ADDRESS(ROW($B$25)-1,COLUMN(),4,TRUE)&amp;":"&amp;ADDRESS(ROW()+1,COLUMN(),4,TRUE)))</f>
        <v>0</v>
      </c>
      <c r="C17" s="111"/>
    </row>
    <row r="18" spans="1:3" s="201" customFormat="1">
      <c r="A18" s="274"/>
      <c r="B18" s="275"/>
      <c r="C18" s="275"/>
    </row>
    <row r="19" spans="1:3" s="201" customFormat="1">
      <c r="A19" s="274"/>
      <c r="B19" s="275"/>
      <c r="C19" s="275"/>
    </row>
    <row r="20" spans="1:3" s="201" customFormat="1">
      <c r="A20" s="274"/>
      <c r="B20" s="275"/>
      <c r="C20" s="275"/>
    </row>
    <row r="21" spans="1:3" s="201" customFormat="1">
      <c r="A21" s="274"/>
      <c r="B21" s="275"/>
      <c r="C21" s="275"/>
    </row>
    <row r="22" spans="1:3" s="201" customFormat="1">
      <c r="A22" s="274"/>
      <c r="B22" s="275"/>
      <c r="C22" s="275"/>
    </row>
    <row r="23" spans="1:3" s="201" customFormat="1">
      <c r="A23" s="274"/>
      <c r="B23" s="277"/>
      <c r="C23" s="277"/>
    </row>
    <row r="24" spans="1:3">
      <c r="A24" s="113" t="s">
        <v>398</v>
      </c>
      <c r="B24" s="703"/>
      <c r="C24" s="111">
        <f ca="1">+C25+C31</f>
        <v>0</v>
      </c>
    </row>
    <row r="25" spans="1:3">
      <c r="A25" s="284" t="s">
        <v>146</v>
      </c>
      <c r="B25" s="111"/>
      <c r="C25" s="111">
        <f ca="1">SUM(INDIRECT(ADDRESS(ROW($C$31)-1,COLUMN(),4,TRUE)&amp;":"&amp;ADDRESS(ROW()+1,COLUMN(),4,TRUE)))</f>
        <v>0</v>
      </c>
    </row>
    <row r="26" spans="1:3" s="201" customFormat="1">
      <c r="A26" s="276"/>
      <c r="B26" s="277"/>
      <c r="C26" s="277"/>
    </row>
    <row r="27" spans="1:3" s="201" customFormat="1">
      <c r="A27" s="276"/>
      <c r="B27" s="277"/>
      <c r="C27" s="277"/>
    </row>
    <row r="28" spans="1:3" s="201" customFormat="1">
      <c r="A28" s="276"/>
      <c r="B28" s="277"/>
      <c r="C28" s="277"/>
    </row>
    <row r="29" spans="1:3" s="201" customFormat="1">
      <c r="A29" s="276"/>
      <c r="B29" s="277"/>
      <c r="C29" s="277"/>
    </row>
    <row r="30" spans="1:3" s="201" customFormat="1">
      <c r="A30" s="276"/>
      <c r="B30" s="277"/>
      <c r="C30" s="277"/>
    </row>
    <row r="31" spans="1:3">
      <c r="A31" s="284" t="s">
        <v>397</v>
      </c>
      <c r="B31" s="111"/>
      <c r="C31" s="111">
        <f ca="1">SUM(INDIRECT(ADDRESS(ROW($C$36)-1,COLUMN(),4,TRUE)&amp;":"&amp;ADDRESS(ROW()+1,COLUMN(),4,TRUE)))</f>
        <v>0</v>
      </c>
    </row>
    <row r="32" spans="1:3" s="201" customFormat="1">
      <c r="A32" s="276"/>
      <c r="B32" s="277"/>
      <c r="C32" s="277"/>
    </row>
    <row r="33" spans="1:3" s="201" customFormat="1">
      <c r="A33" s="276"/>
      <c r="B33" s="277"/>
      <c r="C33" s="277"/>
    </row>
    <row r="34" spans="1:3" s="201" customFormat="1">
      <c r="A34" s="276"/>
      <c r="B34" s="277"/>
      <c r="C34" s="277"/>
    </row>
    <row r="35" spans="1:3" s="201" customFormat="1">
      <c r="A35" s="276"/>
      <c r="B35" s="277"/>
      <c r="C35" s="277"/>
    </row>
    <row r="36" spans="1:3">
      <c r="A36" s="116" t="s">
        <v>370</v>
      </c>
      <c r="B36" s="111">
        <f ca="1">+B5+B9+B17</f>
        <v>0</v>
      </c>
      <c r="C36" s="111">
        <f ca="1">+C6+C25+C31</f>
        <v>2665.6199999999953</v>
      </c>
    </row>
    <row r="37" spans="1:3">
      <c r="A37" s="107" t="s">
        <v>399</v>
      </c>
      <c r="B37" s="117"/>
      <c r="C37" s="118" t="s">
        <v>386</v>
      </c>
    </row>
    <row r="38" spans="1:3">
      <c r="A38" s="115" t="s">
        <v>400</v>
      </c>
      <c r="B38" s="633"/>
      <c r="C38" s="208">
        <f ca="1">IF(B36-C36&gt;=0,B36-C36,0)</f>
        <v>0</v>
      </c>
    </row>
    <row r="39" spans="1:3">
      <c r="A39" s="115" t="s">
        <v>401</v>
      </c>
      <c r="B39" s="633"/>
      <c r="C39" s="209">
        <f ca="1">IF(B36-C36&lt;0,C36-B36,0)</f>
        <v>2665.6199999999953</v>
      </c>
    </row>
    <row r="40" spans="1:3">
      <c r="A40" s="113" t="s">
        <v>402</v>
      </c>
      <c r="B40" s="210"/>
      <c r="C40" s="211">
        <f>SUM(B41:B44)</f>
        <v>0</v>
      </c>
    </row>
    <row r="41" spans="1:3">
      <c r="A41" s="206" t="str">
        <f>"Exercice n-4 ("&amp;YEAR(SIMPL_Cell_exerciceFiscalAu)-4&amp;")"</f>
        <v>Exercice n-4 (2013)</v>
      </c>
      <c r="B41" s="278">
        <v>0</v>
      </c>
      <c r="C41" s="634"/>
    </row>
    <row r="42" spans="1:3">
      <c r="A42" s="206" t="str">
        <f>"Exercice n-3 ("&amp;YEAR(SIMPL_Cell_exerciceFiscalAu)-3&amp;")"</f>
        <v>Exercice n-3 (2014)</v>
      </c>
      <c r="B42" s="279">
        <v>0</v>
      </c>
      <c r="C42" s="634"/>
    </row>
    <row r="43" spans="1:3">
      <c r="A43" s="206" t="str">
        <f>"Exercice n-2 ("&amp;YEAR(SIMPL_Cell_exerciceFiscalAu)-2&amp;")"</f>
        <v>Exercice n-2 (2015)</v>
      </c>
      <c r="B43" s="279">
        <v>0</v>
      </c>
      <c r="C43" s="634"/>
    </row>
    <row r="44" spans="1:3">
      <c r="A44" s="206" t="str">
        <f>"Exercice n-1 ("&amp;YEAR(SIMPL_Cell_exerciceFiscalAu)-1&amp;")"</f>
        <v>Exercice n-1 (2016)</v>
      </c>
      <c r="B44" s="280">
        <v>0</v>
      </c>
      <c r="C44" s="634"/>
    </row>
    <row r="45" spans="1:3">
      <c r="A45" s="113" t="s">
        <v>403</v>
      </c>
      <c r="B45" s="117"/>
      <c r="C45" s="112"/>
    </row>
    <row r="46" spans="1:3">
      <c r="A46" s="206" t="s">
        <v>791</v>
      </c>
      <c r="B46" s="633"/>
      <c r="C46" s="212">
        <f ca="1">+C38-C40</f>
        <v>0</v>
      </c>
    </row>
    <row r="47" spans="1:3">
      <c r="A47" s="206" t="s">
        <v>404</v>
      </c>
      <c r="B47" s="210"/>
      <c r="C47" s="208">
        <f ca="1">C39</f>
        <v>2665.6199999999953</v>
      </c>
    </row>
    <row r="48" spans="1:3">
      <c r="A48" s="119"/>
      <c r="B48" s="117"/>
      <c r="C48" s="118" t="s">
        <v>386</v>
      </c>
    </row>
    <row r="49" spans="1:3">
      <c r="A49" s="113" t="s">
        <v>405</v>
      </c>
      <c r="B49" s="114"/>
      <c r="C49" s="281">
        <v>0</v>
      </c>
    </row>
    <row r="50" spans="1:3">
      <c r="A50" s="113" t="s">
        <v>406</v>
      </c>
      <c r="B50" s="112"/>
      <c r="C50" s="209">
        <f>SUM(B51:B54)</f>
        <v>0</v>
      </c>
    </row>
    <row r="51" spans="1:3">
      <c r="A51" s="207" t="str">
        <f>"Exercice n-4 ("&amp;YEAR(SIMPL_Cell_exerciceFiscalAu)-4&amp;")"</f>
        <v>Exercice n-4 (2013)</v>
      </c>
      <c r="B51" s="282">
        <v>0</v>
      </c>
      <c r="C51" s="634">
        <v>0</v>
      </c>
    </row>
    <row r="52" spans="1:3">
      <c r="A52" s="207" t="str">
        <f>"Exercice n-3 ("&amp;YEAR(SIMPL_Cell_exerciceFiscalAu)-3&amp;")"</f>
        <v>Exercice n-3 (2014)</v>
      </c>
      <c r="B52" s="279">
        <v>0</v>
      </c>
      <c r="C52" s="634">
        <v>0</v>
      </c>
    </row>
    <row r="53" spans="1:3">
      <c r="A53" s="206" t="str">
        <f>"Exercice n-2 ("&amp;YEAR(SIMPL_Cell_exerciceFiscalAu)-2&amp;")"</f>
        <v>Exercice n-2 (2015)</v>
      </c>
      <c r="B53" s="282">
        <v>0</v>
      </c>
      <c r="C53" s="634">
        <v>0</v>
      </c>
    </row>
    <row r="54" spans="1:3">
      <c r="A54" s="213" t="str">
        <f>"Exercice n-1 ("&amp;YEAR(SIMPL_Cell_exerciceFiscalAu)-1&amp;")"</f>
        <v>Exercice n-1 (2016)</v>
      </c>
      <c r="B54" s="283">
        <v>0</v>
      </c>
      <c r="C54" s="210">
        <v>0</v>
      </c>
    </row>
    <row r="55" spans="1:3">
      <c r="A55" s="120" t="s">
        <v>245</v>
      </c>
    </row>
    <row r="56" spans="1:3">
      <c r="C56" s="122"/>
    </row>
    <row r="57" spans="1:3">
      <c r="C57" s="122"/>
    </row>
    <row r="58" spans="1:3">
      <c r="B58" s="122"/>
      <c r="C58" s="122"/>
    </row>
  </sheetData>
  <sheetProtection formatCells="0" formatColumns="0" formatRows="0" insertRows="0" deleteRows="0"/>
  <mergeCells count="1">
    <mergeCell ref="A1:C1"/>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7170" r:id="rId5" name="CADRE_NEANT_T03_BOUTTON">
              <controlPr defaultSize="0" print="0" autoFill="0" autoLine="0" autoPict="0" macro="[0]!Cadre_Neant_Tab03">
                <anchor moveWithCells="1">
                  <from>
                    <xdr:col>2</xdr:col>
                    <xdr:colOff>495300</xdr:colOff>
                    <xdr:row>0</xdr:row>
                    <xdr:rowOff>7620</xdr:rowOff>
                  </from>
                  <to>
                    <xdr:col>2</xdr:col>
                    <xdr:colOff>1074420</xdr:colOff>
                    <xdr:row>0</xdr:row>
                    <xdr:rowOff>228600</xdr:rowOff>
                  </to>
                </anchor>
              </controlPr>
            </control>
          </mc:Choice>
        </mc:AlternateContent>
        <mc:AlternateContent xmlns:mc="http://schemas.openxmlformats.org/markup-compatibility/2006">
          <mc:Choice Requires="x14">
            <control shapeId="7171"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04">
    <outlinePr summaryBelow="0"/>
    <pageSetUpPr fitToPage="1"/>
  </sheetPr>
  <dimension ref="A1:I28"/>
  <sheetViews>
    <sheetView workbookViewId="0">
      <selection activeCell="B25" sqref="B25"/>
    </sheetView>
  </sheetViews>
  <sheetFormatPr baseColWidth="10" defaultColWidth="11.44140625" defaultRowHeight="13.8" outlineLevelRow="1"/>
  <cols>
    <col min="1" max="1" width="35.109375" style="101" bestFit="1" customWidth="1"/>
    <col min="2" max="9" width="16.6640625" style="101" customWidth="1"/>
    <col min="10" max="16384" width="11.44140625" style="3"/>
  </cols>
  <sheetData>
    <row r="1" spans="1:9" ht="18.600000000000001" thickBot="1">
      <c r="A1" s="997" t="s">
        <v>459</v>
      </c>
      <c r="B1" s="998"/>
      <c r="C1" s="998"/>
      <c r="D1" s="998"/>
      <c r="E1" s="998"/>
      <c r="F1" s="998"/>
      <c r="G1" s="998"/>
      <c r="H1" s="998"/>
      <c r="I1" s="999"/>
    </row>
    <row r="2" spans="1:9">
      <c r="A2" s="1" t="str">
        <f>CONCATENATE(PagePrincipale!$F$9)</f>
        <v>D3 Soft SARL AU</v>
      </c>
      <c r="B2" s="96"/>
      <c r="C2" s="97"/>
      <c r="D2" s="98"/>
      <c r="E2" s="98"/>
      <c r="F2" s="98"/>
      <c r="G2" s="98"/>
      <c r="H2" s="98"/>
      <c r="I2" s="2" t="str">
        <f ca="1">PeriodeArrete_DuAu()</f>
        <v>Du 1/1/2017 Au 31/12/2017</v>
      </c>
    </row>
    <row r="3" spans="1:9" s="99" customFormat="1" ht="12.75" customHeight="1">
      <c r="A3" s="1000" t="s">
        <v>460</v>
      </c>
      <c r="B3" s="1005" t="s">
        <v>461</v>
      </c>
      <c r="C3" s="1002" t="s">
        <v>462</v>
      </c>
      <c r="D3" s="1003"/>
      <c r="E3" s="1004"/>
      <c r="F3" s="1002" t="s">
        <v>463</v>
      </c>
      <c r="G3" s="1003"/>
      <c r="H3" s="1004"/>
      <c r="I3" s="1005" t="s">
        <v>464</v>
      </c>
    </row>
    <row r="4" spans="1:9" s="99" customFormat="1" ht="38.25" customHeight="1">
      <c r="A4" s="1001"/>
      <c r="B4" s="1005"/>
      <c r="C4" s="129" t="s">
        <v>465</v>
      </c>
      <c r="D4" s="131" t="s">
        <v>466</v>
      </c>
      <c r="E4" s="129" t="s">
        <v>467</v>
      </c>
      <c r="F4" s="129" t="s">
        <v>468</v>
      </c>
      <c r="G4" s="129" t="s">
        <v>469</v>
      </c>
      <c r="H4" s="129" t="s">
        <v>467</v>
      </c>
      <c r="I4" s="1005"/>
    </row>
    <row r="5" spans="1:9">
      <c r="A5" s="285" t="s">
        <v>470</v>
      </c>
      <c r="B5" s="286">
        <f ca="1">SUM(B6:B8)</f>
        <v>4106</v>
      </c>
      <c r="C5" s="286">
        <f t="shared" ref="C5:H5" ca="1" si="0">SUM(C6:C8)</f>
        <v>0</v>
      </c>
      <c r="D5" s="286">
        <f t="shared" si="0"/>
        <v>0</v>
      </c>
      <c r="E5" s="287">
        <f t="shared" si="0"/>
        <v>0</v>
      </c>
      <c r="F5" s="286">
        <f t="shared" si="0"/>
        <v>0</v>
      </c>
      <c r="G5" s="287">
        <f t="shared" si="0"/>
        <v>0</v>
      </c>
      <c r="H5" s="286">
        <f t="shared" si="0"/>
        <v>0</v>
      </c>
      <c r="I5" s="286">
        <f ca="1">SUM(I6:I8)</f>
        <v>4106</v>
      </c>
    </row>
    <row r="6" spans="1:9">
      <c r="A6" s="294" t="s">
        <v>471</v>
      </c>
      <c r="B6" s="291">
        <f ca="1">SoldeN_1("211")</f>
        <v>4106</v>
      </c>
      <c r="C6" s="291">
        <f ca="1">+I6-B6-D6-E6+F6+G6+H6</f>
        <v>0</v>
      </c>
      <c r="D6" s="218"/>
      <c r="E6" s="219"/>
      <c r="F6" s="218"/>
      <c r="G6" s="219"/>
      <c r="H6" s="218"/>
      <c r="I6" s="291">
        <f ca="1">SoldeN("211")</f>
        <v>4106</v>
      </c>
    </row>
    <row r="7" spans="1:9">
      <c r="A7" s="295" t="s">
        <v>472</v>
      </c>
      <c r="B7" s="292">
        <f ca="1">SoldeN_1("212")</f>
        <v>0</v>
      </c>
      <c r="C7" s="292">
        <f ca="1">+I7-B7-D7-E7+F7+G7+H7</f>
        <v>0</v>
      </c>
      <c r="D7" s="220"/>
      <c r="E7" s="221"/>
      <c r="F7" s="220"/>
      <c r="G7" s="221"/>
      <c r="H7" s="220"/>
      <c r="I7" s="292">
        <f ca="1">SoldeN("212")</f>
        <v>0</v>
      </c>
    </row>
    <row r="8" spans="1:9" collapsed="1">
      <c r="A8" s="295" t="s">
        <v>473</v>
      </c>
      <c r="B8" s="292">
        <f ca="1">SoldeN_1("213")</f>
        <v>0</v>
      </c>
      <c r="C8" s="292">
        <f ca="1">+I8-B8-D8-E8+F8+G8+H8</f>
        <v>0</v>
      </c>
      <c r="D8" s="220"/>
      <c r="E8" s="221"/>
      <c r="F8" s="220"/>
      <c r="G8" s="221"/>
      <c r="H8" s="220"/>
      <c r="I8" s="292">
        <f ca="1">SoldeN("213")</f>
        <v>0</v>
      </c>
    </row>
    <row r="9" spans="1:9" hidden="1" outlineLevel="1">
      <c r="A9" s="226"/>
      <c r="B9" s="220"/>
      <c r="C9" s="220"/>
      <c r="D9" s="220"/>
      <c r="E9" s="221"/>
      <c r="F9" s="220"/>
      <c r="G9" s="221"/>
      <c r="H9" s="220"/>
      <c r="I9" s="220"/>
    </row>
    <row r="10" spans="1:9" hidden="1" outlineLevel="1">
      <c r="A10" s="226"/>
      <c r="B10" s="220"/>
      <c r="C10" s="220"/>
      <c r="D10" s="220"/>
      <c r="E10" s="221"/>
      <c r="F10" s="220"/>
      <c r="G10" s="221"/>
      <c r="H10" s="220"/>
      <c r="I10" s="220"/>
    </row>
    <row r="11" spans="1:9" hidden="1" outlineLevel="1">
      <c r="A11" s="226"/>
      <c r="B11" s="220"/>
      <c r="C11" s="220"/>
      <c r="D11" s="220"/>
      <c r="E11" s="221"/>
      <c r="F11" s="220"/>
      <c r="G11" s="221"/>
      <c r="H11" s="220"/>
      <c r="I11" s="220"/>
    </row>
    <row r="12" spans="1:9">
      <c r="A12" s="288" t="s">
        <v>474</v>
      </c>
      <c r="B12" s="289">
        <f t="shared" ref="B12:H12" ca="1" si="1">SUM(B13:B16)</f>
        <v>28250</v>
      </c>
      <c r="C12" s="289">
        <f t="shared" ca="1" si="1"/>
        <v>0</v>
      </c>
      <c r="D12" s="289">
        <f t="shared" si="1"/>
        <v>0</v>
      </c>
      <c r="E12" s="289">
        <f t="shared" si="1"/>
        <v>0</v>
      </c>
      <c r="F12" s="289">
        <f t="shared" si="1"/>
        <v>0</v>
      </c>
      <c r="G12" s="289">
        <f t="shared" si="1"/>
        <v>0</v>
      </c>
      <c r="H12" s="289">
        <f t="shared" si="1"/>
        <v>0</v>
      </c>
      <c r="I12" s="289">
        <f ca="1">SUM(I13:I16)</f>
        <v>28250</v>
      </c>
    </row>
    <row r="13" spans="1:9">
      <c r="A13" s="294" t="s">
        <v>475</v>
      </c>
      <c r="B13" s="291">
        <f ca="1">SoldeN_1("221")</f>
        <v>0</v>
      </c>
      <c r="C13" s="291">
        <f ca="1">+I13-B13-D13-E13+F13+G13+H13</f>
        <v>0</v>
      </c>
      <c r="D13" s="218"/>
      <c r="E13" s="219"/>
      <c r="F13" s="218"/>
      <c r="G13" s="219"/>
      <c r="H13" s="218"/>
      <c r="I13" s="291">
        <f ca="1">SoldeN("221")</f>
        <v>0</v>
      </c>
    </row>
    <row r="14" spans="1:9">
      <c r="A14" s="295" t="s">
        <v>476</v>
      </c>
      <c r="B14" s="292">
        <f ca="1">SoldeN_1("222")</f>
        <v>28250</v>
      </c>
      <c r="C14" s="292">
        <f ca="1">+I14-B14-D14-E14+F14+G14+H14</f>
        <v>0</v>
      </c>
      <c r="D14" s="220"/>
      <c r="E14" s="221"/>
      <c r="F14" s="220"/>
      <c r="G14" s="221"/>
      <c r="H14" s="220"/>
      <c r="I14" s="292">
        <f ca="1">SoldeN("222")</f>
        <v>28250</v>
      </c>
    </row>
    <row r="15" spans="1:9">
      <c r="A15" s="295" t="s">
        <v>477</v>
      </c>
      <c r="B15" s="292">
        <f ca="1">SoldeN_1("223")</f>
        <v>0</v>
      </c>
      <c r="C15" s="292">
        <f ca="1">+I15-B15-D15-E15+F15+G15+H15</f>
        <v>0</v>
      </c>
      <c r="D15" s="220"/>
      <c r="E15" s="221"/>
      <c r="F15" s="220"/>
      <c r="G15" s="221"/>
      <c r="H15" s="220"/>
      <c r="I15" s="292">
        <f ca="1">SoldeN("223")</f>
        <v>0</v>
      </c>
    </row>
    <row r="16" spans="1:9">
      <c r="A16" s="296" t="s">
        <v>478</v>
      </c>
      <c r="B16" s="293">
        <f ca="1">SoldeN_1("228")</f>
        <v>0</v>
      </c>
      <c r="C16" s="293">
        <f ca="1">+I16-B16-D16-E16+F16+G16+H16</f>
        <v>0</v>
      </c>
      <c r="D16" s="222"/>
      <c r="E16" s="223"/>
      <c r="F16" s="222"/>
      <c r="G16" s="223"/>
      <c r="H16" s="222"/>
      <c r="I16" s="293">
        <f ca="1">SoldeN("228")</f>
        <v>0</v>
      </c>
    </row>
    <row r="17" spans="1:9">
      <c r="A17" s="288" t="s">
        <v>479</v>
      </c>
      <c r="B17" s="289">
        <f t="shared" ref="B17:I17" ca="1" si="2">SUM(B18:B24)</f>
        <v>330637.01</v>
      </c>
      <c r="C17" s="289">
        <f t="shared" ca="1" si="2"/>
        <v>5000</v>
      </c>
      <c r="D17" s="289">
        <f t="shared" si="2"/>
        <v>0</v>
      </c>
      <c r="E17" s="289">
        <f t="shared" si="2"/>
        <v>0</v>
      </c>
      <c r="F17" s="289">
        <f t="shared" si="2"/>
        <v>0</v>
      </c>
      <c r="G17" s="289">
        <f t="shared" si="2"/>
        <v>0</v>
      </c>
      <c r="H17" s="289">
        <f t="shared" si="2"/>
        <v>0</v>
      </c>
      <c r="I17" s="289">
        <f t="shared" ca="1" si="2"/>
        <v>335637.01</v>
      </c>
    </row>
    <row r="18" spans="1:9">
      <c r="A18" s="294" t="s">
        <v>480</v>
      </c>
      <c r="B18" s="291">
        <f ca="1">SoldeN_1("231")</f>
        <v>0</v>
      </c>
      <c r="C18" s="291">
        <f t="shared" ref="C18:C24" ca="1" si="3">+I18-B18-D18-E18+F18+G18+H18</f>
        <v>0</v>
      </c>
      <c r="D18" s="218"/>
      <c r="E18" s="219"/>
      <c r="F18" s="218"/>
      <c r="G18" s="219"/>
      <c r="H18" s="218"/>
      <c r="I18" s="291">
        <f ca="1">SoldeN("231")</f>
        <v>0</v>
      </c>
    </row>
    <row r="19" spans="1:9">
      <c r="A19" s="295" t="s">
        <v>481</v>
      </c>
      <c r="B19" s="292">
        <f ca="1">SoldeN_1("232")</f>
        <v>0</v>
      </c>
      <c r="C19" s="292">
        <f t="shared" ca="1" si="3"/>
        <v>0</v>
      </c>
      <c r="D19" s="220"/>
      <c r="E19" s="221"/>
      <c r="F19" s="220"/>
      <c r="G19" s="221"/>
      <c r="H19" s="220"/>
      <c r="I19" s="292">
        <f ca="1">SoldeN("232")</f>
        <v>0</v>
      </c>
    </row>
    <row r="20" spans="1:9">
      <c r="A20" s="295" t="s">
        <v>482</v>
      </c>
      <c r="B20" s="292">
        <f ca="1">SoldeN_1("233")</f>
        <v>14860</v>
      </c>
      <c r="C20" s="292">
        <f t="shared" ca="1" si="3"/>
        <v>0</v>
      </c>
      <c r="D20" s="220"/>
      <c r="E20" s="221"/>
      <c r="F20" s="220"/>
      <c r="G20" s="221"/>
      <c r="H20" s="220"/>
      <c r="I20" s="292">
        <f ca="1">SoldeN("233")</f>
        <v>14860</v>
      </c>
    </row>
    <row r="21" spans="1:9">
      <c r="A21" s="295" t="s">
        <v>561</v>
      </c>
      <c r="B21" s="292">
        <f ca="1">SoldeN_1("234")</f>
        <v>235875</v>
      </c>
      <c r="C21" s="292">
        <f t="shared" ca="1" si="3"/>
        <v>0</v>
      </c>
      <c r="D21" s="220"/>
      <c r="E21" s="221"/>
      <c r="F21" s="220"/>
      <c r="G21" s="220"/>
      <c r="H21" s="224"/>
      <c r="I21" s="292">
        <f ca="1">SoldeN("234")</f>
        <v>235875</v>
      </c>
    </row>
    <row r="22" spans="1:9">
      <c r="A22" s="295" t="s">
        <v>484</v>
      </c>
      <c r="B22" s="292">
        <f ca="1">SoldeN_1("235")</f>
        <v>79902.010000000009</v>
      </c>
      <c r="C22" s="292">
        <f t="shared" ca="1" si="3"/>
        <v>5000</v>
      </c>
      <c r="D22" s="220"/>
      <c r="E22" s="221"/>
      <c r="F22" s="220"/>
      <c r="G22" s="225"/>
      <c r="H22" s="220"/>
      <c r="I22" s="292">
        <f ca="1">SoldeN("235")</f>
        <v>84902.010000000009</v>
      </c>
    </row>
    <row r="23" spans="1:9">
      <c r="A23" s="295" t="s">
        <v>485</v>
      </c>
      <c r="B23" s="292">
        <f ca="1">SoldeN_1("238")</f>
        <v>0</v>
      </c>
      <c r="C23" s="292">
        <f t="shared" ca="1" si="3"/>
        <v>0</v>
      </c>
      <c r="D23" s="220"/>
      <c r="E23" s="221"/>
      <c r="F23" s="220"/>
      <c r="G23" s="221"/>
      <c r="H23" s="220"/>
      <c r="I23" s="292">
        <f ca="1">SoldeN("238")</f>
        <v>0</v>
      </c>
    </row>
    <row r="24" spans="1:9">
      <c r="A24" s="295" t="s">
        <v>486</v>
      </c>
      <c r="B24" s="292">
        <f ca="1">SoldeN_1("239")</f>
        <v>0</v>
      </c>
      <c r="C24" s="292">
        <f t="shared" ca="1" si="3"/>
        <v>0</v>
      </c>
      <c r="D24" s="220"/>
      <c r="E24" s="221"/>
      <c r="F24" s="220"/>
      <c r="G24" s="221"/>
      <c r="H24" s="220"/>
      <c r="I24" s="292">
        <f ca="1">SoldeN("239")</f>
        <v>0</v>
      </c>
    </row>
    <row r="25" spans="1:9">
      <c r="A25" s="290" t="s">
        <v>370</v>
      </c>
      <c r="B25" s="289">
        <f t="shared" ref="B25:I25" ca="1" si="4">SUM(B17,B12,B5)</f>
        <v>362993.01</v>
      </c>
      <c r="C25" s="289">
        <f t="shared" ca="1" si="4"/>
        <v>5000</v>
      </c>
      <c r="D25" s="289">
        <f t="shared" si="4"/>
        <v>0</v>
      </c>
      <c r="E25" s="289">
        <f t="shared" si="4"/>
        <v>0</v>
      </c>
      <c r="F25" s="289">
        <f t="shared" si="4"/>
        <v>0</v>
      </c>
      <c r="G25" s="289">
        <f t="shared" si="4"/>
        <v>0</v>
      </c>
      <c r="H25" s="289">
        <f t="shared" si="4"/>
        <v>0</v>
      </c>
      <c r="I25" s="289">
        <f t="shared" ca="1" si="4"/>
        <v>367993.01</v>
      </c>
    </row>
    <row r="26" spans="1:9">
      <c r="A26" s="98"/>
      <c r="B26" s="98"/>
      <c r="C26" s="98"/>
      <c r="D26" s="98"/>
      <c r="E26" s="98"/>
      <c r="F26" s="98"/>
      <c r="G26" s="98"/>
      <c r="H26" s="98"/>
      <c r="I26" s="98"/>
    </row>
    <row r="27" spans="1:9">
      <c r="A27" s="98"/>
      <c r="B27" s="100"/>
      <c r="C27" s="100"/>
      <c r="D27" s="98"/>
      <c r="E27" s="98"/>
      <c r="F27" s="98"/>
      <c r="G27" s="98"/>
      <c r="H27" s="98"/>
      <c r="I27" s="98"/>
    </row>
    <row r="28" spans="1:9">
      <c r="B28" s="102"/>
      <c r="F28" s="102"/>
    </row>
  </sheetData>
  <sheetProtection formatCells="0" formatColumns="0" formatRows="0" autoFilter="0"/>
  <autoFilter ref="A4:I25" xr:uid="{00000000-0009-0000-0000-000007000000}"/>
  <mergeCells count="6">
    <mergeCell ref="A1:I1"/>
    <mergeCell ref="A3:A4"/>
    <mergeCell ref="C3:E3"/>
    <mergeCell ref="F3:H3"/>
    <mergeCell ref="B3:B4"/>
    <mergeCell ref="I3:I4"/>
  </mergeCells>
  <phoneticPr fontId="0" type="noConversion"/>
  <pageMargins left="0.59055118110236227" right="0" top="0.78740157480314965" bottom="0" header="0.59055118110236227" footer="0.19685039370078741"/>
  <pageSetup paperSize="9" scale="8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8194" r:id="rId5" name="CADRE_NEANT_T04_BOUTTON">
              <controlPr defaultSize="0" print="0" autoFill="0" autoLine="0" autoPict="0" macro="[0]!Cadre_Neant_Tab04">
                <anchor moveWithCells="1">
                  <from>
                    <xdr:col>8</xdr:col>
                    <xdr:colOff>487680</xdr:colOff>
                    <xdr:row>0</xdr:row>
                    <xdr:rowOff>7620</xdr:rowOff>
                  </from>
                  <to>
                    <xdr:col>8</xdr:col>
                    <xdr:colOff>1066800</xdr:colOff>
                    <xdr:row>0</xdr:row>
                    <xdr:rowOff>228600</xdr:rowOff>
                  </to>
                </anchor>
              </controlPr>
            </control>
          </mc:Choice>
        </mc:AlternateContent>
        <mc:AlternateContent xmlns:mc="http://schemas.openxmlformats.org/markup-compatibility/2006">
          <mc:Choice Requires="x14">
            <control shapeId="819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05"/>
  <dimension ref="A1:F46"/>
  <sheetViews>
    <sheetView topLeftCell="A28" workbookViewId="0">
      <selection activeCell="D42" sqref="D42"/>
    </sheetView>
  </sheetViews>
  <sheetFormatPr baseColWidth="10" defaultColWidth="11.44140625" defaultRowHeight="13.2"/>
  <cols>
    <col min="1" max="1" width="3.109375" style="474" customWidth="1"/>
    <col min="2" max="2" width="3" style="474" customWidth="1"/>
    <col min="3" max="3" width="3.109375" style="474" customWidth="1"/>
    <col min="4" max="4" width="53.44140625" style="474" bestFit="1" customWidth="1"/>
    <col min="5" max="6" width="16.6640625" style="474" customWidth="1"/>
    <col min="7" max="7" width="13" style="4" customWidth="1"/>
    <col min="8" max="16384" width="11.44140625" style="4"/>
  </cols>
  <sheetData>
    <row r="1" spans="1:6" ht="18.600000000000001" thickBot="1">
      <c r="A1" s="1006" t="s">
        <v>246</v>
      </c>
      <c r="B1" s="1007"/>
      <c r="C1" s="1007"/>
      <c r="D1" s="1007"/>
      <c r="E1" s="1007"/>
      <c r="F1" s="1008"/>
    </row>
    <row r="2" spans="1:6">
      <c r="A2" s="297" t="str">
        <f>CONCATENATE(PagePrincipale!$F$9)</f>
        <v>D3 Soft SARL AU</v>
      </c>
      <c r="B2" s="440"/>
      <c r="C2" s="440"/>
      <c r="D2" s="441"/>
      <c r="E2" s="440"/>
      <c r="F2" s="301" t="str">
        <f ca="1">PeriodeArrete_DuAu()</f>
        <v>Du 1/1/2017 Au 31/12/2017</v>
      </c>
    </row>
    <row r="3" spans="1:6">
      <c r="A3" s="442"/>
      <c r="B3" s="440"/>
      <c r="C3" s="440"/>
      <c r="D3" s="441"/>
      <c r="E3" s="440"/>
      <c r="F3" s="443"/>
    </row>
    <row r="4" spans="1:6" ht="13.8">
      <c r="A4" s="444" t="s">
        <v>247</v>
      </c>
      <c r="B4" s="440"/>
      <c r="C4" s="440"/>
      <c r="D4" s="440"/>
      <c r="E4" s="440"/>
      <c r="F4" s="440"/>
    </row>
    <row r="5" spans="1:6" ht="27.75" customHeight="1">
      <c r="A5" s="1009" t="s">
        <v>434</v>
      </c>
      <c r="B5" s="1009"/>
      <c r="C5" s="1009"/>
      <c r="D5" s="1009"/>
      <c r="E5" s="445" t="s">
        <v>429</v>
      </c>
      <c r="F5" s="446" t="s">
        <v>433</v>
      </c>
    </row>
    <row r="6" spans="1:6" ht="13.8">
      <c r="A6" s="447"/>
      <c r="B6" s="448">
        <v>1</v>
      </c>
      <c r="C6" s="447"/>
      <c r="D6" s="449" t="s">
        <v>10</v>
      </c>
      <c r="E6" s="450">
        <f ca="1">-SoldeN("711")</f>
        <v>0</v>
      </c>
      <c r="F6" s="451">
        <f ca="1">-SoldeN_1("711")</f>
        <v>0</v>
      </c>
    </row>
    <row r="7" spans="1:6" ht="13.8">
      <c r="A7" s="452"/>
      <c r="B7" s="452">
        <v>2</v>
      </c>
      <c r="C7" s="453" t="s">
        <v>11</v>
      </c>
      <c r="D7" s="454" t="s">
        <v>332</v>
      </c>
      <c r="E7" s="455">
        <f ca="1">SoldeN("611")</f>
        <v>0</v>
      </c>
      <c r="F7" s="456">
        <f ca="1">SoldeN_1("611")</f>
        <v>0</v>
      </c>
    </row>
    <row r="8" spans="1:6" ht="13.8">
      <c r="A8" s="452" t="s">
        <v>417</v>
      </c>
      <c r="B8" s="452"/>
      <c r="C8" s="453" t="s">
        <v>12</v>
      </c>
      <c r="D8" s="457" t="s">
        <v>271</v>
      </c>
      <c r="E8" s="458">
        <f ca="1">E6-E7</f>
        <v>0</v>
      </c>
      <c r="F8" s="459">
        <f ca="1">F6-F7</f>
        <v>0</v>
      </c>
    </row>
    <row r="9" spans="1:6" ht="13.8">
      <c r="A9" s="447" t="s">
        <v>418</v>
      </c>
      <c r="B9" s="447"/>
      <c r="C9" s="460" t="s">
        <v>272</v>
      </c>
      <c r="D9" s="454" t="s">
        <v>273</v>
      </c>
      <c r="E9" s="455">
        <f ca="1">SUM(E10:E12)</f>
        <v>334857.67</v>
      </c>
      <c r="F9" s="456">
        <f ca="1">SUM(F10:F12)</f>
        <v>301371.90000000002</v>
      </c>
    </row>
    <row r="10" spans="1:6" ht="13.8">
      <c r="A10" s="447"/>
      <c r="B10" s="447">
        <v>3</v>
      </c>
      <c r="C10" s="447"/>
      <c r="D10" s="461" t="s">
        <v>107</v>
      </c>
      <c r="E10" s="450">
        <f ca="1">-SoldeN("712")</f>
        <v>264857.67</v>
      </c>
      <c r="F10" s="451">
        <f ca="1">-SoldeN_1("712")</f>
        <v>238371.9</v>
      </c>
    </row>
    <row r="11" spans="1:6" ht="13.8">
      <c r="A11" s="447"/>
      <c r="B11" s="447">
        <v>4</v>
      </c>
      <c r="C11" s="447"/>
      <c r="D11" s="461" t="s">
        <v>274</v>
      </c>
      <c r="E11" s="462">
        <f ca="1">-SoldeN("713")</f>
        <v>70000</v>
      </c>
      <c r="F11" s="463">
        <f ca="1">-SoldeN_1("713")</f>
        <v>63000</v>
      </c>
    </row>
    <row r="12" spans="1:6" ht="13.8">
      <c r="A12" s="452"/>
      <c r="B12" s="452">
        <v>5</v>
      </c>
      <c r="C12" s="452"/>
      <c r="D12" s="454" t="s">
        <v>275</v>
      </c>
      <c r="E12" s="455">
        <f ca="1">-SoldeN("714")</f>
        <v>0</v>
      </c>
      <c r="F12" s="456">
        <f ca="1">-SoldeN_1("714")</f>
        <v>0</v>
      </c>
    </row>
    <row r="13" spans="1:6" ht="13.8">
      <c r="A13" s="447" t="s">
        <v>419</v>
      </c>
      <c r="B13" s="447"/>
      <c r="C13" s="460" t="s">
        <v>11</v>
      </c>
      <c r="D13" s="454" t="s">
        <v>276</v>
      </c>
      <c r="E13" s="455">
        <f ca="1">SUM(E14:E15)</f>
        <v>76263.12</v>
      </c>
      <c r="F13" s="456">
        <f ca="1">SUM(F14:F15)</f>
        <v>68636.81</v>
      </c>
    </row>
    <row r="14" spans="1:6" ht="13.8">
      <c r="A14" s="447"/>
      <c r="B14" s="447">
        <v>6</v>
      </c>
      <c r="C14" s="447"/>
      <c r="D14" s="464" t="s">
        <v>147</v>
      </c>
      <c r="E14" s="462">
        <f ca="1">SoldeN("612")</f>
        <v>10334.040000000001</v>
      </c>
      <c r="F14" s="463">
        <f ca="1">SoldeN_1("612")</f>
        <v>9300.64</v>
      </c>
    </row>
    <row r="15" spans="1:6" ht="13.8">
      <c r="A15" s="452"/>
      <c r="B15" s="452">
        <v>7</v>
      </c>
      <c r="C15" s="452"/>
      <c r="D15" s="454" t="s">
        <v>334</v>
      </c>
      <c r="E15" s="455">
        <f ca="1">SoldeN("613")+SoldeN("614")</f>
        <v>65929.08</v>
      </c>
      <c r="F15" s="456">
        <f ca="1">SoldeN_1("613")+SoldeN_1("614")</f>
        <v>59336.17</v>
      </c>
    </row>
    <row r="16" spans="1:6" ht="13.8">
      <c r="A16" s="465" t="s">
        <v>420</v>
      </c>
      <c r="B16" s="452"/>
      <c r="C16" s="453" t="s">
        <v>12</v>
      </c>
      <c r="D16" s="457" t="s">
        <v>277</v>
      </c>
      <c r="E16" s="458">
        <f ca="1">E8+E9-E13</f>
        <v>258594.55</v>
      </c>
      <c r="F16" s="459">
        <f ca="1">F8+F9-F13</f>
        <v>232735.09000000003</v>
      </c>
    </row>
    <row r="17" spans="1:6" ht="13.8">
      <c r="A17" s="447"/>
      <c r="B17" s="447">
        <v>8</v>
      </c>
      <c r="C17" s="460" t="s">
        <v>272</v>
      </c>
      <c r="D17" s="461" t="s">
        <v>278</v>
      </c>
      <c r="E17" s="462">
        <f ca="1">-SoldeN("716")</f>
        <v>0</v>
      </c>
      <c r="F17" s="463">
        <f ca="1">-SoldeN_1("716")</f>
        <v>0</v>
      </c>
    </row>
    <row r="18" spans="1:6" ht="13.8">
      <c r="A18" s="447" t="s">
        <v>422</v>
      </c>
      <c r="B18" s="447">
        <v>9</v>
      </c>
      <c r="C18" s="460" t="s">
        <v>11</v>
      </c>
      <c r="D18" s="461" t="s">
        <v>335</v>
      </c>
      <c r="E18" s="462">
        <f ca="1">SoldeN("616")</f>
        <v>14416</v>
      </c>
      <c r="F18" s="463">
        <f ca="1">SoldeN_1("616")</f>
        <v>4329</v>
      </c>
    </row>
    <row r="19" spans="1:6" ht="13.8">
      <c r="A19" s="452"/>
      <c r="B19" s="452">
        <v>10</v>
      </c>
      <c r="C19" s="453" t="s">
        <v>11</v>
      </c>
      <c r="D19" s="454" t="s">
        <v>336</v>
      </c>
      <c r="E19" s="455">
        <f ca="1">SoldeN("617")</f>
        <v>233984.28</v>
      </c>
      <c r="F19" s="456">
        <f ca="1">SoldeN_1("617")</f>
        <v>210585.85</v>
      </c>
    </row>
    <row r="20" spans="1:6" ht="13.8">
      <c r="A20" s="466"/>
      <c r="B20" s="466"/>
      <c r="C20" s="467" t="s">
        <v>12</v>
      </c>
      <c r="D20" s="468" t="str">
        <f ca="1">IF(E20&gt;=0,"EXCEDENT BRUT D'EXPLOITATION ( E.B.E )","INSUFFISANCE BRUTE D'EXPLOITATION ( I.B.E )")</f>
        <v>EXCEDENT BRUT D'EXPLOITATION ( E.B.E )</v>
      </c>
      <c r="E20" s="469">
        <f ca="1">E16+E17-E18-E19</f>
        <v>10194.26999999999</v>
      </c>
      <c r="F20" s="470">
        <f ca="1">F16+F17-F18-F19</f>
        <v>17820.24000000002</v>
      </c>
    </row>
    <row r="21" spans="1:6" ht="13.8">
      <c r="A21" s="447"/>
      <c r="B21" s="447">
        <v>11</v>
      </c>
      <c r="C21" s="460" t="s">
        <v>272</v>
      </c>
      <c r="D21" s="471" t="s">
        <v>112</v>
      </c>
      <c r="E21" s="450">
        <f ca="1">-SoldeN("718")</f>
        <v>3.62</v>
      </c>
      <c r="F21" s="451">
        <f ca="1">-SoldeN_1("718")</f>
        <v>3.26</v>
      </c>
    </row>
    <row r="22" spans="1:6" ht="13.8">
      <c r="A22" s="447"/>
      <c r="B22" s="447">
        <v>12</v>
      </c>
      <c r="C22" s="460" t="s">
        <v>11</v>
      </c>
      <c r="D22" s="461" t="s">
        <v>337</v>
      </c>
      <c r="E22" s="462">
        <f ca="1">SoldeN("618")</f>
        <v>8.0399999999999991</v>
      </c>
      <c r="F22" s="463">
        <f ca="1">SoldeN_1("618")</f>
        <v>7.24</v>
      </c>
    </row>
    <row r="23" spans="1:6" ht="13.8">
      <c r="A23" s="447"/>
      <c r="B23" s="447">
        <v>13</v>
      </c>
      <c r="C23" s="460" t="s">
        <v>272</v>
      </c>
      <c r="D23" s="461" t="s">
        <v>69</v>
      </c>
      <c r="E23" s="462">
        <f ca="1">-SoldeN("719")</f>
        <v>0</v>
      </c>
      <c r="F23" s="463">
        <f ca="1">-SoldeN_1("719")</f>
        <v>0</v>
      </c>
    </row>
    <row r="24" spans="1:6" ht="13.8">
      <c r="A24" s="452"/>
      <c r="B24" s="452">
        <v>14</v>
      </c>
      <c r="C24" s="453" t="s">
        <v>11</v>
      </c>
      <c r="D24" s="454" t="s">
        <v>338</v>
      </c>
      <c r="E24" s="455">
        <f ca="1">SoldeN("619")</f>
        <v>7815.47</v>
      </c>
      <c r="F24" s="456">
        <f ca="1">SoldeN_1("619")</f>
        <v>6800</v>
      </c>
    </row>
    <row r="25" spans="1:6" ht="13.8">
      <c r="A25" s="452" t="s">
        <v>423</v>
      </c>
      <c r="B25" s="452"/>
      <c r="C25" s="453" t="s">
        <v>12</v>
      </c>
      <c r="D25" s="457" t="s">
        <v>70</v>
      </c>
      <c r="E25" s="458">
        <f ca="1">E20+E21-E22+E23-E24</f>
        <v>2374.3799999999892</v>
      </c>
      <c r="F25" s="459">
        <f ca="1">F20+F21-F22+F23-F24</f>
        <v>11016.260000000017</v>
      </c>
    </row>
    <row r="26" spans="1:6" ht="13.8">
      <c r="A26" s="452" t="s">
        <v>424</v>
      </c>
      <c r="B26" s="452"/>
      <c r="C26" s="452"/>
      <c r="D26" s="454" t="s">
        <v>71</v>
      </c>
      <c r="E26" s="455">
        <f ca="1">-SoldeN("73")-SoldeN("63")</f>
        <v>0</v>
      </c>
      <c r="F26" s="456">
        <f ca="1">-SoldeN_1("73")-SoldeN_1("63")</f>
        <v>0</v>
      </c>
    </row>
    <row r="27" spans="1:6" ht="13.8">
      <c r="A27" s="452" t="s">
        <v>439</v>
      </c>
      <c r="B27" s="452"/>
      <c r="C27" s="453" t="s">
        <v>12</v>
      </c>
      <c r="D27" s="457" t="s">
        <v>72</v>
      </c>
      <c r="E27" s="458">
        <f ca="1">E25+E26</f>
        <v>2374.3799999999892</v>
      </c>
      <c r="F27" s="459">
        <f ca="1">F25+F26</f>
        <v>11016.260000000017</v>
      </c>
    </row>
    <row r="28" spans="1:6" ht="13.8">
      <c r="A28" s="452" t="s">
        <v>447</v>
      </c>
      <c r="B28" s="452"/>
      <c r="C28" s="452"/>
      <c r="D28" s="454" t="s">
        <v>73</v>
      </c>
      <c r="E28" s="455">
        <f ca="1">-SoldeN("75")-SoldeN("65")</f>
        <v>-2040</v>
      </c>
      <c r="F28" s="456">
        <f ca="1">-SoldeN_1("75")-SoldeN_1("65")</f>
        <v>-1100</v>
      </c>
    </row>
    <row r="29" spans="1:6" ht="13.8">
      <c r="A29" s="452"/>
      <c r="B29" s="452">
        <v>15</v>
      </c>
      <c r="C29" s="453" t="s">
        <v>11</v>
      </c>
      <c r="D29" s="472" t="s">
        <v>74</v>
      </c>
      <c r="E29" s="455">
        <f ca="1">SoldeN("67")</f>
        <v>3000</v>
      </c>
      <c r="F29" s="456">
        <f ca="1">SoldeN_1("67")</f>
        <v>2430</v>
      </c>
    </row>
    <row r="30" spans="1:6" ht="13.8">
      <c r="A30" s="466" t="s">
        <v>495</v>
      </c>
      <c r="B30" s="466"/>
      <c r="C30" s="467" t="s">
        <v>12</v>
      </c>
      <c r="D30" s="468" t="s">
        <v>75</v>
      </c>
      <c r="E30" s="469">
        <f ca="1">E27+E28-E29</f>
        <v>-2665.6200000000108</v>
      </c>
      <c r="F30" s="470">
        <f ca="1">F27+F28-F29</f>
        <v>7486.2600000000166</v>
      </c>
    </row>
    <row r="31" spans="1:6" ht="13.8">
      <c r="A31" s="473"/>
      <c r="B31" s="473"/>
      <c r="C31" s="473"/>
      <c r="D31" s="473"/>
    </row>
    <row r="32" spans="1:6" ht="13.8">
      <c r="A32" s="444" t="s">
        <v>76</v>
      </c>
      <c r="B32" s="475"/>
      <c r="C32" s="475"/>
      <c r="D32" s="475"/>
      <c r="E32" s="440"/>
      <c r="F32" s="440"/>
    </row>
    <row r="33" spans="1:6" ht="13.8">
      <c r="A33" s="476"/>
      <c r="B33" s="476">
        <v>1</v>
      </c>
      <c r="C33" s="476"/>
      <c r="D33" s="477" t="s">
        <v>75</v>
      </c>
      <c r="E33" s="478">
        <f ca="1">E30</f>
        <v>-2665.6200000000108</v>
      </c>
      <c r="F33" s="479">
        <f ca="1">F30</f>
        <v>7486.2600000000166</v>
      </c>
    </row>
    <row r="34" spans="1:6" ht="13.8">
      <c r="A34" s="447"/>
      <c r="B34" s="447"/>
      <c r="C34" s="447"/>
      <c r="D34" s="480" t="s">
        <v>77</v>
      </c>
      <c r="E34" s="481">
        <f ca="1">IF(E30&gt;0,E30,0)</f>
        <v>0</v>
      </c>
      <c r="F34" s="482">
        <f ca="1">IF(F30&gt;0,F30,0)</f>
        <v>7486.2600000000166</v>
      </c>
    </row>
    <row r="35" spans="1:6" ht="13.8">
      <c r="A35" s="447"/>
      <c r="B35" s="447"/>
      <c r="C35" s="447"/>
      <c r="D35" s="483" t="s">
        <v>78</v>
      </c>
      <c r="E35" s="484">
        <f ca="1">IF(E30&lt;0,-E30,0)</f>
        <v>2665.6200000000108</v>
      </c>
      <c r="F35" s="485">
        <f ca="1">IF(F30&lt;0,-F30,0)</f>
        <v>0</v>
      </c>
    </row>
    <row r="36" spans="1:6" ht="13.8">
      <c r="A36" s="447"/>
      <c r="B36" s="447">
        <v>2</v>
      </c>
      <c r="C36" s="460" t="s">
        <v>272</v>
      </c>
      <c r="D36" s="486" t="s">
        <v>338</v>
      </c>
      <c r="E36" s="487">
        <f ca="1">SoldeN("619")-SoldeN("6196")</f>
        <v>7815.47</v>
      </c>
      <c r="F36" s="488">
        <f ca="1">SoldeN_1("619")-SoldeN_1("6196")</f>
        <v>6800</v>
      </c>
    </row>
    <row r="37" spans="1:6" ht="13.8">
      <c r="A37" s="447"/>
      <c r="B37" s="447">
        <v>3</v>
      </c>
      <c r="C37" s="460" t="s">
        <v>272</v>
      </c>
      <c r="D37" s="461" t="s">
        <v>4</v>
      </c>
      <c r="E37" s="462">
        <f ca="1">SoldeN("6391")+SoldeN("6392")</f>
        <v>0</v>
      </c>
      <c r="F37" s="463">
        <f ca="1">SoldeN_1("6391")+SoldeN_1("6392")</f>
        <v>0</v>
      </c>
    </row>
    <row r="38" spans="1:6" ht="13.8">
      <c r="A38" s="447"/>
      <c r="B38" s="447">
        <v>4</v>
      </c>
      <c r="C38" s="460" t="s">
        <v>272</v>
      </c>
      <c r="D38" s="489" t="s">
        <v>79</v>
      </c>
      <c r="E38" s="490">
        <f ca="1">SoldeN("6591")+SoldeN("6594")+SoldeN("65962")</f>
        <v>0</v>
      </c>
      <c r="F38" s="491">
        <f ca="1">SoldeN_1("6591")+SoldeN_1("6594")+SoldeN_1("65962")</f>
        <v>0</v>
      </c>
    </row>
    <row r="39" spans="1:6" ht="13.8">
      <c r="A39" s="447"/>
      <c r="B39" s="447">
        <v>5</v>
      </c>
      <c r="C39" s="460" t="s">
        <v>11</v>
      </c>
      <c r="D39" s="486" t="s">
        <v>80</v>
      </c>
      <c r="E39" s="487">
        <f ca="1">-SoldeN("719")+SoldeN("7196")+SoldeN("7197")</f>
        <v>0</v>
      </c>
      <c r="F39" s="488">
        <f ca="1">-SoldeN_1("719")+SoldeN_1("7196")+SoldeN_1("7197")</f>
        <v>0</v>
      </c>
    </row>
    <row r="40" spans="1:6" ht="13.8">
      <c r="A40" s="447"/>
      <c r="B40" s="447">
        <v>6</v>
      </c>
      <c r="C40" s="460" t="s">
        <v>11</v>
      </c>
      <c r="D40" s="461" t="s">
        <v>81</v>
      </c>
      <c r="E40" s="462">
        <f ca="1">-SoldeN("7391")-SoldeN("7392")</f>
        <v>0</v>
      </c>
      <c r="F40" s="463">
        <f ca="1">-SoldeN_1("7391")-SoldeN_1("7392")</f>
        <v>0</v>
      </c>
    </row>
    <row r="41" spans="1:6" ht="13.8">
      <c r="A41" s="447"/>
      <c r="B41" s="447">
        <v>7</v>
      </c>
      <c r="C41" s="460" t="s">
        <v>11</v>
      </c>
      <c r="D41" s="489" t="s">
        <v>1419</v>
      </c>
      <c r="E41" s="490">
        <f ca="1">-SoldeN("7591")-SoldeN("7594")-SoldeN("75962")</f>
        <v>0</v>
      </c>
      <c r="F41" s="491">
        <f ca="1">-SoldeN_1("7591")-SoldeN_1("7594")-SoldeN_1("75962")</f>
        <v>0</v>
      </c>
    </row>
    <row r="42" spans="1:6" ht="13.8">
      <c r="A42" s="447"/>
      <c r="B42" s="447">
        <v>8</v>
      </c>
      <c r="C42" s="460" t="s">
        <v>11</v>
      </c>
      <c r="D42" s="486" t="s">
        <v>1420</v>
      </c>
      <c r="E42" s="487">
        <f ca="1">-SoldeN("751")</f>
        <v>0</v>
      </c>
      <c r="F42" s="488">
        <f ca="1">-SoldeN_1("751")</f>
        <v>0</v>
      </c>
    </row>
    <row r="43" spans="1:6" ht="13.8">
      <c r="A43" s="447"/>
      <c r="B43" s="447">
        <v>9</v>
      </c>
      <c r="C43" s="460" t="s">
        <v>272</v>
      </c>
      <c r="D43" s="492" t="s">
        <v>279</v>
      </c>
      <c r="E43" s="490">
        <f ca="1">SoldeN("651")</f>
        <v>0</v>
      </c>
      <c r="F43" s="491">
        <f ca="1">SoldeN_1("651")</f>
        <v>0</v>
      </c>
    </row>
    <row r="44" spans="1:6" ht="13.8">
      <c r="A44" s="452" t="s">
        <v>417</v>
      </c>
      <c r="B44" s="452"/>
      <c r="C44" s="452"/>
      <c r="D44" s="457" t="s">
        <v>280</v>
      </c>
      <c r="E44" s="458">
        <f ca="1">E34-E35+E36+E37+E38-E39-E40-E41-E42+E43</f>
        <v>5149.8499999999894</v>
      </c>
      <c r="F44" s="459">
        <f ca="1">F34-F35+F36+F37+F38-F39-F40-F41-F42+F43</f>
        <v>14286.260000000017</v>
      </c>
    </row>
    <row r="45" spans="1:6" ht="13.8">
      <c r="A45" s="452"/>
      <c r="B45" s="452">
        <v>10</v>
      </c>
      <c r="C45" s="493" t="s">
        <v>11</v>
      </c>
      <c r="D45" s="472" t="s">
        <v>281</v>
      </c>
      <c r="E45" s="787">
        <f>'T14'!D8</f>
        <v>0</v>
      </c>
      <c r="F45" s="214"/>
    </row>
    <row r="46" spans="1:6" ht="13.8">
      <c r="A46" s="466" t="s">
        <v>418</v>
      </c>
      <c r="B46" s="466"/>
      <c r="C46" s="466"/>
      <c r="D46" s="468" t="s">
        <v>282</v>
      </c>
      <c r="E46" s="469">
        <f ca="1">E44-E45</f>
        <v>5149.8499999999894</v>
      </c>
      <c r="F46" s="470">
        <f ca="1">F44-F45</f>
        <v>14286.260000000017</v>
      </c>
    </row>
  </sheetData>
  <sheetProtection formatCells="0" formatColumns="0" formatRows="0"/>
  <dataConsolidate/>
  <mergeCells count="2">
    <mergeCell ref="A1:F1"/>
    <mergeCell ref="A5:D5"/>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GoToMain">
              <controlPr defaultSize="0" print="0" autoFill="0" autoPict="0" macro="[0]!GoToMain">
                <anchor>
                  <from>
                    <xdr:col>0</xdr:col>
                    <xdr:colOff>0</xdr:colOff>
                    <xdr:row>0</xdr:row>
                    <xdr:rowOff>0</xdr:rowOff>
                  </from>
                  <to>
                    <xdr:col>1</xdr:col>
                    <xdr:colOff>152400</xdr:colOff>
                    <xdr:row>0</xdr:row>
                    <xdr:rowOff>228600</xdr:rowOff>
                  </to>
                </anchor>
              </controlPr>
            </control>
          </mc:Choice>
        </mc:AlternateContent>
        <mc:AlternateContent xmlns:mc="http://schemas.openxmlformats.org/markup-compatibility/2006">
          <mc:Choice Requires="x14">
            <control shapeId="9218" r:id="rId5" name="CADRE_NEANT_T05_BOUTTON">
              <controlPr defaultSize="0" print="0" autoFill="0" autoLine="0" autoPict="0" macro="[0]!Cadre_Neant_Tab05">
                <anchor moveWithCells="1">
                  <from>
                    <xdr:col>5</xdr:col>
                    <xdr:colOff>495300</xdr:colOff>
                    <xdr:row>0</xdr:row>
                    <xdr:rowOff>7620</xdr:rowOff>
                  </from>
                  <to>
                    <xdr:col>5</xdr:col>
                    <xdr:colOff>1074420</xdr:colOff>
                    <xdr:row>0</xdr:row>
                    <xdr:rowOff>228600</xdr:rowOff>
                  </to>
                </anchor>
              </controlPr>
            </control>
          </mc:Choice>
        </mc:AlternateContent>
        <mc:AlternateContent xmlns:mc="http://schemas.openxmlformats.org/markup-compatibility/2006">
          <mc:Choice Requires="x14">
            <control shapeId="9219" r:id="rId6" name="GoToLast">
              <controlPr defaultSize="0" print="0" autoFill="0" autoPict="0" macro="[0]!GoToLastSelection">
                <anchor moveWithCells="1" sizeWithCells="1">
                  <from>
                    <xdr:col>1</xdr:col>
                    <xdr:colOff>160020</xdr:colOff>
                    <xdr:row>0</xdr:row>
                    <xdr:rowOff>0</xdr:rowOff>
                  </from>
                  <to>
                    <xdr:col>3</xdr:col>
                    <xdr:colOff>114300</xdr:colOff>
                    <xdr:row>0</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06">
    <outlinePr summaryBelow="0"/>
  </sheetPr>
  <dimension ref="A1:D89"/>
  <sheetViews>
    <sheetView workbookViewId="0">
      <selection activeCell="D16" sqref="D16"/>
    </sheetView>
  </sheetViews>
  <sheetFormatPr baseColWidth="10" defaultColWidth="11.44140625" defaultRowHeight="13.8"/>
  <cols>
    <col min="1" max="1" width="7.5546875" style="3" bestFit="1" customWidth="1"/>
    <col min="2" max="2" width="50.6640625" style="3" customWidth="1"/>
    <col min="3" max="4" width="16.6640625" style="3" customWidth="1"/>
    <col min="5" max="16384" width="11.44140625" style="3"/>
  </cols>
  <sheetData>
    <row r="1" spans="1:4" ht="18.600000000000001" thickBot="1">
      <c r="A1" s="1006" t="s">
        <v>489</v>
      </c>
      <c r="B1" s="1007"/>
      <c r="C1" s="1007"/>
      <c r="D1" s="1008"/>
    </row>
    <row r="2" spans="1:4">
      <c r="A2" s="297" t="str">
        <f>CONCATENATE(PagePrincipale!$F$9)</f>
        <v>D3 Soft SARL AU</v>
      </c>
      <c r="B2" s="494"/>
      <c r="C2" s="494"/>
      <c r="D2" s="301" t="str">
        <f ca="1">PeriodeArrete_DuAu()</f>
        <v>Du 1/1/2017 Au 31/12/2017</v>
      </c>
    </row>
    <row r="3" spans="1:4" ht="27.75" customHeight="1">
      <c r="A3" s="1010" t="s">
        <v>490</v>
      </c>
      <c r="B3" s="1011"/>
      <c r="C3" s="445" t="s">
        <v>429</v>
      </c>
      <c r="D3" s="446" t="s">
        <v>433</v>
      </c>
    </row>
    <row r="4" spans="1:4">
      <c r="A4" s="495"/>
      <c r="B4" s="496" t="s">
        <v>331</v>
      </c>
      <c r="C4" s="497"/>
      <c r="D4" s="498"/>
    </row>
    <row r="5" spans="1:4">
      <c r="A5" s="499">
        <v>611</v>
      </c>
      <c r="B5" s="500" t="s">
        <v>491</v>
      </c>
      <c r="C5" s="501">
        <f ca="1">SoldeN("611")</f>
        <v>0</v>
      </c>
      <c r="D5" s="502">
        <f ca="1">SoldeN_1("611")</f>
        <v>0</v>
      </c>
    </row>
    <row r="6" spans="1:4">
      <c r="A6" s="499"/>
      <c r="B6" s="503" t="s">
        <v>492</v>
      </c>
      <c r="C6" s="504">
        <f ca="1">C8-C7</f>
        <v>0</v>
      </c>
      <c r="D6" s="505">
        <f ca="1">D8-D7</f>
        <v>0</v>
      </c>
    </row>
    <row r="7" spans="1:4">
      <c r="A7" s="499"/>
      <c r="B7" s="506" t="s">
        <v>140</v>
      </c>
      <c r="C7" s="507">
        <f ca="1">SoldeN("6114")</f>
        <v>0</v>
      </c>
      <c r="D7" s="508">
        <f ca="1">SoldeN_1("6114")</f>
        <v>0</v>
      </c>
    </row>
    <row r="8" spans="1:4">
      <c r="A8" s="499"/>
      <c r="B8" s="509" t="s">
        <v>370</v>
      </c>
      <c r="C8" s="510">
        <f ca="1">SoldeN("611")</f>
        <v>0</v>
      </c>
      <c r="D8" s="511">
        <f ca="1">SoldeN_1("611")</f>
        <v>0</v>
      </c>
    </row>
    <row r="9" spans="1:4">
      <c r="A9" s="499">
        <v>612</v>
      </c>
      <c r="B9" s="512" t="s">
        <v>147</v>
      </c>
      <c r="C9" s="513">
        <f ca="1">SoldeN("612")</f>
        <v>10334.040000000001</v>
      </c>
      <c r="D9" s="514">
        <f ca="1">SoldeN_1("612")</f>
        <v>9300.64</v>
      </c>
    </row>
    <row r="10" spans="1:4">
      <c r="A10" s="499"/>
      <c r="B10" s="503" t="s">
        <v>141</v>
      </c>
      <c r="C10" s="504">
        <f ca="1">SoldeN("6121")</f>
        <v>0</v>
      </c>
      <c r="D10" s="505">
        <f ca="1">SoldeN_1("6121")</f>
        <v>0</v>
      </c>
    </row>
    <row r="11" spans="1:4">
      <c r="A11" s="499"/>
      <c r="B11" s="503" t="s">
        <v>1422</v>
      </c>
      <c r="C11" s="504">
        <f ca="1">SoldeN("61241")</f>
        <v>0</v>
      </c>
      <c r="D11" s="505">
        <f ca="1">SoldeN_1("61241")</f>
        <v>0</v>
      </c>
    </row>
    <row r="12" spans="1:4">
      <c r="A12" s="499"/>
      <c r="B12" s="503" t="s">
        <v>369</v>
      </c>
      <c r="C12" s="504">
        <f ca="1">SoldeN("6122")+SoldeN("6123")</f>
        <v>0</v>
      </c>
      <c r="D12" s="505">
        <f ca="1">SoldeN_1("6122")+SoldeN_1("6123")</f>
        <v>0</v>
      </c>
    </row>
    <row r="13" spans="1:4">
      <c r="A13" s="499"/>
      <c r="B13" s="503" t="s">
        <v>1421</v>
      </c>
      <c r="C13" s="504">
        <f ca="1">SoldeN("61242")+SoldeN("61243")</f>
        <v>0</v>
      </c>
      <c r="D13" s="505">
        <f ca="1">SoldeN_1("61242")+SoldeN_1("61243")</f>
        <v>0</v>
      </c>
    </row>
    <row r="14" spans="1:4">
      <c r="A14" s="499"/>
      <c r="B14" s="503" t="s">
        <v>450</v>
      </c>
      <c r="C14" s="504">
        <f ca="1">SoldeN("6125")</f>
        <v>10334.040000000001</v>
      </c>
      <c r="D14" s="505">
        <f ca="1">SoldeN_1("6125")</f>
        <v>9300.64</v>
      </c>
    </row>
    <row r="15" spans="1:4">
      <c r="A15" s="499"/>
      <c r="B15" s="506" t="s">
        <v>451</v>
      </c>
      <c r="C15" s="504">
        <f ca="1">SoldeN("6126")</f>
        <v>0</v>
      </c>
      <c r="D15" s="505">
        <f ca="1">SoldeN_1("6126")</f>
        <v>0</v>
      </c>
    </row>
    <row r="16" spans="1:4">
      <c r="A16" s="499"/>
      <c r="B16" s="506"/>
      <c r="C16" s="504"/>
      <c r="D16" s="505"/>
    </row>
    <row r="17" spans="1:4">
      <c r="A17" s="499"/>
      <c r="B17" s="509" t="s">
        <v>370</v>
      </c>
      <c r="C17" s="510">
        <f ca="1">SUM(C10,C11,C12,C13,C14,C15,C16)</f>
        <v>10334.040000000001</v>
      </c>
      <c r="D17" s="511">
        <f ca="1">SUM(D10,D11,D12,D13,D14,D15,D16)</f>
        <v>9300.64</v>
      </c>
    </row>
    <row r="18" spans="1:4">
      <c r="A18" s="499" t="s">
        <v>452</v>
      </c>
      <c r="B18" s="512" t="s">
        <v>334</v>
      </c>
      <c r="C18" s="513">
        <f ca="1">SoldeN("613")+SoldeN("614")</f>
        <v>65929.08</v>
      </c>
      <c r="D18" s="514">
        <f ca="1">SoldeN_1("613")+SoldeN_1("614")</f>
        <v>59336.17</v>
      </c>
    </row>
    <row r="19" spans="1:4">
      <c r="A19" s="499"/>
      <c r="B19" s="503" t="s">
        <v>262</v>
      </c>
      <c r="C19" s="504">
        <f ca="1">SoldeN("6131")</f>
        <v>52800</v>
      </c>
      <c r="D19" s="505">
        <f ca="1">SoldeN_1("6131")</f>
        <v>47520</v>
      </c>
    </row>
    <row r="20" spans="1:4">
      <c r="A20" s="499"/>
      <c r="B20" s="503" t="s">
        <v>263</v>
      </c>
      <c r="C20" s="504">
        <f ca="1">SoldeN("6132")</f>
        <v>0</v>
      </c>
      <c r="D20" s="505">
        <f ca="1">SoldeN_1("6132")</f>
        <v>0</v>
      </c>
    </row>
    <row r="21" spans="1:4">
      <c r="A21" s="499"/>
      <c r="B21" s="503" t="s">
        <v>264</v>
      </c>
      <c r="C21" s="504">
        <f ca="1">SoldeN("6133")</f>
        <v>0</v>
      </c>
      <c r="D21" s="505">
        <f ca="1">SoldeN_1("6133")</f>
        <v>0</v>
      </c>
    </row>
    <row r="22" spans="1:4">
      <c r="A22" s="499"/>
      <c r="B22" s="503" t="s">
        <v>265</v>
      </c>
      <c r="C22" s="504">
        <f ca="1">SoldeN("6134")</f>
        <v>0</v>
      </c>
      <c r="D22" s="505">
        <f ca="1">SoldeN_1("6134")</f>
        <v>0</v>
      </c>
    </row>
    <row r="23" spans="1:4">
      <c r="A23" s="499"/>
      <c r="B23" s="503" t="s">
        <v>266</v>
      </c>
      <c r="C23" s="504">
        <f ca="1">SoldeN("6135")</f>
        <v>0</v>
      </c>
      <c r="D23" s="505">
        <f ca="1">SoldeN_1("6135")</f>
        <v>0</v>
      </c>
    </row>
    <row r="24" spans="1:4">
      <c r="A24" s="499"/>
      <c r="B24" s="503" t="s">
        <v>267</v>
      </c>
      <c r="C24" s="504">
        <f ca="1">SoldeN("6136")</f>
        <v>0</v>
      </c>
      <c r="D24" s="505">
        <f ca="1">SoldeN_1("6136")</f>
        <v>0</v>
      </c>
    </row>
    <row r="25" spans="1:4">
      <c r="A25" s="499"/>
      <c r="B25" s="503" t="s">
        <v>91</v>
      </c>
      <c r="C25" s="504">
        <f ca="1">SoldeN("6137")</f>
        <v>0</v>
      </c>
      <c r="D25" s="505">
        <f ca="1">SoldeN_1("6137")</f>
        <v>0</v>
      </c>
    </row>
    <row r="26" spans="1:4">
      <c r="A26" s="499"/>
      <c r="B26" s="503" t="s">
        <v>92</v>
      </c>
      <c r="C26" s="504">
        <f ca="1">SoldeN("6142")</f>
        <v>0</v>
      </c>
      <c r="D26" s="505">
        <f ca="1">SoldeN_1("6142")</f>
        <v>0</v>
      </c>
    </row>
    <row r="27" spans="1:4">
      <c r="A27" s="499"/>
      <c r="B27" s="503" t="s">
        <v>93</v>
      </c>
      <c r="C27" s="504">
        <f ca="1">SoldeN("6143")</f>
        <v>0</v>
      </c>
      <c r="D27" s="505">
        <f ca="1">SoldeN_1("6143")</f>
        <v>0</v>
      </c>
    </row>
    <row r="28" spans="1:4">
      <c r="A28" s="499"/>
      <c r="B28" s="506" t="s">
        <v>94</v>
      </c>
      <c r="C28" s="507">
        <f ca="1">C29-SUM(C19:C27)</f>
        <v>13129.080000000002</v>
      </c>
      <c r="D28" s="508">
        <f ca="1">D29-SUM(D19:D27)</f>
        <v>11816.169999999998</v>
      </c>
    </row>
    <row r="29" spans="1:4">
      <c r="A29" s="499"/>
      <c r="B29" s="509" t="s">
        <v>370</v>
      </c>
      <c r="C29" s="510">
        <f ca="1">SoldeN("613")+SoldeN("614")</f>
        <v>65929.08</v>
      </c>
      <c r="D29" s="511">
        <f ca="1">SoldeN_1("613")+SoldeN_1("614")</f>
        <v>59336.17</v>
      </c>
    </row>
    <row r="30" spans="1:4">
      <c r="A30" s="499">
        <v>617</v>
      </c>
      <c r="B30" s="500" t="s">
        <v>336</v>
      </c>
      <c r="C30" s="501">
        <f ca="1">SoldeN("617")</f>
        <v>233984.28</v>
      </c>
      <c r="D30" s="502">
        <f ca="1">SoldeN_1("617")</f>
        <v>210585.85</v>
      </c>
    </row>
    <row r="31" spans="1:4">
      <c r="A31" s="499"/>
      <c r="B31" s="503" t="s">
        <v>95</v>
      </c>
      <c r="C31" s="504">
        <f ca="1">SoldeN("6171")</f>
        <v>202761</v>
      </c>
      <c r="D31" s="505">
        <f ca="1">SoldeN_1("6171")</f>
        <v>182484.9</v>
      </c>
    </row>
    <row r="32" spans="1:4">
      <c r="A32" s="499"/>
      <c r="B32" s="503" t="s">
        <v>453</v>
      </c>
      <c r="C32" s="504">
        <f ca="1">SoldeN("6174")</f>
        <v>31223.279999999999</v>
      </c>
      <c r="D32" s="505">
        <f ca="1">SoldeN_1("6174")</f>
        <v>28100.95</v>
      </c>
    </row>
    <row r="33" spans="1:4">
      <c r="A33" s="499"/>
      <c r="B33" s="503" t="s">
        <v>454</v>
      </c>
      <c r="C33" s="515">
        <f ca="1">C34-SUM(C31:C32)</f>
        <v>0</v>
      </c>
      <c r="D33" s="516">
        <f ca="1">D34-SUM(D31:D32)</f>
        <v>0</v>
      </c>
    </row>
    <row r="34" spans="1:4">
      <c r="A34" s="499"/>
      <c r="B34" s="509" t="s">
        <v>370</v>
      </c>
      <c r="C34" s="510">
        <f ca="1">SoldeN("617")</f>
        <v>233984.28</v>
      </c>
      <c r="D34" s="511">
        <f ca="1">SoldeN_1("617")</f>
        <v>210585.85</v>
      </c>
    </row>
    <row r="35" spans="1:4">
      <c r="A35" s="499">
        <v>618</v>
      </c>
      <c r="B35" s="512" t="s">
        <v>337</v>
      </c>
      <c r="C35" s="513">
        <f ca="1">SoldeN("618")</f>
        <v>8.0399999999999991</v>
      </c>
      <c r="D35" s="514">
        <f ca="1">SoldeN_1("618")</f>
        <v>7.24</v>
      </c>
    </row>
    <row r="36" spans="1:4">
      <c r="A36" s="499"/>
      <c r="B36" s="503" t="s">
        <v>455</v>
      </c>
      <c r="C36" s="504">
        <f ca="1">SoldeN("6181")</f>
        <v>0</v>
      </c>
      <c r="D36" s="505">
        <f ca="1">SoldeN_1("6181")</f>
        <v>0</v>
      </c>
    </row>
    <row r="37" spans="1:4">
      <c r="A37" s="499"/>
      <c r="B37" s="503" t="s">
        <v>456</v>
      </c>
      <c r="C37" s="504">
        <f ca="1">SoldeN("6182")</f>
        <v>0</v>
      </c>
      <c r="D37" s="505">
        <f ca="1">SoldeN_1("6182")</f>
        <v>0</v>
      </c>
    </row>
    <row r="38" spans="1:4">
      <c r="A38" s="499"/>
      <c r="B38" s="503" t="s">
        <v>457</v>
      </c>
      <c r="C38" s="515">
        <f ca="1">C39-SUM(C36:C37)</f>
        <v>8.0399999999999991</v>
      </c>
      <c r="D38" s="516">
        <f ca="1">D39-SUM(D36:D37)</f>
        <v>7.24</v>
      </c>
    </row>
    <row r="39" spans="1:4">
      <c r="A39" s="517"/>
      <c r="B39" s="509" t="s">
        <v>370</v>
      </c>
      <c r="C39" s="510">
        <f ca="1">SoldeN("618")</f>
        <v>8.0399999999999991</v>
      </c>
      <c r="D39" s="511">
        <f ca="1">SoldeN_1("618")</f>
        <v>7.24</v>
      </c>
    </row>
    <row r="40" spans="1:4">
      <c r="A40" s="499">
        <v>638</v>
      </c>
      <c r="B40" s="496" t="s">
        <v>346</v>
      </c>
      <c r="C40" s="497"/>
      <c r="D40" s="498"/>
    </row>
    <row r="41" spans="1:4">
      <c r="A41" s="499"/>
      <c r="B41" s="500" t="s">
        <v>284</v>
      </c>
      <c r="C41" s="501">
        <f ca="1">SoldeN("638")</f>
        <v>0</v>
      </c>
      <c r="D41" s="502">
        <f ca="1">SoldeN_1("638")</f>
        <v>0</v>
      </c>
    </row>
    <row r="42" spans="1:4">
      <c r="A42" s="499"/>
      <c r="B42" s="503" t="s">
        <v>458</v>
      </c>
      <c r="C42" s="504">
        <f ca="1">SoldeN("6385")</f>
        <v>0</v>
      </c>
      <c r="D42" s="505">
        <f ca="1">SoldeN_1("6385")</f>
        <v>0</v>
      </c>
    </row>
    <row r="43" spans="1:4">
      <c r="A43" s="499"/>
      <c r="B43" s="503" t="s">
        <v>217</v>
      </c>
      <c r="C43" s="515">
        <f ca="1">+C44-C42</f>
        <v>0</v>
      </c>
      <c r="D43" s="516">
        <f ca="1">+D44-D42</f>
        <v>0</v>
      </c>
    </row>
    <row r="44" spans="1:4">
      <c r="A44" s="517"/>
      <c r="B44" s="509" t="s">
        <v>370</v>
      </c>
      <c r="C44" s="510">
        <f ca="1">SoldeN("638")</f>
        <v>0</v>
      </c>
      <c r="D44" s="511">
        <f ca="1">SoldeN_1("638")</f>
        <v>0</v>
      </c>
    </row>
    <row r="45" spans="1:4">
      <c r="A45" s="499">
        <v>658</v>
      </c>
      <c r="B45" s="496" t="s">
        <v>448</v>
      </c>
      <c r="C45" s="497"/>
      <c r="D45" s="498"/>
    </row>
    <row r="46" spans="1:4">
      <c r="A46" s="499"/>
      <c r="B46" s="500" t="s">
        <v>166</v>
      </c>
      <c r="C46" s="501">
        <f ca="1">SoldeN("658")</f>
        <v>2040</v>
      </c>
      <c r="D46" s="502">
        <f ca="1">SoldeN_1("658")</f>
        <v>1100</v>
      </c>
    </row>
    <row r="47" spans="1:4">
      <c r="A47" s="499"/>
      <c r="B47" s="503" t="s">
        <v>218</v>
      </c>
      <c r="C47" s="504">
        <f ca="1">SoldeN("6581")</f>
        <v>0</v>
      </c>
      <c r="D47" s="505">
        <f ca="1">SoldeN_1("6581")</f>
        <v>0</v>
      </c>
    </row>
    <row r="48" spans="1:4">
      <c r="A48" s="499"/>
      <c r="B48" s="503" t="s">
        <v>50</v>
      </c>
      <c r="C48" s="504">
        <f ca="1">SoldeN("6582")</f>
        <v>0</v>
      </c>
      <c r="D48" s="505">
        <f ca="1">SoldeN_1("6582")</f>
        <v>0</v>
      </c>
    </row>
    <row r="49" spans="1:4">
      <c r="A49" s="499"/>
      <c r="B49" s="503" t="s">
        <v>1237</v>
      </c>
      <c r="C49" s="504">
        <f ca="1">SoldeN("6583")</f>
        <v>2040</v>
      </c>
      <c r="D49" s="505">
        <f ca="1">SoldeN_1("6583")</f>
        <v>1100</v>
      </c>
    </row>
    <row r="50" spans="1:4">
      <c r="A50" s="499"/>
      <c r="B50" s="503" t="s">
        <v>51</v>
      </c>
      <c r="C50" s="504">
        <f ca="1">SoldeN("6585")</f>
        <v>0</v>
      </c>
      <c r="D50" s="505">
        <f ca="1">SoldeN_1("6585")</f>
        <v>0</v>
      </c>
    </row>
    <row r="51" spans="1:4">
      <c r="A51" s="499"/>
      <c r="B51" s="503" t="s">
        <v>52</v>
      </c>
      <c r="C51" s="515">
        <f ca="1">C52-SUM(C47,C48,C49,C50)</f>
        <v>0</v>
      </c>
      <c r="D51" s="516">
        <f ca="1">D52-SUM(D47,D48,D49,D50)</f>
        <v>0</v>
      </c>
    </row>
    <row r="52" spans="1:4" ht="14.4" thickBot="1">
      <c r="A52" s="517"/>
      <c r="B52" s="509" t="s">
        <v>370</v>
      </c>
      <c r="C52" s="510">
        <f ca="1">SoldeN("658")</f>
        <v>2040</v>
      </c>
      <c r="D52" s="511">
        <f ca="1">SoldeN_1("658")</f>
        <v>1100</v>
      </c>
    </row>
    <row r="53" spans="1:4" ht="18.600000000000001" thickBot="1">
      <c r="A53" s="1006" t="s">
        <v>489</v>
      </c>
      <c r="B53" s="1007"/>
      <c r="C53" s="1007"/>
      <c r="D53" s="1008"/>
    </row>
    <row r="54" spans="1:4">
      <c r="A54" s="297" t="str">
        <f>CONCATENATE(PagePrincipale!$F$9)</f>
        <v>D3 Soft SARL AU</v>
      </c>
      <c r="B54" s="494"/>
      <c r="C54" s="494"/>
      <c r="D54" s="301" t="str">
        <f ca="1">PeriodeArrete_DuAu()</f>
        <v>Du 1/1/2017 Au 31/12/2017</v>
      </c>
    </row>
    <row r="55" spans="1:4">
      <c r="A55" s="1010" t="s">
        <v>490</v>
      </c>
      <c r="B55" s="1011"/>
      <c r="C55" s="445" t="s">
        <v>429</v>
      </c>
      <c r="D55" s="446" t="s">
        <v>433</v>
      </c>
    </row>
    <row r="56" spans="1:4">
      <c r="A56" s="518"/>
      <c r="B56" s="496" t="s">
        <v>105</v>
      </c>
      <c r="C56" s="497"/>
      <c r="D56" s="498"/>
    </row>
    <row r="57" spans="1:4">
      <c r="A57" s="499">
        <v>711</v>
      </c>
      <c r="B57" s="500" t="s">
        <v>106</v>
      </c>
      <c r="C57" s="501">
        <f ca="1">-SoldeN("711")</f>
        <v>0</v>
      </c>
      <c r="D57" s="502">
        <f ca="1">-SoldeN_1("711")</f>
        <v>0</v>
      </c>
    </row>
    <row r="58" spans="1:4">
      <c r="A58" s="499"/>
      <c r="B58" s="503" t="s">
        <v>53</v>
      </c>
      <c r="C58" s="504">
        <f ca="1">-SoldeN("7111")</f>
        <v>0</v>
      </c>
      <c r="D58" s="505">
        <f ca="1">-SoldeN_1("7111")</f>
        <v>0</v>
      </c>
    </row>
    <row r="59" spans="1:4">
      <c r="A59" s="499"/>
      <c r="B59" s="503" t="s">
        <v>54</v>
      </c>
      <c r="C59" s="504">
        <f ca="1">-SoldeN("7113")</f>
        <v>0</v>
      </c>
      <c r="D59" s="505">
        <f ca="1">-SoldeN_1("7113")</f>
        <v>0</v>
      </c>
    </row>
    <row r="60" spans="1:4">
      <c r="A60" s="499"/>
      <c r="B60" s="503" t="s">
        <v>55</v>
      </c>
      <c r="C60" s="515">
        <f ca="1">+C61-SUM(C58:C59)</f>
        <v>0</v>
      </c>
      <c r="D60" s="516">
        <f ca="1">+D61-SUM(D58:D59)</f>
        <v>0</v>
      </c>
    </row>
    <row r="61" spans="1:4">
      <c r="A61" s="499"/>
      <c r="B61" s="509" t="s">
        <v>370</v>
      </c>
      <c r="C61" s="510">
        <f ca="1">-SoldeN("711")</f>
        <v>0</v>
      </c>
      <c r="D61" s="511">
        <f ca="1">-SoldeN_1("711")</f>
        <v>0</v>
      </c>
    </row>
    <row r="62" spans="1:4">
      <c r="A62" s="499">
        <v>712</v>
      </c>
      <c r="B62" s="519" t="s">
        <v>56</v>
      </c>
      <c r="C62" s="513">
        <f ca="1">-SoldeN("712")</f>
        <v>264857.67</v>
      </c>
      <c r="D62" s="514">
        <f ca="1">-SoldeN_1("712")</f>
        <v>238371.9</v>
      </c>
    </row>
    <row r="63" spans="1:4">
      <c r="A63" s="499"/>
      <c r="B63" s="503" t="s">
        <v>57</v>
      </c>
      <c r="C63" s="504">
        <f ca="1">-SoldeN("7121")</f>
        <v>1500</v>
      </c>
      <c r="D63" s="505">
        <f ca="1">-SoldeN_1("7121")</f>
        <v>1350</v>
      </c>
    </row>
    <row r="64" spans="1:4">
      <c r="A64" s="499"/>
      <c r="B64" s="503" t="s">
        <v>348</v>
      </c>
      <c r="C64" s="504">
        <f ca="1">-SoldeN("7122")</f>
        <v>0</v>
      </c>
      <c r="D64" s="505">
        <f ca="1">-SoldeN_1("7122")</f>
        <v>0</v>
      </c>
    </row>
    <row r="65" spans="1:4">
      <c r="A65" s="499"/>
      <c r="B65" s="503" t="s">
        <v>58</v>
      </c>
      <c r="C65" s="504">
        <f ca="1">-SoldeN("7124")</f>
        <v>263357.67</v>
      </c>
      <c r="D65" s="505">
        <f ca="1">-SoldeN_1("7124")</f>
        <v>237021.9</v>
      </c>
    </row>
    <row r="66" spans="1:4">
      <c r="A66" s="499"/>
      <c r="B66" s="503" t="s">
        <v>59</v>
      </c>
      <c r="C66" s="504">
        <f ca="1">-SoldeN("7125")</f>
        <v>0</v>
      </c>
      <c r="D66" s="505">
        <f ca="1">-SoldeN_1("7125")</f>
        <v>0</v>
      </c>
    </row>
    <row r="67" spans="1:4">
      <c r="A67" s="499"/>
      <c r="B67" s="503" t="s">
        <v>60</v>
      </c>
      <c r="C67" s="504">
        <f ca="1">-SoldeN("7126")</f>
        <v>0</v>
      </c>
      <c r="D67" s="505">
        <f ca="1">-SoldeN_1("7126")</f>
        <v>0</v>
      </c>
    </row>
    <row r="68" spans="1:4">
      <c r="A68" s="499"/>
      <c r="B68" s="503" t="s">
        <v>61</v>
      </c>
      <c r="C68" s="515">
        <f ca="1">+C69-SUM(C63:C67)</f>
        <v>0</v>
      </c>
      <c r="D68" s="516">
        <f ca="1">+D69-SUM(D63:D67)</f>
        <v>0</v>
      </c>
    </row>
    <row r="69" spans="1:4">
      <c r="A69" s="499"/>
      <c r="B69" s="509" t="s">
        <v>370</v>
      </c>
      <c r="C69" s="510">
        <f ca="1">-SoldeN("712")</f>
        <v>264857.67</v>
      </c>
      <c r="D69" s="511">
        <f ca="1">-SoldeN_1("712")</f>
        <v>238371.9</v>
      </c>
    </row>
    <row r="70" spans="1:4">
      <c r="A70" s="499">
        <v>713</v>
      </c>
      <c r="B70" s="519" t="s">
        <v>62</v>
      </c>
      <c r="C70" s="513">
        <f ca="1">-SoldeN("713")</f>
        <v>70000</v>
      </c>
      <c r="D70" s="514">
        <f ca="1">-SoldeN_1("713")</f>
        <v>63000</v>
      </c>
    </row>
    <row r="71" spans="1:4">
      <c r="A71" s="499"/>
      <c r="B71" s="503" t="s">
        <v>487</v>
      </c>
      <c r="C71" s="504">
        <f ca="1">-SoldeN("7131")</f>
        <v>70000</v>
      </c>
      <c r="D71" s="505">
        <f ca="1">-SoldeN_1("7131")</f>
        <v>63000</v>
      </c>
    </row>
    <row r="72" spans="1:4">
      <c r="A72" s="499"/>
      <c r="B72" s="503" t="s">
        <v>488</v>
      </c>
      <c r="C72" s="504">
        <f ca="1">-SoldeN("7132")</f>
        <v>0</v>
      </c>
      <c r="D72" s="505">
        <f ca="1">-SoldeN_1("7132")</f>
        <v>0</v>
      </c>
    </row>
    <row r="73" spans="1:4">
      <c r="A73" s="499"/>
      <c r="B73" s="503" t="s">
        <v>216</v>
      </c>
      <c r="C73" s="504">
        <f ca="1">-SoldeN("7134")</f>
        <v>0</v>
      </c>
      <c r="D73" s="505">
        <f ca="1">-SoldeN_1("7134")</f>
        <v>0</v>
      </c>
    </row>
    <row r="74" spans="1:4">
      <c r="A74" s="499"/>
      <c r="B74" s="509" t="s">
        <v>370</v>
      </c>
      <c r="C74" s="510">
        <f ca="1">SUM(C71:C73)</f>
        <v>70000</v>
      </c>
      <c r="D74" s="511">
        <f ca="1">SUM(D71:D73)</f>
        <v>63000</v>
      </c>
    </row>
    <row r="75" spans="1:4">
      <c r="A75" s="499">
        <v>718</v>
      </c>
      <c r="B75" s="519" t="s">
        <v>112</v>
      </c>
      <c r="C75" s="513">
        <f ca="1">-SoldeN("718")</f>
        <v>3.62</v>
      </c>
      <c r="D75" s="514">
        <f ca="1">-SoldeN_1("718")</f>
        <v>3.26</v>
      </c>
    </row>
    <row r="76" spans="1:4">
      <c r="A76" s="499"/>
      <c r="B76" s="503" t="s">
        <v>63</v>
      </c>
      <c r="C76" s="504">
        <f ca="1">-SoldeN("7181")</f>
        <v>0</v>
      </c>
      <c r="D76" s="505">
        <f ca="1">-SoldeN_1("7181")</f>
        <v>0</v>
      </c>
    </row>
    <row r="77" spans="1:4">
      <c r="A77" s="499"/>
      <c r="B77" s="503" t="s">
        <v>64</v>
      </c>
      <c r="C77" s="515">
        <f ca="1">+C78-C76</f>
        <v>3.62</v>
      </c>
      <c r="D77" s="516">
        <f ca="1">+D78-D76</f>
        <v>3.26</v>
      </c>
    </row>
    <row r="78" spans="1:4">
      <c r="A78" s="499"/>
      <c r="B78" s="509" t="s">
        <v>370</v>
      </c>
      <c r="C78" s="510">
        <f ca="1">-SoldeN("718")</f>
        <v>3.62</v>
      </c>
      <c r="D78" s="511">
        <f ca="1">-SoldeN_1("718")</f>
        <v>3.26</v>
      </c>
    </row>
    <row r="79" spans="1:4">
      <c r="A79" s="499">
        <v>719</v>
      </c>
      <c r="B79" s="519" t="s">
        <v>65</v>
      </c>
      <c r="C79" s="513">
        <f ca="1">-SoldeN("719")</f>
        <v>0</v>
      </c>
      <c r="D79" s="514">
        <f ca="1">-SoldeN_1("719")</f>
        <v>0</v>
      </c>
    </row>
    <row r="80" spans="1:4">
      <c r="A80" s="499"/>
      <c r="B80" s="503" t="s">
        <v>66</v>
      </c>
      <c r="C80" s="504">
        <f ca="1">+C82-C81</f>
        <v>0</v>
      </c>
      <c r="D80" s="505">
        <f ca="1">+D82-D81</f>
        <v>0</v>
      </c>
    </row>
    <row r="81" spans="1:4">
      <c r="A81" s="499"/>
      <c r="B81" s="503" t="s">
        <v>67</v>
      </c>
      <c r="C81" s="504">
        <f ca="1">-SoldeN("7197")</f>
        <v>0</v>
      </c>
      <c r="D81" s="505">
        <f ca="1">-SoldeN_1("7197")</f>
        <v>0</v>
      </c>
    </row>
    <row r="82" spans="1:4">
      <c r="A82" s="517"/>
      <c r="B82" s="509" t="s">
        <v>370</v>
      </c>
      <c r="C82" s="510">
        <f ca="1">-SoldeN("719")</f>
        <v>0</v>
      </c>
      <c r="D82" s="511">
        <f ca="1">-SoldeN_1("719")</f>
        <v>0</v>
      </c>
    </row>
    <row r="83" spans="1:4">
      <c r="A83" s="499"/>
      <c r="B83" s="496" t="s">
        <v>341</v>
      </c>
      <c r="C83" s="497"/>
      <c r="D83" s="498"/>
    </row>
    <row r="84" spans="1:4">
      <c r="A84" s="499">
        <v>738</v>
      </c>
      <c r="B84" s="500" t="s">
        <v>343</v>
      </c>
      <c r="C84" s="513">
        <f ca="1">-SoldeN("738")</f>
        <v>0</v>
      </c>
      <c r="D84" s="514">
        <f ca="1">-SoldeN_1("738")</f>
        <v>0</v>
      </c>
    </row>
    <row r="85" spans="1:4">
      <c r="A85" s="499"/>
      <c r="B85" s="503" t="s">
        <v>68</v>
      </c>
      <c r="C85" s="504">
        <f ca="1">-SoldeN("7381")</f>
        <v>0</v>
      </c>
      <c r="D85" s="505">
        <f ca="1">-SoldeN_1("7381")</f>
        <v>0</v>
      </c>
    </row>
    <row r="86" spans="1:4">
      <c r="A86" s="499"/>
      <c r="B86" s="503" t="s">
        <v>36</v>
      </c>
      <c r="C86" s="504">
        <f ca="1">-SoldeN("7383")</f>
        <v>0</v>
      </c>
      <c r="D86" s="505">
        <f ca="1">-SoldeN_1("7383")</f>
        <v>0</v>
      </c>
    </row>
    <row r="87" spans="1:4">
      <c r="A87" s="499"/>
      <c r="B87" s="503" t="s">
        <v>37</v>
      </c>
      <c r="C87" s="504">
        <f ca="1">-SoldeN("7385")</f>
        <v>0</v>
      </c>
      <c r="D87" s="505">
        <f ca="1">-SoldeN_1("7385")</f>
        <v>0</v>
      </c>
    </row>
    <row r="88" spans="1:4">
      <c r="A88" s="499"/>
      <c r="B88" s="503" t="s">
        <v>268</v>
      </c>
      <c r="C88" s="504">
        <f ca="1">+C89-SUM(C85:C87)</f>
        <v>0</v>
      </c>
      <c r="D88" s="505">
        <f ca="1">+D89-SUM(D85:D87)</f>
        <v>0</v>
      </c>
    </row>
    <row r="89" spans="1:4">
      <c r="A89" s="517"/>
      <c r="B89" s="509" t="s">
        <v>370</v>
      </c>
      <c r="C89" s="510">
        <f ca="1">-SoldeN("738")</f>
        <v>0</v>
      </c>
      <c r="D89" s="511">
        <f ca="1">-SoldeN_1("738")</f>
        <v>0</v>
      </c>
    </row>
  </sheetData>
  <sheetProtection formatCells="0" formatColumns="0" formatRows="0"/>
  <dataConsolidate/>
  <mergeCells count="4">
    <mergeCell ref="A1:D1"/>
    <mergeCell ref="A3:B3"/>
    <mergeCell ref="A53:D53"/>
    <mergeCell ref="A55:B55"/>
  </mergeCells>
  <phoneticPr fontId="0" type="noConversion"/>
  <printOptions horizontalCentered="1"/>
  <pageMargins left="0.59055118110236227" right="0" top="0.78740157480314965" bottom="0" header="0.59055118110236227" footer="0.19685039370078741"/>
  <pageSetup paperSize="9" orientation="portrait" r:id="rId1"/>
  <headerFooter alignWithMargins="0">
    <oddHeader>&amp;R&amp;"Tahoma,Gras"&amp;8Tableau &amp;A (&amp;P/&amp;N)</oddHeader>
    <oddFooter>&amp;L&amp;3www.xedis.ma</oddFooter>
  </headerFooter>
  <rowBreaks count="1" manualBreakCount="1">
    <brk id="5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026" r:id="rId5" name="CADRE_NEANT_T06_BOUTTON">
              <controlPr defaultSize="0" print="0" autoFill="0" autoLine="0" autoPict="0" macro="[0]!Cadre_Neant_Tab06">
                <anchor>
                  <from>
                    <xdr:col>3</xdr:col>
                    <xdr:colOff>426720</xdr:colOff>
                    <xdr:row>0</xdr:row>
                    <xdr:rowOff>0</xdr:rowOff>
                  </from>
                  <to>
                    <xdr:col>3</xdr:col>
                    <xdr:colOff>1066800</xdr:colOff>
                    <xdr:row>0</xdr:row>
                    <xdr:rowOff>220980</xdr:rowOff>
                  </to>
                </anchor>
              </controlPr>
            </control>
          </mc:Choice>
        </mc:AlternateContent>
        <mc:AlternateContent xmlns:mc="http://schemas.openxmlformats.org/markup-compatibility/2006">
          <mc:Choice Requires="x14">
            <control shapeId="1027" r:id="rId6" name="GoToLast">
              <controlPr defaultSize="0" print="0" autoFill="0" autoPict="0" macro="[0]!GoToLastSelection">
                <anchor moveWithCells="1" sizeWithCells="1">
                  <from>
                    <xdr:col>0</xdr:col>
                    <xdr:colOff>373380</xdr:colOff>
                    <xdr:row>0</xdr:row>
                    <xdr:rowOff>0</xdr:rowOff>
                  </from>
                  <to>
                    <xdr:col>1</xdr:col>
                    <xdr:colOff>228600</xdr:colOff>
                    <xdr:row>0</xdr:row>
                    <xdr:rowOff>228600</xdr:rowOff>
                  </to>
                </anchor>
              </controlPr>
            </control>
          </mc:Choice>
        </mc:AlternateContent>
        <mc:AlternateContent xmlns:mc="http://schemas.openxmlformats.org/markup-compatibility/2006">
          <mc:Choice Requires="x14">
            <control shapeId="1029" r:id="rId7" name="Button 5">
              <controlPr defaultSize="0" print="0" autoFill="0" autoPict="0" macro="[0]!GoToMain">
                <anchor>
                  <from>
                    <xdr:col>0</xdr:col>
                    <xdr:colOff>0</xdr:colOff>
                    <xdr:row>52</xdr:row>
                    <xdr:rowOff>0</xdr:rowOff>
                  </from>
                  <to>
                    <xdr:col>0</xdr:col>
                    <xdr:colOff>365760</xdr:colOff>
                    <xdr:row>52</xdr:row>
                    <xdr:rowOff>228600</xdr:rowOff>
                  </to>
                </anchor>
              </controlPr>
            </control>
          </mc:Choice>
        </mc:AlternateContent>
        <mc:AlternateContent xmlns:mc="http://schemas.openxmlformats.org/markup-compatibility/2006">
          <mc:Choice Requires="x14">
            <control shapeId="1030" r:id="rId8" name="Button 6">
              <controlPr defaultSize="0" print="0" autoFill="0" autoPict="0" macro="[0]!GoToLastSelection">
                <anchor moveWithCells="1" sizeWithCells="1">
                  <from>
                    <xdr:col>0</xdr:col>
                    <xdr:colOff>373380</xdr:colOff>
                    <xdr:row>52</xdr:row>
                    <xdr:rowOff>0</xdr:rowOff>
                  </from>
                  <to>
                    <xdr:col>1</xdr:col>
                    <xdr:colOff>228600</xdr:colOff>
                    <xdr:row>52</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07"/>
  <dimension ref="A1:K24"/>
  <sheetViews>
    <sheetView workbookViewId="0">
      <selection sqref="A1:K1"/>
    </sheetView>
  </sheetViews>
  <sheetFormatPr baseColWidth="10" defaultColWidth="11.44140625" defaultRowHeight="13.8"/>
  <cols>
    <col min="1" max="1" width="20" style="3" customWidth="1"/>
    <col min="2" max="2" width="10.6640625" style="3" customWidth="1"/>
    <col min="3" max="3" width="8.6640625" style="3" customWidth="1"/>
    <col min="4" max="4" width="13.6640625" style="3" customWidth="1"/>
    <col min="5" max="5" width="8.6640625" style="3" customWidth="1"/>
    <col min="6" max="11" width="13.6640625" style="3" customWidth="1"/>
    <col min="12" max="16384" width="11.44140625" style="3"/>
  </cols>
  <sheetData>
    <row r="1" spans="1:11" ht="18.600000000000001" thickBot="1">
      <c r="A1" s="949" t="s">
        <v>0</v>
      </c>
      <c r="B1" s="950"/>
      <c r="C1" s="950"/>
      <c r="D1" s="950"/>
      <c r="E1" s="950"/>
      <c r="F1" s="950"/>
      <c r="G1" s="950"/>
      <c r="H1" s="950"/>
      <c r="I1" s="950"/>
      <c r="J1" s="950"/>
      <c r="K1" s="951"/>
    </row>
    <row r="2" spans="1:11">
      <c r="A2" s="1" t="str">
        <f>CONCATENATE(PagePrincipale!$F$9)</f>
        <v>D3 Soft SARL AU</v>
      </c>
      <c r="J2" s="5"/>
      <c r="K2" s="2" t="str">
        <f ca="1">PeriodeArrete_DuAu()</f>
        <v>Du 1/1/2017 Au 31/12/2017</v>
      </c>
    </row>
    <row r="3" spans="1:11" ht="12.75" customHeight="1">
      <c r="A3" s="1012" t="s">
        <v>1</v>
      </c>
      <c r="B3" s="1012" t="s">
        <v>2</v>
      </c>
      <c r="C3" s="1012" t="s">
        <v>3</v>
      </c>
      <c r="D3" s="1012" t="s">
        <v>167</v>
      </c>
      <c r="E3" s="1012" t="s">
        <v>168</v>
      </c>
      <c r="F3" s="1012" t="s">
        <v>169</v>
      </c>
      <c r="G3" s="1012" t="s">
        <v>170</v>
      </c>
      <c r="H3" s="1014" t="s">
        <v>171</v>
      </c>
      <c r="I3" s="1015"/>
      <c r="J3" s="1012" t="s">
        <v>172</v>
      </c>
      <c r="K3" s="1012" t="s">
        <v>173</v>
      </c>
    </row>
    <row r="4" spans="1:11" ht="42" customHeight="1">
      <c r="A4" s="1013"/>
      <c r="B4" s="1013"/>
      <c r="C4" s="1013"/>
      <c r="D4" s="1013"/>
      <c r="E4" s="1013"/>
      <c r="F4" s="1013"/>
      <c r="G4" s="1013"/>
      <c r="H4" s="68" t="s">
        <v>174</v>
      </c>
      <c r="I4" s="69" t="s">
        <v>175</v>
      </c>
      <c r="J4" s="1013"/>
      <c r="K4" s="1013"/>
    </row>
    <row r="5" spans="1:11">
      <c r="A5" s="7" t="s">
        <v>408</v>
      </c>
      <c r="B5" s="7" t="s">
        <v>409</v>
      </c>
      <c r="C5" s="7" t="s">
        <v>139</v>
      </c>
      <c r="D5" s="7" t="s">
        <v>411</v>
      </c>
      <c r="E5" s="7" t="s">
        <v>7</v>
      </c>
      <c r="F5" s="7" t="s">
        <v>511</v>
      </c>
      <c r="G5" s="7" t="s">
        <v>512</v>
      </c>
      <c r="H5" s="67" t="s">
        <v>176</v>
      </c>
      <c r="I5" s="7" t="s">
        <v>177</v>
      </c>
      <c r="J5" s="7" t="s">
        <v>371</v>
      </c>
      <c r="K5" s="7" t="s">
        <v>372</v>
      </c>
    </row>
    <row r="6" spans="1:11" s="201" customFormat="1">
      <c r="A6" s="198"/>
      <c r="B6" s="199"/>
      <c r="C6" s="198"/>
      <c r="D6" s="200"/>
      <c r="E6" s="198"/>
      <c r="F6" s="200"/>
      <c r="G6" s="200"/>
      <c r="H6" s="200"/>
      <c r="I6" s="200"/>
      <c r="J6" s="200"/>
      <c r="K6" s="200"/>
    </row>
    <row r="7" spans="1:11" s="201" customFormat="1">
      <c r="A7" s="198"/>
      <c r="B7" s="199"/>
      <c r="C7" s="198"/>
      <c r="D7" s="200"/>
      <c r="E7" s="198"/>
      <c r="F7" s="200"/>
      <c r="G7" s="200"/>
      <c r="H7" s="200"/>
      <c r="I7" s="200"/>
      <c r="J7" s="200"/>
      <c r="K7" s="200"/>
    </row>
    <row r="8" spans="1:11" s="201" customFormat="1">
      <c r="A8" s="198"/>
      <c r="B8" s="199"/>
      <c r="C8" s="198"/>
      <c r="D8" s="200"/>
      <c r="E8" s="198"/>
      <c r="F8" s="200"/>
      <c r="G8" s="200"/>
      <c r="H8" s="200"/>
      <c r="I8" s="200"/>
      <c r="J8" s="200"/>
      <c r="K8" s="200"/>
    </row>
    <row r="9" spans="1:11" s="201" customFormat="1">
      <c r="A9" s="198"/>
      <c r="B9" s="199"/>
      <c r="C9" s="198"/>
      <c r="D9" s="200"/>
      <c r="E9" s="198"/>
      <c r="F9" s="200"/>
      <c r="G9" s="200"/>
      <c r="H9" s="200"/>
      <c r="I9" s="200"/>
      <c r="J9" s="200"/>
      <c r="K9" s="200"/>
    </row>
    <row r="10" spans="1:11" s="201" customFormat="1">
      <c r="A10" s="198"/>
      <c r="B10" s="199"/>
      <c r="C10" s="198"/>
      <c r="D10" s="200"/>
      <c r="E10" s="198"/>
      <c r="F10" s="200"/>
      <c r="G10" s="200"/>
      <c r="H10" s="200"/>
      <c r="I10" s="200"/>
      <c r="J10" s="200"/>
      <c r="K10" s="200"/>
    </row>
    <row r="11" spans="1:11" s="201" customFormat="1">
      <c r="A11" s="198"/>
      <c r="B11" s="199"/>
      <c r="C11" s="198"/>
      <c r="D11" s="200"/>
      <c r="E11" s="198"/>
      <c r="F11" s="200"/>
      <c r="G11" s="200"/>
      <c r="H11" s="200"/>
      <c r="I11" s="200"/>
      <c r="J11" s="200"/>
      <c r="K11" s="200"/>
    </row>
    <row r="12" spans="1:11" s="201" customFormat="1">
      <c r="A12" s="198"/>
      <c r="B12" s="199"/>
      <c r="C12" s="198"/>
      <c r="D12" s="200"/>
      <c r="E12" s="198"/>
      <c r="F12" s="200"/>
      <c r="G12" s="200"/>
      <c r="H12" s="200"/>
      <c r="I12" s="200"/>
      <c r="J12" s="200"/>
      <c r="K12" s="200"/>
    </row>
    <row r="13" spans="1:11" s="201" customFormat="1">
      <c r="A13" s="198"/>
      <c r="B13" s="199"/>
      <c r="C13" s="198"/>
      <c r="D13" s="200"/>
      <c r="E13" s="198"/>
      <c r="F13" s="200"/>
      <c r="G13" s="200"/>
      <c r="H13" s="200"/>
      <c r="I13" s="200"/>
      <c r="J13" s="200"/>
      <c r="K13" s="200"/>
    </row>
    <row r="14" spans="1:11" s="201" customFormat="1">
      <c r="A14" s="198"/>
      <c r="B14" s="199"/>
      <c r="C14" s="198"/>
      <c r="D14" s="200"/>
      <c r="E14" s="198"/>
      <c r="F14" s="200"/>
      <c r="G14" s="200"/>
      <c r="H14" s="200"/>
      <c r="I14" s="200"/>
      <c r="J14" s="200"/>
      <c r="K14" s="200"/>
    </row>
    <row r="15" spans="1:11" s="201" customFormat="1">
      <c r="A15" s="198"/>
      <c r="B15" s="199"/>
      <c r="C15" s="198"/>
      <c r="D15" s="200"/>
      <c r="E15" s="198"/>
      <c r="F15" s="200"/>
      <c r="G15" s="200"/>
      <c r="H15" s="200"/>
      <c r="I15" s="200"/>
      <c r="J15" s="200"/>
      <c r="K15" s="200"/>
    </row>
    <row r="16" spans="1:11" s="201" customFormat="1">
      <c r="A16" s="198"/>
      <c r="B16" s="199"/>
      <c r="C16" s="198"/>
      <c r="D16" s="200"/>
      <c r="E16" s="198"/>
      <c r="F16" s="200"/>
      <c r="G16" s="200"/>
      <c r="H16" s="200"/>
      <c r="I16" s="200"/>
      <c r="J16" s="200"/>
      <c r="K16" s="200"/>
    </row>
    <row r="17" spans="1:11" s="201" customFormat="1">
      <c r="A17" s="198"/>
      <c r="B17" s="199"/>
      <c r="C17" s="198"/>
      <c r="D17" s="200"/>
      <c r="E17" s="198"/>
      <c r="F17" s="200"/>
      <c r="G17" s="200"/>
      <c r="H17" s="200"/>
      <c r="I17" s="200"/>
      <c r="J17" s="200"/>
      <c r="K17" s="200"/>
    </row>
    <row r="18" spans="1:11" s="201" customFormat="1">
      <c r="A18" s="198"/>
      <c r="B18" s="199"/>
      <c r="C18" s="198"/>
      <c r="D18" s="200"/>
      <c r="E18" s="198"/>
      <c r="F18" s="200"/>
      <c r="G18" s="200"/>
      <c r="H18" s="200"/>
      <c r="I18" s="200"/>
      <c r="J18" s="200"/>
      <c r="K18" s="200"/>
    </row>
    <row r="19" spans="1:11" s="201" customFormat="1">
      <c r="A19" s="198"/>
      <c r="B19" s="199"/>
      <c r="C19" s="198"/>
      <c r="D19" s="200"/>
      <c r="E19" s="198"/>
      <c r="F19" s="200"/>
      <c r="G19" s="200"/>
      <c r="H19" s="200"/>
      <c r="I19" s="200"/>
      <c r="J19" s="200"/>
      <c r="K19" s="200"/>
    </row>
    <row r="20" spans="1:11" s="201" customFormat="1">
      <c r="A20" s="198"/>
      <c r="B20" s="199"/>
      <c r="C20" s="198"/>
      <c r="D20" s="200"/>
      <c r="E20" s="198"/>
      <c r="F20" s="200"/>
      <c r="G20" s="200"/>
      <c r="H20" s="200"/>
      <c r="I20" s="200"/>
      <c r="J20" s="200"/>
      <c r="K20" s="200"/>
    </row>
    <row r="21" spans="1:11" s="201" customFormat="1">
      <c r="A21" s="198"/>
      <c r="B21" s="199"/>
      <c r="C21" s="198"/>
      <c r="D21" s="200"/>
      <c r="E21" s="198"/>
      <c r="F21" s="200"/>
      <c r="G21" s="200"/>
      <c r="H21" s="200"/>
      <c r="I21" s="200"/>
      <c r="J21" s="200"/>
      <c r="K21" s="200"/>
    </row>
    <row r="22" spans="1:11" s="201" customFormat="1">
      <c r="A22" s="198"/>
      <c r="B22" s="199"/>
      <c r="C22" s="198"/>
      <c r="D22" s="200"/>
      <c r="E22" s="198"/>
      <c r="F22" s="200"/>
      <c r="G22" s="200"/>
      <c r="H22" s="200"/>
      <c r="I22" s="200"/>
      <c r="J22" s="200"/>
      <c r="K22" s="200"/>
    </row>
    <row r="23" spans="1:11" s="201" customFormat="1">
      <c r="A23" s="198"/>
      <c r="B23" s="199"/>
      <c r="C23" s="198"/>
      <c r="D23" s="200"/>
      <c r="E23" s="198"/>
      <c r="F23" s="200"/>
      <c r="G23" s="200"/>
      <c r="H23" s="200"/>
      <c r="I23" s="200"/>
      <c r="J23" s="200"/>
      <c r="K23" s="200"/>
    </row>
    <row r="24" spans="1:11">
      <c r="A24" s="195" t="s">
        <v>370</v>
      </c>
      <c r="B24" s="196"/>
      <c r="C24" s="197"/>
      <c r="D24" s="10">
        <f ca="1">SUM(INDIRECT(ADDRESS(ROW(D$5)+1,COLUMN(),4,TRUE)&amp;":"&amp;ADDRESS(ROW()-1,COLUMN(),4,TRUE)))</f>
        <v>0</v>
      </c>
      <c r="E24" s="70" t="s">
        <v>104</v>
      </c>
      <c r="F24" s="10">
        <f ca="1">SUM(INDIRECT(ADDRESS(ROW(F$5)+1,COLUMN(),4,TRUE)&amp;":"&amp;ADDRESS(ROW()-1,COLUMN(),4,TRUE)))</f>
        <v>0</v>
      </c>
      <c r="G24" s="10">
        <f ca="1">SUM(INDIRECT(ADDRESS(ROW(G$5)+1,COLUMN(),4,TRUE)&amp;":"&amp;ADDRESS(ROW()-1,COLUMN(),4,TRUE)))</f>
        <v>0</v>
      </c>
      <c r="H24" s="10">
        <f ca="1">SUM(INDIRECT(ADDRESS(ROW(H$5)+1,COLUMN(),4,TRUE)&amp;":"&amp;ADDRESS(ROW()-1,COLUMN(),4,TRUE)))</f>
        <v>0</v>
      </c>
      <c r="I24" s="10">
        <f ca="1">SUM(INDIRECT(ADDRESS(ROW(I$5)+1,COLUMN(),4,TRUE)&amp;":"&amp;ADDRESS(ROW()-1,COLUMN(),4,TRUE)))</f>
        <v>0</v>
      </c>
      <c r="J24" s="10">
        <f ca="1">SUM(INDIRECT(ADDRESS(ROW(J$5)+1,COLUMN(),4,TRUE)&amp;":"&amp;ADDRESS(ROW()-1,COLUMN(),4,TRUE)))</f>
        <v>0</v>
      </c>
      <c r="K24" s="70" t="s">
        <v>104</v>
      </c>
    </row>
  </sheetData>
  <sheetProtection formatCells="0" insertRows="0" deleteRows="0"/>
  <mergeCells count="11">
    <mergeCell ref="A1:K1"/>
    <mergeCell ref="A3:A4"/>
    <mergeCell ref="B3:B4"/>
    <mergeCell ref="C3:C4"/>
    <mergeCell ref="D3:D4"/>
    <mergeCell ref="E3:E4"/>
    <mergeCell ref="F3:F4"/>
    <mergeCell ref="H3:I3"/>
    <mergeCell ref="J3:J4"/>
    <mergeCell ref="K3:K4"/>
    <mergeCell ref="G3:G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0244" r:id="rId5" name="CADRE_NEANT_T07_BOUTTON">
              <controlPr defaultSize="0" print="0" autoFill="0" autoLine="0" autoPict="0" macro="[0]!Cadre_Neant_Tab07">
                <anchor moveWithCells="1">
                  <from>
                    <xdr:col>10</xdr:col>
                    <xdr:colOff>297180</xdr:colOff>
                    <xdr:row>0</xdr:row>
                    <xdr:rowOff>7620</xdr:rowOff>
                  </from>
                  <to>
                    <xdr:col>10</xdr:col>
                    <xdr:colOff>876300</xdr:colOff>
                    <xdr:row>0</xdr:row>
                    <xdr:rowOff>228600</xdr:rowOff>
                  </to>
                </anchor>
              </controlPr>
            </control>
          </mc:Choice>
        </mc:AlternateContent>
        <mc:AlternateContent xmlns:mc="http://schemas.openxmlformats.org/markup-compatibility/2006">
          <mc:Choice Requires="x14">
            <control shapeId="1024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08">
    <outlinePr summaryBelow="0"/>
  </sheetPr>
  <dimension ref="A1:E26"/>
  <sheetViews>
    <sheetView workbookViewId="0">
      <selection activeCell="B25" sqref="B25"/>
    </sheetView>
  </sheetViews>
  <sheetFormatPr baseColWidth="10" defaultColWidth="11.44140625" defaultRowHeight="13.8" outlineLevelRow="1"/>
  <cols>
    <col min="1" max="1" width="41.33203125" style="3" customWidth="1"/>
    <col min="2" max="5" width="16.6640625" style="3" customWidth="1"/>
    <col min="6" max="16384" width="11.44140625" style="3"/>
  </cols>
  <sheetData>
    <row r="1" spans="1:5" ht="18.600000000000001" thickBot="1">
      <c r="A1" s="949" t="s">
        <v>178</v>
      </c>
      <c r="B1" s="950"/>
      <c r="C1" s="950"/>
      <c r="D1" s="950"/>
      <c r="E1" s="951"/>
    </row>
    <row r="2" spans="1:5">
      <c r="A2" s="1" t="str">
        <f>CONCATENATE(PagePrincipale!$F$9)</f>
        <v>D3 Soft SARL AU</v>
      </c>
      <c r="E2" s="2" t="str">
        <f ca="1">PeriodeArrete_DuAu()</f>
        <v>Du 1/1/2017 Au 31/12/2017</v>
      </c>
    </row>
    <row r="3" spans="1:5" ht="54.75" customHeight="1">
      <c r="A3" s="1002" t="s">
        <v>460</v>
      </c>
      <c r="B3" s="6" t="s">
        <v>179</v>
      </c>
      <c r="C3" s="6" t="s">
        <v>387</v>
      </c>
      <c r="D3" s="6" t="s">
        <v>388</v>
      </c>
      <c r="E3" s="6" t="s">
        <v>389</v>
      </c>
    </row>
    <row r="4" spans="1:5">
      <c r="A4" s="1002"/>
      <c r="B4" s="7" t="s">
        <v>408</v>
      </c>
      <c r="C4" s="7" t="s">
        <v>409</v>
      </c>
      <c r="D4" s="7" t="s">
        <v>139</v>
      </c>
      <c r="E4" s="7" t="s">
        <v>390</v>
      </c>
    </row>
    <row r="5" spans="1:5">
      <c r="A5" s="285" t="s">
        <v>470</v>
      </c>
      <c r="B5" s="103">
        <f ca="1">SUM(B6:B11)</f>
        <v>4105.6000000000004</v>
      </c>
      <c r="C5" s="10">
        <f ca="1">SUM(C6:C11)</f>
        <v>0</v>
      </c>
      <c r="D5" s="10">
        <f>SUM(D6:D11)</f>
        <v>0</v>
      </c>
      <c r="E5" s="10">
        <f ca="1">SUM(E6:E11)</f>
        <v>4105.6000000000004</v>
      </c>
    </row>
    <row r="6" spans="1:5">
      <c r="A6" s="294" t="s">
        <v>471</v>
      </c>
      <c r="B6" s="94">
        <f ca="1">-SoldeN_1("2811")</f>
        <v>4105.6000000000004</v>
      </c>
      <c r="C6" s="94">
        <f ca="1">E6-B6+D6</f>
        <v>0</v>
      </c>
      <c r="D6" s="227"/>
      <c r="E6" s="94">
        <f ca="1">-SoldeN("2811")</f>
        <v>4105.6000000000004</v>
      </c>
    </row>
    <row r="7" spans="1:5">
      <c r="A7" s="295" t="s">
        <v>472</v>
      </c>
      <c r="B7" s="8">
        <f ca="1">-SoldeN_1("2812")</f>
        <v>0</v>
      </c>
      <c r="C7" s="8">
        <f ca="1">E7-B7+D7</f>
        <v>0</v>
      </c>
      <c r="D7" s="228"/>
      <c r="E7" s="8">
        <f ca="1">-SoldeN("2812")</f>
        <v>0</v>
      </c>
    </row>
    <row r="8" spans="1:5" collapsed="1">
      <c r="A8" s="295" t="s">
        <v>473</v>
      </c>
      <c r="B8" s="8">
        <f ca="1">-SoldeN_1("2813")</f>
        <v>0</v>
      </c>
      <c r="C8" s="8">
        <f ca="1">E8-B8+D8</f>
        <v>0</v>
      </c>
      <c r="D8" s="228"/>
      <c r="E8" s="8">
        <f ca="1">-SoldeN("2813")</f>
        <v>0</v>
      </c>
    </row>
    <row r="9" spans="1:5" hidden="1" outlineLevel="1">
      <c r="A9" s="226"/>
      <c r="B9" s="228"/>
      <c r="C9" s="228"/>
      <c r="D9" s="228"/>
      <c r="E9" s="228"/>
    </row>
    <row r="10" spans="1:5" hidden="1" outlineLevel="1">
      <c r="A10" s="226"/>
      <c r="B10" s="228"/>
      <c r="C10" s="228"/>
      <c r="D10" s="228"/>
      <c r="E10" s="228"/>
    </row>
    <row r="11" spans="1:5" hidden="1" outlineLevel="1">
      <c r="A11" s="226"/>
      <c r="B11" s="228"/>
      <c r="C11" s="228"/>
      <c r="D11" s="228"/>
      <c r="E11" s="228"/>
    </row>
    <row r="12" spans="1:5">
      <c r="A12" s="288" t="s">
        <v>474</v>
      </c>
      <c r="B12" s="10">
        <f ca="1">SUM(B13:B16)</f>
        <v>28250</v>
      </c>
      <c r="C12" s="10">
        <f ca="1">SUM(C13:C16)</f>
        <v>0</v>
      </c>
      <c r="D12" s="10">
        <f>SUM(D13:D16)</f>
        <v>0</v>
      </c>
      <c r="E12" s="10">
        <f ca="1">SUM(E13:E16)</f>
        <v>28250</v>
      </c>
    </row>
    <row r="13" spans="1:5">
      <c r="A13" s="294" t="s">
        <v>475</v>
      </c>
      <c r="B13" s="94">
        <f ca="1">-SoldeN_1("2821")</f>
        <v>0</v>
      </c>
      <c r="C13" s="94">
        <f ca="1">E13-B13+D13</f>
        <v>0</v>
      </c>
      <c r="D13" s="227"/>
      <c r="E13" s="94">
        <f ca="1">-SoldeN("2821")</f>
        <v>0</v>
      </c>
    </row>
    <row r="14" spans="1:5">
      <c r="A14" s="295" t="s">
        <v>476</v>
      </c>
      <c r="B14" s="8">
        <f ca="1">-SoldeN_1("2822")</f>
        <v>25895.83</v>
      </c>
      <c r="C14" s="8">
        <f ca="1">E14-B14+D14</f>
        <v>0</v>
      </c>
      <c r="D14" s="228"/>
      <c r="E14" s="8">
        <f ca="1">-SoldeN("2822")</f>
        <v>25895.83</v>
      </c>
    </row>
    <row r="15" spans="1:5">
      <c r="A15" s="295" t="s">
        <v>477</v>
      </c>
      <c r="B15" s="8">
        <f ca="1">-SoldeN_1("2823")</f>
        <v>0</v>
      </c>
      <c r="C15" s="8">
        <f ca="1">E15-B15+D15</f>
        <v>0</v>
      </c>
      <c r="D15" s="228"/>
      <c r="E15" s="8">
        <f ca="1">-SoldeN("2823")</f>
        <v>0</v>
      </c>
    </row>
    <row r="16" spans="1:5">
      <c r="A16" s="296" t="s">
        <v>478</v>
      </c>
      <c r="B16" s="9">
        <f ca="1">-SoldeN_1("2828")</f>
        <v>2354.17</v>
      </c>
      <c r="C16" s="9">
        <f ca="1">E16-B16+D16</f>
        <v>0</v>
      </c>
      <c r="D16" s="229"/>
      <c r="E16" s="9">
        <f ca="1">-SoldeN("2828")</f>
        <v>2354.17</v>
      </c>
    </row>
    <row r="17" spans="1:5">
      <c r="A17" s="288" t="s">
        <v>479</v>
      </c>
      <c r="B17" s="10">
        <f ca="1">SUM(B18:B24)</f>
        <v>317256.23</v>
      </c>
      <c r="C17" s="10">
        <f ca="1">SUM(C18:C24)</f>
        <v>7815.4700000000012</v>
      </c>
      <c r="D17" s="10">
        <f>SUM(D18:D24)</f>
        <v>0</v>
      </c>
      <c r="E17" s="10">
        <f ca="1">SUM(E18:E24)</f>
        <v>325071.69999999995</v>
      </c>
    </row>
    <row r="18" spans="1:5">
      <c r="A18" s="294" t="s">
        <v>480</v>
      </c>
      <c r="B18" s="94">
        <f ca="1">-SoldeN_1("2831")</f>
        <v>0</v>
      </c>
      <c r="C18" s="94">
        <f t="shared" ref="C18:C24" ca="1" si="0">E18-B18+D18</f>
        <v>0</v>
      </c>
      <c r="D18" s="227"/>
      <c r="E18" s="94">
        <f ca="1">-SoldeN("2831")</f>
        <v>0</v>
      </c>
    </row>
    <row r="19" spans="1:5">
      <c r="A19" s="295" t="s">
        <v>481</v>
      </c>
      <c r="B19" s="8">
        <f ca="1">-SoldeN_1("2832")</f>
        <v>0</v>
      </c>
      <c r="C19" s="8">
        <f t="shared" ca="1" si="0"/>
        <v>0</v>
      </c>
      <c r="D19" s="228"/>
      <c r="E19" s="8">
        <f ca="1">-SoldeN("2832")</f>
        <v>0</v>
      </c>
    </row>
    <row r="20" spans="1:5">
      <c r="A20" s="295" t="s">
        <v>482</v>
      </c>
      <c r="B20" s="8">
        <f ca="1">-SoldeN_1("2833")</f>
        <v>1795.58</v>
      </c>
      <c r="C20" s="8">
        <f t="shared" ca="1" si="0"/>
        <v>0</v>
      </c>
      <c r="D20" s="228"/>
      <c r="E20" s="8">
        <f ca="1">-SoldeN("2833")</f>
        <v>1795.58</v>
      </c>
    </row>
    <row r="21" spans="1:5">
      <c r="A21" s="295" t="s">
        <v>483</v>
      </c>
      <c r="B21" s="8">
        <f ca="1">-SoldeN_1("2834")</f>
        <v>235873</v>
      </c>
      <c r="C21" s="8">
        <f t="shared" ca="1" si="0"/>
        <v>0</v>
      </c>
      <c r="D21" s="228"/>
      <c r="E21" s="8">
        <f ca="1">-SoldeN("2834")</f>
        <v>235873</v>
      </c>
    </row>
    <row r="22" spans="1:5">
      <c r="A22" s="295" t="s">
        <v>391</v>
      </c>
      <c r="B22" s="8">
        <f ca="1">-SoldeN_1("2835")</f>
        <v>79587.649999999994</v>
      </c>
      <c r="C22" s="8">
        <f t="shared" ca="1" si="0"/>
        <v>7815.4700000000012</v>
      </c>
      <c r="D22" s="228"/>
      <c r="E22" s="8">
        <f ca="1">-SoldeN("2835")</f>
        <v>87403.12</v>
      </c>
    </row>
    <row r="23" spans="1:5">
      <c r="A23" s="295" t="s">
        <v>485</v>
      </c>
      <c r="B23" s="8">
        <f ca="1">-SoldeN_1("2838")</f>
        <v>0</v>
      </c>
      <c r="C23" s="8">
        <f t="shared" ca="1" si="0"/>
        <v>0</v>
      </c>
      <c r="D23" s="228"/>
      <c r="E23" s="8">
        <f ca="1">-SoldeN("2838")</f>
        <v>0</v>
      </c>
    </row>
    <row r="24" spans="1:5">
      <c r="A24" s="296" t="s">
        <v>486</v>
      </c>
      <c r="B24" s="9">
        <f ca="1">-SoldeN_1("2839")</f>
        <v>0</v>
      </c>
      <c r="C24" s="9">
        <f t="shared" ca="1" si="0"/>
        <v>0</v>
      </c>
      <c r="D24" s="229"/>
      <c r="E24" s="9">
        <f ca="1">-SoldeN("2839")</f>
        <v>0</v>
      </c>
    </row>
    <row r="25" spans="1:5">
      <c r="A25" s="290" t="s">
        <v>370</v>
      </c>
      <c r="B25" s="95">
        <f ca="1">SUM(B17,B12,B5)</f>
        <v>349611.82999999996</v>
      </c>
      <c r="C25" s="95">
        <f ca="1">SUM(C17,C12,C5)</f>
        <v>7815.4700000000012</v>
      </c>
      <c r="D25" s="95">
        <f>SUM(D17,D12,D5)</f>
        <v>0</v>
      </c>
      <c r="E25" s="95">
        <f ca="1">SUM(E17,E12,E5)</f>
        <v>357427.29999999993</v>
      </c>
    </row>
    <row r="26" spans="1:5">
      <c r="B26" s="11"/>
      <c r="E26" s="11"/>
    </row>
  </sheetData>
  <sheetProtection formatCells="0"/>
  <autoFilter ref="A4:E25" xr:uid="{00000000-0009-0000-0000-00000B000000}"/>
  <mergeCells count="2">
    <mergeCell ref="A1:E1"/>
    <mergeCell ref="A3:A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1267" r:id="rId5" name="CADRE_NEANT_T08_BOUTTON">
              <controlPr defaultSize="0" print="0" autoFill="0" autoLine="0" autoPict="0" macro="[0]!Cadre_Neant_Tab08">
                <anchor moveWithCells="1">
                  <from>
                    <xdr:col>4</xdr:col>
                    <xdr:colOff>495300</xdr:colOff>
                    <xdr:row>0</xdr:row>
                    <xdr:rowOff>7620</xdr:rowOff>
                  </from>
                  <to>
                    <xdr:col>4</xdr:col>
                    <xdr:colOff>1074420</xdr:colOff>
                    <xdr:row>0</xdr:row>
                    <xdr:rowOff>228600</xdr:rowOff>
                  </to>
                </anchor>
              </controlPr>
            </control>
          </mc:Choice>
        </mc:AlternateContent>
        <mc:AlternateContent xmlns:mc="http://schemas.openxmlformats.org/markup-compatibility/2006">
          <mc:Choice Requires="x14">
            <control shapeId="11268"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09"/>
  <dimension ref="A1:J16"/>
  <sheetViews>
    <sheetView workbookViewId="0">
      <selection sqref="A1:I1"/>
    </sheetView>
  </sheetViews>
  <sheetFormatPr baseColWidth="10" defaultColWidth="11.44140625" defaultRowHeight="13.8"/>
  <cols>
    <col min="1" max="1" width="38" style="3" customWidth="1"/>
    <col min="2" max="9" width="12.6640625" style="3" customWidth="1"/>
    <col min="10" max="10" width="11.44140625" style="523"/>
    <col min="11" max="16384" width="11.44140625" style="3"/>
  </cols>
  <sheetData>
    <row r="1" spans="1:10" ht="18.600000000000001" thickBot="1">
      <c r="A1" s="1016" t="s">
        <v>392</v>
      </c>
      <c r="B1" s="1017"/>
      <c r="C1" s="1017"/>
      <c r="D1" s="1017"/>
      <c r="E1" s="1017"/>
      <c r="F1" s="1017"/>
      <c r="G1" s="1017"/>
      <c r="H1" s="1017"/>
      <c r="I1" s="1018"/>
    </row>
    <row r="2" spans="1:10" s="4" customFormat="1" ht="13.2">
      <c r="A2" s="297" t="str">
        <f>CONCATENATE(PagePrincipale!$F$9)</f>
        <v>D3 Soft SARL AU</v>
      </c>
      <c r="F2" s="297"/>
      <c r="I2" s="301" t="str">
        <f ca="1">PeriodeArrete_DuAu()</f>
        <v>Du 1/1/2017 Au 31/12/2017</v>
      </c>
      <c r="J2" s="524"/>
    </row>
    <row r="3" spans="1:10" ht="12.75" customHeight="1">
      <c r="A3" s="1019" t="s">
        <v>460</v>
      </c>
      <c r="B3" s="1012" t="s">
        <v>393</v>
      </c>
      <c r="C3" s="1021" t="s">
        <v>394</v>
      </c>
      <c r="D3" s="1022"/>
      <c r="E3" s="1023"/>
      <c r="F3" s="1021" t="s">
        <v>395</v>
      </c>
      <c r="G3" s="1022"/>
      <c r="H3" s="1023"/>
      <c r="I3" s="1012" t="s">
        <v>396</v>
      </c>
    </row>
    <row r="4" spans="1:10">
      <c r="A4" s="1019"/>
      <c r="B4" s="1020"/>
      <c r="C4" s="195" t="s">
        <v>181</v>
      </c>
      <c r="D4" s="195" t="s">
        <v>182</v>
      </c>
      <c r="E4" s="195" t="s">
        <v>183</v>
      </c>
      <c r="F4" s="195" t="s">
        <v>181</v>
      </c>
      <c r="G4" s="195" t="s">
        <v>182</v>
      </c>
      <c r="H4" s="195" t="s">
        <v>183</v>
      </c>
      <c r="I4" s="1020"/>
    </row>
    <row r="5" spans="1:10">
      <c r="A5" s="525" t="s">
        <v>238</v>
      </c>
      <c r="B5" s="520">
        <f ca="1">-SoldeN_1("29")</f>
        <v>0</v>
      </c>
      <c r="C5" s="520">
        <f ca="1">SoldeN("6194")</f>
        <v>0</v>
      </c>
      <c r="D5" s="520">
        <f ca="1">SoldeN("63944")</f>
        <v>0</v>
      </c>
      <c r="E5" s="520">
        <f ca="1">SoldeN("65962")</f>
        <v>0</v>
      </c>
      <c r="F5" s="520">
        <f ca="1">-SoldeN("7194")</f>
        <v>0</v>
      </c>
      <c r="G5" s="520">
        <f ca="1">-SoldeN("73944")</f>
        <v>0</v>
      </c>
      <c r="H5" s="520">
        <f ca="1">-SoldeN("75962")</f>
        <v>0</v>
      </c>
      <c r="I5" s="520">
        <f ca="1">-SoldeN("29")</f>
        <v>0</v>
      </c>
    </row>
    <row r="6" spans="1:10">
      <c r="A6" s="526" t="s">
        <v>239</v>
      </c>
      <c r="B6" s="200">
        <f ca="1">-SoldeN_1("135")</f>
        <v>0</v>
      </c>
      <c r="C6" s="200">
        <v>0</v>
      </c>
      <c r="D6" s="200">
        <v>0</v>
      </c>
      <c r="E6" s="200">
        <f ca="1">SoldeN("6594")</f>
        <v>0</v>
      </c>
      <c r="F6" s="200">
        <v>0</v>
      </c>
      <c r="G6" s="200">
        <v>0</v>
      </c>
      <c r="H6" s="200">
        <f ca="1">-SoldeN("7594")</f>
        <v>0</v>
      </c>
      <c r="I6" s="200">
        <f ca="1">-SoldeN("135")</f>
        <v>0</v>
      </c>
    </row>
    <row r="7" spans="1:10">
      <c r="A7" s="527" t="s">
        <v>240</v>
      </c>
      <c r="B7" s="521">
        <f ca="1">-SoldeN_1("15")</f>
        <v>0</v>
      </c>
      <c r="C7" s="521">
        <f ca="1">SoldeN("61955")</f>
        <v>0</v>
      </c>
      <c r="D7" s="521">
        <f ca="1">SoldeN("63935")</f>
        <v>0</v>
      </c>
      <c r="E7" s="521">
        <f ca="1">SoldeN("65955")</f>
        <v>0</v>
      </c>
      <c r="F7" s="521">
        <f ca="1">-SoldeN("71955")</f>
        <v>0</v>
      </c>
      <c r="G7" s="521">
        <f ca="1">-SoldeN("73935")</f>
        <v>0</v>
      </c>
      <c r="H7" s="521">
        <f ca="1">-SoldeN("75955")</f>
        <v>0</v>
      </c>
      <c r="I7" s="521">
        <f ca="1">-SoldeN("15")</f>
        <v>0</v>
      </c>
    </row>
    <row r="8" spans="1:10">
      <c r="A8" s="528" t="s">
        <v>241</v>
      </c>
      <c r="B8" s="10">
        <f t="shared" ref="B8:I8" ca="1" si="0">SUM(B5:B7)</f>
        <v>0</v>
      </c>
      <c r="C8" s="10">
        <f t="shared" ca="1" si="0"/>
        <v>0</v>
      </c>
      <c r="D8" s="10">
        <f t="shared" ca="1" si="0"/>
        <v>0</v>
      </c>
      <c r="E8" s="10">
        <f t="shared" ca="1" si="0"/>
        <v>0</v>
      </c>
      <c r="F8" s="10">
        <f t="shared" ca="1" si="0"/>
        <v>0</v>
      </c>
      <c r="G8" s="10">
        <f t="shared" ca="1" si="0"/>
        <v>0</v>
      </c>
      <c r="H8" s="10">
        <f t="shared" ca="1" si="0"/>
        <v>0</v>
      </c>
      <c r="I8" s="10">
        <f t="shared" ca="1" si="0"/>
        <v>0</v>
      </c>
    </row>
    <row r="9" spans="1:10">
      <c r="A9" s="525" t="s">
        <v>242</v>
      </c>
      <c r="B9" s="520">
        <f ca="1">-SoldeN_1("39")</f>
        <v>0</v>
      </c>
      <c r="C9" s="520">
        <f ca="1">SoldeN("6196")</f>
        <v>0</v>
      </c>
      <c r="D9" s="520">
        <f ca="1">SoldeN("63946")</f>
        <v>0</v>
      </c>
      <c r="E9" s="520">
        <f ca="1">SoldeN("65963")</f>
        <v>0</v>
      </c>
      <c r="F9" s="520">
        <f ca="1">-SoldeN("7196")</f>
        <v>0</v>
      </c>
      <c r="G9" s="520">
        <f ca="1">-SoldeN("73946")</f>
        <v>0</v>
      </c>
      <c r="H9" s="520">
        <f ca="1">-SoldeN("75963")</f>
        <v>0</v>
      </c>
      <c r="I9" s="520">
        <f ca="1">-SoldeN("39")</f>
        <v>0</v>
      </c>
    </row>
    <row r="10" spans="1:10" s="531" customFormat="1" ht="10.199999999999999">
      <c r="A10" s="529" t="s">
        <v>243</v>
      </c>
      <c r="B10" s="522">
        <f ca="1">-SoldeN_1("391")</f>
        <v>0</v>
      </c>
      <c r="C10" s="522">
        <f ca="1">SoldeN("61961")</f>
        <v>0</v>
      </c>
      <c r="D10" s="522">
        <v>0</v>
      </c>
      <c r="E10" s="522">
        <f ca="1">SoldeN("659631")</f>
        <v>0</v>
      </c>
      <c r="F10" s="522">
        <f ca="1">-SoldeN("71961")</f>
        <v>0</v>
      </c>
      <c r="G10" s="522">
        <v>0</v>
      </c>
      <c r="H10" s="522">
        <f ca="1">-SoldeN("759631")</f>
        <v>0</v>
      </c>
      <c r="I10" s="522">
        <f ca="1">-SoldeN("391")</f>
        <v>0</v>
      </c>
      <c r="J10" s="530"/>
    </row>
    <row r="11" spans="1:10" s="531" customFormat="1" ht="10.199999999999999">
      <c r="A11" s="529" t="s">
        <v>9</v>
      </c>
      <c r="B11" s="522">
        <f ca="1">-SoldeN_1("394")</f>
        <v>0</v>
      </c>
      <c r="C11" s="522">
        <f ca="1">SoldeN("61964")</f>
        <v>0</v>
      </c>
      <c r="D11" s="522">
        <v>0</v>
      </c>
      <c r="E11" s="522">
        <f ca="1">SoldeN("659634")</f>
        <v>0</v>
      </c>
      <c r="F11" s="522">
        <f ca="1">-SoldeN("71964")</f>
        <v>0</v>
      </c>
      <c r="G11" s="522">
        <v>0</v>
      </c>
      <c r="H11" s="522">
        <f ca="1">-SoldeN("759634")</f>
        <v>0</v>
      </c>
      <c r="I11" s="522">
        <f ca="1">-SoldeN("394")</f>
        <v>0</v>
      </c>
      <c r="J11" s="530"/>
    </row>
    <row r="12" spans="1:10" s="531" customFormat="1" ht="10.199999999999999">
      <c r="A12" s="529" t="s">
        <v>8</v>
      </c>
      <c r="B12" s="522">
        <f ca="1">-SoldeN_1("395")</f>
        <v>0</v>
      </c>
      <c r="C12" s="522">
        <v>0</v>
      </c>
      <c r="D12" s="522">
        <f ca="1">SoldeN("6394")</f>
        <v>0</v>
      </c>
      <c r="E12" s="522">
        <v>0</v>
      </c>
      <c r="F12" s="522">
        <v>0</v>
      </c>
      <c r="G12" s="522">
        <f ca="1">-SoldeN("7394")</f>
        <v>0</v>
      </c>
      <c r="H12" s="522">
        <v>0</v>
      </c>
      <c r="I12" s="522">
        <f ca="1">-SoldeN("395")</f>
        <v>0</v>
      </c>
      <c r="J12" s="530"/>
    </row>
    <row r="13" spans="1:10">
      <c r="A13" s="526" t="s">
        <v>244</v>
      </c>
      <c r="B13" s="200">
        <f ca="1">-SoldeN_1("45")</f>
        <v>0</v>
      </c>
      <c r="C13" s="200">
        <f ca="1">SoldeN("61957")</f>
        <v>0</v>
      </c>
      <c r="D13" s="200">
        <f ca="1">SoldeN("63937")</f>
        <v>0</v>
      </c>
      <c r="E13" s="200">
        <f ca="1">SoldeN("65957")</f>
        <v>0</v>
      </c>
      <c r="F13" s="200">
        <f ca="1">-SoldeN("71957")</f>
        <v>0</v>
      </c>
      <c r="G13" s="200">
        <f ca="1">-SoldeN("73937")</f>
        <v>0</v>
      </c>
      <c r="H13" s="200">
        <f ca="1">-SoldeN("75957")</f>
        <v>0</v>
      </c>
      <c r="I13" s="200">
        <f ca="1">-SoldeN("45")</f>
        <v>0</v>
      </c>
    </row>
    <row r="14" spans="1:10">
      <c r="A14" s="527" t="s">
        <v>26</v>
      </c>
      <c r="B14" s="521">
        <f ca="1">-SoldeN_1("59")</f>
        <v>0</v>
      </c>
      <c r="C14" s="521">
        <v>0</v>
      </c>
      <c r="D14" s="521">
        <f ca="1">SoldeN("6396")</f>
        <v>0</v>
      </c>
      <c r="E14" s="521">
        <v>0</v>
      </c>
      <c r="F14" s="521">
        <v>0</v>
      </c>
      <c r="G14" s="521">
        <f ca="1">-SoldeN("7396")</f>
        <v>0</v>
      </c>
      <c r="H14" s="521">
        <v>0</v>
      </c>
      <c r="I14" s="521">
        <f ca="1">-SoldeN("59")</f>
        <v>0</v>
      </c>
    </row>
    <row r="15" spans="1:10">
      <c r="A15" s="528" t="s">
        <v>27</v>
      </c>
      <c r="B15" s="10">
        <f t="shared" ref="B15:I15" ca="1" si="1">SUM(B10:B14)</f>
        <v>0</v>
      </c>
      <c r="C15" s="10">
        <f t="shared" ca="1" si="1"/>
        <v>0</v>
      </c>
      <c r="D15" s="10">
        <f t="shared" ca="1" si="1"/>
        <v>0</v>
      </c>
      <c r="E15" s="10">
        <f t="shared" ca="1" si="1"/>
        <v>0</v>
      </c>
      <c r="F15" s="10">
        <f t="shared" ca="1" si="1"/>
        <v>0</v>
      </c>
      <c r="G15" s="10">
        <f t="shared" ca="1" si="1"/>
        <v>0</v>
      </c>
      <c r="H15" s="10">
        <f t="shared" ca="1" si="1"/>
        <v>0</v>
      </c>
      <c r="I15" s="10">
        <f t="shared" ca="1" si="1"/>
        <v>0</v>
      </c>
    </row>
    <row r="16" spans="1:10">
      <c r="A16" s="532" t="s">
        <v>28</v>
      </c>
      <c r="B16" s="103">
        <f t="shared" ref="B16:I16" ca="1" si="2">SUM(B8,B15)</f>
        <v>0</v>
      </c>
      <c r="C16" s="103">
        <f t="shared" ca="1" si="2"/>
        <v>0</v>
      </c>
      <c r="D16" s="103">
        <f t="shared" ca="1" si="2"/>
        <v>0</v>
      </c>
      <c r="E16" s="103">
        <f t="shared" ca="1" si="2"/>
        <v>0</v>
      </c>
      <c r="F16" s="103">
        <f t="shared" ca="1" si="2"/>
        <v>0</v>
      </c>
      <c r="G16" s="103">
        <f t="shared" ca="1" si="2"/>
        <v>0</v>
      </c>
      <c r="H16" s="103">
        <f t="shared" ca="1" si="2"/>
        <v>0</v>
      </c>
      <c r="I16" s="103">
        <f t="shared" ca="1" si="2"/>
        <v>0</v>
      </c>
    </row>
  </sheetData>
  <sheetProtection formatCells="0" formatColumns="0" formatRows="0"/>
  <mergeCells count="6">
    <mergeCell ref="A1:I1"/>
    <mergeCell ref="A3:A4"/>
    <mergeCell ref="B3:B4"/>
    <mergeCell ref="C3:E3"/>
    <mergeCell ref="F3:H3"/>
    <mergeCell ref="I3:I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2291" r:id="rId5" name="CADRE_NEANT_T09_BOUTTON">
              <controlPr defaultSize="0" print="0" autoFill="0" autoLine="0" autoPict="0" macro="[0]!Cadre_Neant_Tab09">
                <anchor moveWithCells="1">
                  <from>
                    <xdr:col>8</xdr:col>
                    <xdr:colOff>220980</xdr:colOff>
                    <xdr:row>0</xdr:row>
                    <xdr:rowOff>7620</xdr:rowOff>
                  </from>
                  <to>
                    <xdr:col>8</xdr:col>
                    <xdr:colOff>800100</xdr:colOff>
                    <xdr:row>0</xdr:row>
                    <xdr:rowOff>228600</xdr:rowOff>
                  </to>
                </anchor>
              </controlPr>
            </control>
          </mc:Choice>
        </mc:AlternateContent>
        <mc:AlternateContent xmlns:mc="http://schemas.openxmlformats.org/markup-compatibility/2006">
          <mc:Choice Requires="x14">
            <control shapeId="12292"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10"/>
  <dimension ref="A1:H22"/>
  <sheetViews>
    <sheetView workbookViewId="0">
      <selection sqref="A1:H1"/>
    </sheetView>
  </sheetViews>
  <sheetFormatPr baseColWidth="10" defaultColWidth="11.44140625" defaultRowHeight="13.8"/>
  <cols>
    <col min="1" max="1" width="12" style="3" customWidth="1"/>
    <col min="2" max="2" width="17.6640625" style="3" customWidth="1"/>
    <col min="3" max="8" width="16.6640625" style="3" customWidth="1"/>
    <col min="9" max="9" width="11.44140625" style="3"/>
    <col min="10" max="10" width="3.44140625" style="3" customWidth="1"/>
    <col min="11" max="16384" width="11.44140625" style="3"/>
  </cols>
  <sheetData>
    <row r="1" spans="1:8" ht="18.600000000000001" thickBot="1">
      <c r="A1" s="949" t="s">
        <v>82</v>
      </c>
      <c r="B1" s="950"/>
      <c r="C1" s="950"/>
      <c r="D1" s="950"/>
      <c r="E1" s="950"/>
      <c r="F1" s="950"/>
      <c r="G1" s="950"/>
      <c r="H1" s="951"/>
    </row>
    <row r="2" spans="1:8">
      <c r="A2" s="1" t="str">
        <f>CONCATENATE(PagePrincipale!$F$9)</f>
        <v>D3 Soft SARL AU</v>
      </c>
      <c r="E2" s="5"/>
      <c r="H2" s="2" t="str">
        <f ca="1">PeriodeArrete_DuAu()</f>
        <v>Du 1/1/2017 Au 31/12/2017</v>
      </c>
    </row>
    <row r="3" spans="1:8" s="12" customFormat="1" ht="38.25" customHeight="1">
      <c r="A3" s="123" t="s">
        <v>83</v>
      </c>
      <c r="B3" s="123" t="s">
        <v>84</v>
      </c>
      <c r="C3" s="123" t="s">
        <v>85</v>
      </c>
      <c r="D3" s="123" t="s">
        <v>86</v>
      </c>
      <c r="E3" s="127" t="s">
        <v>87</v>
      </c>
      <c r="F3" s="123" t="s">
        <v>88</v>
      </c>
      <c r="G3" s="123" t="s">
        <v>89</v>
      </c>
      <c r="H3" s="123" t="s">
        <v>90</v>
      </c>
    </row>
    <row r="4" spans="1:8" s="201" customFormat="1">
      <c r="A4" s="199"/>
      <c r="B4" s="788"/>
      <c r="C4" s="200"/>
      <c r="D4" s="200"/>
      <c r="E4" s="200"/>
      <c r="F4" s="200"/>
      <c r="G4" s="200"/>
      <c r="H4" s="200"/>
    </row>
    <row r="5" spans="1:8" s="201" customFormat="1">
      <c r="A5" s="199"/>
      <c r="B5" s="788"/>
      <c r="C5" s="200"/>
      <c r="D5" s="200"/>
      <c r="E5" s="200"/>
      <c r="F5" s="200"/>
      <c r="G5" s="200"/>
      <c r="H5" s="200"/>
    </row>
    <row r="6" spans="1:8" s="201" customFormat="1">
      <c r="A6" s="199"/>
      <c r="B6" s="236"/>
      <c r="C6" s="200"/>
      <c r="D6" s="200"/>
      <c r="E6" s="200"/>
      <c r="F6" s="200"/>
      <c r="G6" s="200"/>
      <c r="H6" s="200"/>
    </row>
    <row r="7" spans="1:8" s="201" customFormat="1">
      <c r="A7" s="199"/>
      <c r="B7" s="236"/>
      <c r="C7" s="200"/>
      <c r="D7" s="200"/>
      <c r="E7" s="200"/>
      <c r="F7" s="200"/>
      <c r="G7" s="200"/>
      <c r="H7" s="200"/>
    </row>
    <row r="8" spans="1:8" s="201" customFormat="1">
      <c r="A8" s="199"/>
      <c r="B8" s="236"/>
      <c r="C8" s="200"/>
      <c r="D8" s="200"/>
      <c r="E8" s="200"/>
      <c r="F8" s="200"/>
      <c r="G8" s="200"/>
      <c r="H8" s="200"/>
    </row>
    <row r="9" spans="1:8" s="201" customFormat="1">
      <c r="A9" s="199"/>
      <c r="B9" s="236"/>
      <c r="C9" s="200"/>
      <c r="D9" s="200"/>
      <c r="E9" s="200"/>
      <c r="F9" s="200"/>
      <c r="G9" s="200"/>
      <c r="H9" s="200"/>
    </row>
    <row r="10" spans="1:8" s="201" customFormat="1">
      <c r="A10" s="199"/>
      <c r="B10" s="236"/>
      <c r="C10" s="200"/>
      <c r="D10" s="200"/>
      <c r="E10" s="200"/>
      <c r="F10" s="200"/>
      <c r="G10" s="200"/>
      <c r="H10" s="200"/>
    </row>
    <row r="11" spans="1:8" s="201" customFormat="1">
      <c r="A11" s="199"/>
      <c r="B11" s="236"/>
      <c r="C11" s="200"/>
      <c r="D11" s="200"/>
      <c r="E11" s="200"/>
      <c r="F11" s="200"/>
      <c r="G11" s="200"/>
      <c r="H11" s="200"/>
    </row>
    <row r="12" spans="1:8" s="201" customFormat="1">
      <c r="A12" s="199"/>
      <c r="B12" s="236"/>
      <c r="C12" s="200"/>
      <c r="D12" s="200"/>
      <c r="E12" s="200"/>
      <c r="F12" s="200"/>
      <c r="G12" s="200"/>
      <c r="H12" s="200"/>
    </row>
    <row r="13" spans="1:8" s="201" customFormat="1">
      <c r="A13" s="199"/>
      <c r="B13" s="236"/>
      <c r="C13" s="200"/>
      <c r="D13" s="200"/>
      <c r="E13" s="200"/>
      <c r="F13" s="200"/>
      <c r="G13" s="200"/>
      <c r="H13" s="200"/>
    </row>
    <row r="14" spans="1:8" s="201" customFormat="1">
      <c r="A14" s="199"/>
      <c r="B14" s="236"/>
      <c r="C14" s="200"/>
      <c r="D14" s="200"/>
      <c r="E14" s="200"/>
      <c r="F14" s="200"/>
      <c r="G14" s="200"/>
      <c r="H14" s="200"/>
    </row>
    <row r="15" spans="1:8" s="201" customFormat="1">
      <c r="A15" s="199"/>
      <c r="B15" s="236"/>
      <c r="C15" s="200"/>
      <c r="D15" s="200"/>
      <c r="E15" s="200"/>
      <c r="F15" s="200"/>
      <c r="G15" s="200"/>
      <c r="H15" s="200"/>
    </row>
    <row r="16" spans="1:8" s="201" customFormat="1">
      <c r="A16" s="199"/>
      <c r="B16" s="236"/>
      <c r="C16" s="200"/>
      <c r="D16" s="200"/>
      <c r="E16" s="200"/>
      <c r="F16" s="200"/>
      <c r="G16" s="200"/>
      <c r="H16" s="200"/>
    </row>
    <row r="17" spans="1:8" s="201" customFormat="1">
      <c r="A17" s="199"/>
      <c r="B17" s="236"/>
      <c r="C17" s="200"/>
      <c r="D17" s="200"/>
      <c r="E17" s="200"/>
      <c r="F17" s="200"/>
      <c r="G17" s="200"/>
      <c r="H17" s="200"/>
    </row>
    <row r="18" spans="1:8" s="201" customFormat="1">
      <c r="A18" s="199"/>
      <c r="B18" s="236"/>
      <c r="C18" s="200"/>
      <c r="D18" s="200"/>
      <c r="E18" s="200"/>
      <c r="F18" s="200"/>
      <c r="G18" s="200"/>
      <c r="H18" s="200"/>
    </row>
    <row r="19" spans="1:8" s="201" customFormat="1">
      <c r="A19" s="199"/>
      <c r="B19" s="236"/>
      <c r="C19" s="200"/>
      <c r="D19" s="200"/>
      <c r="E19" s="200"/>
      <c r="F19" s="200"/>
      <c r="G19" s="200"/>
      <c r="H19" s="200"/>
    </row>
    <row r="20" spans="1:8" s="201" customFormat="1">
      <c r="A20" s="199"/>
      <c r="B20" s="236"/>
      <c r="C20" s="200"/>
      <c r="D20" s="200"/>
      <c r="E20" s="200"/>
      <c r="F20" s="200"/>
      <c r="G20" s="200"/>
      <c r="H20" s="200"/>
    </row>
    <row r="21" spans="1:8" s="201" customFormat="1">
      <c r="A21" s="199"/>
      <c r="B21" s="236"/>
      <c r="C21" s="200"/>
      <c r="D21" s="200"/>
      <c r="E21" s="200"/>
      <c r="F21" s="200"/>
      <c r="G21" s="200"/>
      <c r="H21" s="200"/>
    </row>
    <row r="22" spans="1:8">
      <c r="A22" s="215" t="s">
        <v>370</v>
      </c>
      <c r="B22" s="216"/>
      <c r="C22" s="10">
        <f t="shared" ref="C22:H22" ca="1" si="0">SUM(INDIRECT(ADDRESS(ROW(C$3)+1,COLUMN(),4,TRUE)&amp;":"&amp;ADDRESS(ROW()-1,COLUMN(),4,TRUE)))</f>
        <v>0</v>
      </c>
      <c r="D22" s="10">
        <f t="shared" ca="1" si="0"/>
        <v>0</v>
      </c>
      <c r="E22" s="10">
        <f t="shared" ca="1" si="0"/>
        <v>0</v>
      </c>
      <c r="F22" s="10">
        <f t="shared" ca="1" si="0"/>
        <v>0</v>
      </c>
      <c r="G22" s="10">
        <f t="shared" ca="1" si="0"/>
        <v>0</v>
      </c>
      <c r="H22" s="10">
        <f t="shared" ca="1" si="0"/>
        <v>0</v>
      </c>
    </row>
  </sheetData>
  <sheetProtection formatCells="0" insertRows="0" deleteRows="0" autoFilter="0"/>
  <autoFilter ref="A3:H3" xr:uid="{00000000-0009-0000-0000-00000D000000}"/>
  <mergeCells count="1">
    <mergeCell ref="A1:H1"/>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3314" r:id="rId5" name="CADRE_NEANT_T10_BOUTTON">
              <controlPr defaultSize="0" print="0" autoFill="0" autoLine="0" autoPict="0" macro="[0]!Cadre_Neant_Tab10">
                <anchor moveWithCells="1">
                  <from>
                    <xdr:col>7</xdr:col>
                    <xdr:colOff>487680</xdr:colOff>
                    <xdr:row>0</xdr:row>
                    <xdr:rowOff>7620</xdr:rowOff>
                  </from>
                  <to>
                    <xdr:col>7</xdr:col>
                    <xdr:colOff>1066800</xdr:colOff>
                    <xdr:row>0</xdr:row>
                    <xdr:rowOff>228600</xdr:rowOff>
                  </to>
                </anchor>
              </controlPr>
            </control>
          </mc:Choice>
        </mc:AlternateContent>
        <mc:AlternateContent xmlns:mc="http://schemas.openxmlformats.org/markup-compatibility/2006">
          <mc:Choice Requires="x14">
            <control shapeId="1331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11"/>
  <dimension ref="A1:K20"/>
  <sheetViews>
    <sheetView tabSelected="1" workbookViewId="0">
      <selection activeCell="A6" sqref="A6"/>
    </sheetView>
  </sheetViews>
  <sheetFormatPr baseColWidth="10" defaultColWidth="11.44140625" defaultRowHeight="13.8"/>
  <cols>
    <col min="1" max="1" width="25.6640625" style="3" customWidth="1"/>
    <col min="2" max="2" width="10.6640625" style="3" customWidth="1"/>
    <col min="3" max="3" width="18.6640625" style="3" customWidth="1"/>
    <col min="4" max="4" width="12.6640625" style="3" customWidth="1"/>
    <col min="5" max="5" width="10.6640625" style="3" customWidth="1"/>
    <col min="6" max="7" width="12.6640625" style="3" customWidth="1"/>
    <col min="8" max="8" width="10.6640625" style="3" customWidth="1"/>
    <col min="9" max="11" width="12.6640625" style="3" customWidth="1"/>
    <col min="12" max="16384" width="11.44140625" style="3"/>
  </cols>
  <sheetData>
    <row r="1" spans="1:11" ht="18.600000000000001" thickBot="1">
      <c r="A1" s="949" t="s">
        <v>255</v>
      </c>
      <c r="B1" s="950"/>
      <c r="C1" s="950"/>
      <c r="D1" s="950"/>
      <c r="E1" s="950"/>
      <c r="F1" s="950"/>
      <c r="G1" s="950"/>
      <c r="H1" s="950"/>
      <c r="I1" s="950"/>
      <c r="J1" s="950"/>
      <c r="K1" s="951"/>
    </row>
    <row r="2" spans="1:11">
      <c r="A2" s="1" t="str">
        <f>CONCATENATE(PagePrincipale!$F$9)</f>
        <v>D3 Soft SARL AU</v>
      </c>
      <c r="B2" s="1"/>
      <c r="J2" s="13"/>
      <c r="K2" s="2" t="str">
        <f ca="1">PeriodeArrete_Au()</f>
        <v>Au 31/12/2017</v>
      </c>
    </row>
    <row r="3" spans="1:11" s="12" customFormat="1" ht="26.25" customHeight="1">
      <c r="A3" s="1012" t="s">
        <v>256</v>
      </c>
      <c r="B3" s="1012" t="s">
        <v>535</v>
      </c>
      <c r="C3" s="1012" t="s">
        <v>257</v>
      </c>
      <c r="D3" s="1012" t="s">
        <v>258</v>
      </c>
      <c r="E3" s="1012" t="s">
        <v>259</v>
      </c>
      <c r="F3" s="1012" t="s">
        <v>260</v>
      </c>
      <c r="G3" s="1012" t="s">
        <v>261</v>
      </c>
      <c r="H3" s="1024" t="s">
        <v>14</v>
      </c>
      <c r="I3" s="1025"/>
      <c r="J3" s="1026"/>
      <c r="K3" s="1012" t="s">
        <v>15</v>
      </c>
    </row>
    <row r="4" spans="1:11" s="12" customFormat="1" ht="25.5" customHeight="1">
      <c r="A4" s="1013"/>
      <c r="B4" s="1013"/>
      <c r="C4" s="1013"/>
      <c r="D4" s="1013"/>
      <c r="E4" s="1013"/>
      <c r="F4" s="1013"/>
      <c r="G4" s="1013"/>
      <c r="H4" s="6" t="s">
        <v>148</v>
      </c>
      <c r="I4" s="6" t="s">
        <v>149</v>
      </c>
      <c r="J4" s="6" t="s">
        <v>150</v>
      </c>
      <c r="K4" s="1013"/>
    </row>
    <row r="5" spans="1:11">
      <c r="A5" s="128"/>
      <c r="B5" s="128"/>
      <c r="C5" s="7" t="s">
        <v>408</v>
      </c>
      <c r="D5" s="7" t="s">
        <v>409</v>
      </c>
      <c r="E5" s="7" t="s">
        <v>139</v>
      </c>
      <c r="F5" s="7" t="s">
        <v>411</v>
      </c>
      <c r="G5" s="7" t="s">
        <v>7</v>
      </c>
      <c r="H5" s="7" t="s">
        <v>511</v>
      </c>
      <c r="I5" s="7" t="s">
        <v>512</v>
      </c>
      <c r="J5" s="7" t="s">
        <v>176</v>
      </c>
      <c r="K5" s="7" t="s">
        <v>177</v>
      </c>
    </row>
    <row r="6" spans="1:11" s="201" customFormat="1">
      <c r="A6" s="198"/>
      <c r="B6" s="198"/>
      <c r="C6" s="198"/>
      <c r="D6" s="200"/>
      <c r="E6" s="237"/>
      <c r="F6" s="200"/>
      <c r="G6" s="200"/>
      <c r="H6" s="199"/>
      <c r="I6" s="200"/>
      <c r="J6" s="200"/>
      <c r="K6" s="200"/>
    </row>
    <row r="7" spans="1:11" s="201" customFormat="1">
      <c r="A7" s="198"/>
      <c r="B7" s="198"/>
      <c r="C7" s="198"/>
      <c r="D7" s="200"/>
      <c r="E7" s="237"/>
      <c r="F7" s="200"/>
      <c r="G7" s="200"/>
      <c r="H7" s="199"/>
      <c r="I7" s="200"/>
      <c r="J7" s="200"/>
      <c r="K7" s="200"/>
    </row>
    <row r="8" spans="1:11" s="201" customFormat="1">
      <c r="A8" s="198"/>
      <c r="B8" s="198"/>
      <c r="C8" s="198"/>
      <c r="D8" s="200"/>
      <c r="E8" s="237"/>
      <c r="F8" s="200"/>
      <c r="G8" s="200"/>
      <c r="H8" s="199"/>
      <c r="I8" s="200"/>
      <c r="J8" s="200"/>
      <c r="K8" s="200"/>
    </row>
    <row r="9" spans="1:11" s="201" customFormat="1">
      <c r="A9" s="198"/>
      <c r="B9" s="198"/>
      <c r="C9" s="198"/>
      <c r="D9" s="200"/>
      <c r="E9" s="237"/>
      <c r="F9" s="200"/>
      <c r="G9" s="200"/>
      <c r="H9" s="199"/>
      <c r="I9" s="200"/>
      <c r="J9" s="200"/>
      <c r="K9" s="200"/>
    </row>
    <row r="10" spans="1:11" s="201" customFormat="1">
      <c r="A10" s="198"/>
      <c r="B10" s="198"/>
      <c r="C10" s="198"/>
      <c r="D10" s="200"/>
      <c r="E10" s="237"/>
      <c r="F10" s="200"/>
      <c r="G10" s="200"/>
      <c r="H10" s="199"/>
      <c r="I10" s="200"/>
      <c r="J10" s="200"/>
      <c r="K10" s="200"/>
    </row>
    <row r="11" spans="1:11" s="201" customFormat="1">
      <c r="A11" s="198"/>
      <c r="B11" s="198"/>
      <c r="C11" s="198"/>
      <c r="D11" s="200"/>
      <c r="E11" s="237"/>
      <c r="F11" s="200"/>
      <c r="G11" s="200"/>
      <c r="H11" s="199"/>
      <c r="I11" s="200"/>
      <c r="J11" s="200"/>
      <c r="K11" s="200"/>
    </row>
    <row r="12" spans="1:11" s="201" customFormat="1">
      <c r="A12" s="198"/>
      <c r="B12" s="198"/>
      <c r="C12" s="198"/>
      <c r="D12" s="200"/>
      <c r="E12" s="237"/>
      <c r="F12" s="200"/>
      <c r="G12" s="200"/>
      <c r="H12" s="199"/>
      <c r="I12" s="200"/>
      <c r="J12" s="200"/>
      <c r="K12" s="200"/>
    </row>
    <row r="13" spans="1:11" s="201" customFormat="1">
      <c r="A13" s="198"/>
      <c r="B13" s="198"/>
      <c r="C13" s="198"/>
      <c r="D13" s="200"/>
      <c r="E13" s="237"/>
      <c r="F13" s="200"/>
      <c r="G13" s="200"/>
      <c r="H13" s="199"/>
      <c r="I13" s="200"/>
      <c r="J13" s="200"/>
      <c r="K13" s="200"/>
    </row>
    <row r="14" spans="1:11" s="201" customFormat="1">
      <c r="A14" s="198"/>
      <c r="B14" s="198"/>
      <c r="C14" s="198"/>
      <c r="D14" s="200"/>
      <c r="E14" s="237"/>
      <c r="F14" s="200"/>
      <c r="G14" s="200"/>
      <c r="H14" s="199"/>
      <c r="I14" s="200"/>
      <c r="J14" s="200"/>
      <c r="K14" s="200"/>
    </row>
    <row r="15" spans="1:11" s="201" customFormat="1">
      <c r="A15" s="198"/>
      <c r="B15" s="198"/>
      <c r="C15" s="198"/>
      <c r="D15" s="200"/>
      <c r="E15" s="237"/>
      <c r="F15" s="200"/>
      <c r="G15" s="200"/>
      <c r="H15" s="199"/>
      <c r="I15" s="200"/>
      <c r="J15" s="200"/>
      <c r="K15" s="200"/>
    </row>
    <row r="16" spans="1:11" s="201" customFormat="1">
      <c r="A16" s="198"/>
      <c r="B16" s="198"/>
      <c r="C16" s="198"/>
      <c r="D16" s="200"/>
      <c r="E16" s="237"/>
      <c r="F16" s="200"/>
      <c r="G16" s="200"/>
      <c r="H16" s="199"/>
      <c r="I16" s="200"/>
      <c r="J16" s="200"/>
      <c r="K16" s="200"/>
    </row>
    <row r="17" spans="1:11" s="201" customFormat="1">
      <c r="A17" s="198"/>
      <c r="B17" s="198"/>
      <c r="C17" s="198"/>
      <c r="D17" s="200"/>
      <c r="E17" s="237"/>
      <c r="F17" s="200"/>
      <c r="G17" s="200"/>
      <c r="H17" s="199"/>
      <c r="I17" s="200"/>
      <c r="J17" s="200"/>
      <c r="K17" s="200"/>
    </row>
    <row r="18" spans="1:11" s="201" customFormat="1">
      <c r="A18" s="198"/>
      <c r="B18" s="198"/>
      <c r="C18" s="198"/>
      <c r="D18" s="200"/>
      <c r="E18" s="237"/>
      <c r="F18" s="200"/>
      <c r="G18" s="200"/>
      <c r="H18" s="199"/>
      <c r="I18" s="200"/>
      <c r="J18" s="200"/>
      <c r="K18" s="200"/>
    </row>
    <row r="19" spans="1:11" s="201" customFormat="1">
      <c r="A19" s="198"/>
      <c r="B19" s="198"/>
      <c r="C19" s="198"/>
      <c r="D19" s="200"/>
      <c r="E19" s="237"/>
      <c r="F19" s="200"/>
      <c r="G19" s="200"/>
      <c r="H19" s="199"/>
      <c r="I19" s="200"/>
      <c r="J19" s="200"/>
      <c r="K19" s="200"/>
    </row>
    <row r="20" spans="1:11">
      <c r="A20" s="215" t="s">
        <v>370</v>
      </c>
      <c r="B20" s="707"/>
      <c r="C20" s="216"/>
      <c r="D20" s="10">
        <f ca="1">SUM(INDIRECT(ADDRESS(ROW(D$5)+1,COLUMN(),4,TRUE)&amp;":"&amp;ADDRESS(ROW()-1,COLUMN(),4,TRUE)))</f>
        <v>0</v>
      </c>
      <c r="E20" s="70" t="s">
        <v>104</v>
      </c>
      <c r="F20" s="10">
        <f t="shared" ref="F20:K20" ca="1" si="0">SUM(INDIRECT(ADDRESS(ROW(F$5)+1,COLUMN(),4,TRUE)&amp;":"&amp;ADDRESS(ROW()-1,COLUMN(),4,TRUE)))</f>
        <v>0</v>
      </c>
      <c r="G20" s="10">
        <f t="shared" ca="1" si="0"/>
        <v>0</v>
      </c>
      <c r="H20" s="70" t="s">
        <v>104</v>
      </c>
      <c r="I20" s="10">
        <f t="shared" ca="1" si="0"/>
        <v>0</v>
      </c>
      <c r="J20" s="10">
        <f t="shared" ca="1" si="0"/>
        <v>0</v>
      </c>
      <c r="K20" s="10">
        <f t="shared" ca="1" si="0"/>
        <v>0</v>
      </c>
    </row>
  </sheetData>
  <sheetProtection formatCells="0" insertRows="0" deleteRows="0" autoFilter="0"/>
  <autoFilter ref="A5:K5" xr:uid="{00000000-0009-0000-0000-00000E000000}"/>
  <mergeCells count="10">
    <mergeCell ref="A1:K1"/>
    <mergeCell ref="H3:J3"/>
    <mergeCell ref="A3:A4"/>
    <mergeCell ref="B3:B4"/>
    <mergeCell ref="C3:C4"/>
    <mergeCell ref="D3:D4"/>
    <mergeCell ref="E3:E4"/>
    <mergeCell ref="F3:F4"/>
    <mergeCell ref="G3:G4"/>
    <mergeCell ref="K3:K4"/>
  </mergeCells>
  <phoneticPr fontId="0" type="noConversion"/>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4338" r:id="rId5" name="CADRE_NEANT_T11_BOUTTON">
              <controlPr defaultSize="0" print="0" autoFill="0" autoLine="0" autoPict="0" macro="[0]!Cadre_Neant_Tab11">
                <anchor moveWithCells="1">
                  <from>
                    <xdr:col>10</xdr:col>
                    <xdr:colOff>228600</xdr:colOff>
                    <xdr:row>0</xdr:row>
                    <xdr:rowOff>7620</xdr:rowOff>
                  </from>
                  <to>
                    <xdr:col>10</xdr:col>
                    <xdr:colOff>807720</xdr:colOff>
                    <xdr:row>0</xdr:row>
                    <xdr:rowOff>228600</xdr:rowOff>
                  </to>
                </anchor>
              </controlPr>
            </control>
          </mc:Choice>
        </mc:AlternateContent>
        <mc:AlternateContent xmlns:mc="http://schemas.openxmlformats.org/markup-compatibility/2006">
          <mc:Choice Requires="x14">
            <control shapeId="14339"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12"/>
  <dimension ref="A1:F26"/>
  <sheetViews>
    <sheetView workbookViewId="0">
      <selection sqref="A1:E1"/>
    </sheetView>
  </sheetViews>
  <sheetFormatPr baseColWidth="10" defaultColWidth="11.44140625" defaultRowHeight="13.8"/>
  <cols>
    <col min="1" max="1" width="33.6640625" style="63" bestFit="1" customWidth="1"/>
    <col min="2" max="5" width="16.6640625" style="63" customWidth="1"/>
    <col min="6" max="6" width="16.6640625" style="3" customWidth="1"/>
    <col min="7" max="16384" width="11.44140625" style="3"/>
  </cols>
  <sheetData>
    <row r="1" spans="1:6" ht="18.600000000000001" thickBot="1">
      <c r="A1" s="1027" t="s">
        <v>151</v>
      </c>
      <c r="B1" s="1028"/>
      <c r="C1" s="1028"/>
      <c r="D1" s="1028"/>
      <c r="E1" s="1029"/>
    </row>
    <row r="2" spans="1:6">
      <c r="A2" s="297" t="str">
        <f>CONCATENATE(PagePrincipale!$F$9)</f>
        <v>D3 Soft SARL AU</v>
      </c>
      <c r="C2" s="13"/>
      <c r="D2" s="13"/>
      <c r="E2" s="301" t="str">
        <f ca="1">PeriodeArrete_Au()</f>
        <v>Au 31/12/2017</v>
      </c>
    </row>
    <row r="3" spans="1:6" ht="41.25" customHeight="1">
      <c r="A3" s="1030" t="s">
        <v>460</v>
      </c>
      <c r="B3" s="619" t="s">
        <v>152</v>
      </c>
      <c r="C3" s="619" t="s">
        <v>153</v>
      </c>
      <c r="D3" s="619" t="s">
        <v>154</v>
      </c>
      <c r="E3" s="619" t="s">
        <v>155</v>
      </c>
    </row>
    <row r="4" spans="1:6">
      <c r="A4" s="1031"/>
      <c r="B4" s="620" t="s">
        <v>408</v>
      </c>
      <c r="C4" s="620"/>
      <c r="D4" s="620"/>
      <c r="E4" s="620" t="s">
        <v>156</v>
      </c>
    </row>
    <row r="5" spans="1:6" ht="18" customHeight="1">
      <c r="A5" s="621" t="s">
        <v>157</v>
      </c>
      <c r="B5" s="622">
        <f ca="1">-SoldeN_1("4455")</f>
        <v>108637.31</v>
      </c>
      <c r="C5" s="241">
        <f ca="1">E5-B5+D5</f>
        <v>12070.809999999998</v>
      </c>
      <c r="D5" s="242">
        <f>B26</f>
        <v>0</v>
      </c>
      <c r="E5" s="622">
        <f ca="1">-SoldeN("4455")</f>
        <v>120708.12</v>
      </c>
    </row>
    <row r="6" spans="1:6" ht="18" customHeight="1">
      <c r="A6" s="621" t="s">
        <v>158</v>
      </c>
      <c r="B6" s="623">
        <f ca="1">SoldeN_1("3455")</f>
        <v>15547.169999999998</v>
      </c>
      <c r="C6" s="623">
        <f ca="1">SUM(C7:C8)</f>
        <v>1727.4600000000028</v>
      </c>
      <c r="D6" s="623">
        <f>SUM(D7:D8)</f>
        <v>0</v>
      </c>
      <c r="E6" s="623">
        <f ca="1">SoldeN("3455")</f>
        <v>17274.63</v>
      </c>
    </row>
    <row r="7" spans="1:6" ht="18" customHeight="1">
      <c r="A7" s="624" t="s">
        <v>159</v>
      </c>
      <c r="B7" s="625">
        <f ca="1">SoldeN_1("3455")-SoldeN_1("34551")</f>
        <v>9814.1699999999983</v>
      </c>
      <c r="C7" s="238">
        <f ca="1">E7-B7+D7</f>
        <v>1090.4600000000028</v>
      </c>
      <c r="D7" s="239">
        <f>C26</f>
        <v>0</v>
      </c>
      <c r="E7" s="625">
        <f ca="1">SoldeN("3455")-SoldeN("34551")</f>
        <v>10904.630000000001</v>
      </c>
    </row>
    <row r="8" spans="1:6" ht="18" customHeight="1">
      <c r="A8" s="626" t="s">
        <v>160</v>
      </c>
      <c r="B8" s="627">
        <f ca="1">SoldeN_1("34551")</f>
        <v>5733</v>
      </c>
      <c r="C8" s="240">
        <f ca="1">E8-B8+D8</f>
        <v>637</v>
      </c>
      <c r="D8" s="240">
        <f>D26</f>
        <v>0</v>
      </c>
      <c r="E8" s="627">
        <f ca="1">SoldeN("34551")</f>
        <v>6370</v>
      </c>
    </row>
    <row r="9" spans="1:6" ht="18" customHeight="1">
      <c r="A9" s="621" t="s">
        <v>161</v>
      </c>
      <c r="B9" s="623">
        <f ca="1">B5-B6</f>
        <v>93090.14</v>
      </c>
      <c r="C9" s="623">
        <f ca="1">C5-C6</f>
        <v>10343.349999999995</v>
      </c>
      <c r="D9" s="623">
        <f>D5-D6</f>
        <v>0</v>
      </c>
      <c r="E9" s="623">
        <f ca="1">E5-E6</f>
        <v>103433.48999999999</v>
      </c>
    </row>
    <row r="12" spans="1:6" ht="37.5" customHeight="1">
      <c r="A12" s="1032" t="s">
        <v>757</v>
      </c>
      <c r="B12" s="1033"/>
      <c r="C12" s="1033"/>
      <c r="D12" s="1033"/>
      <c r="E12" s="1033"/>
      <c r="F12" s="1034"/>
    </row>
    <row r="13" spans="1:6" ht="46.8">
      <c r="A13" s="628" t="s">
        <v>750</v>
      </c>
      <c r="B13" s="628" t="s">
        <v>751</v>
      </c>
      <c r="C13" s="628" t="s">
        <v>752</v>
      </c>
      <c r="D13" s="628" t="s">
        <v>753</v>
      </c>
      <c r="E13" s="628" t="s">
        <v>754</v>
      </c>
      <c r="F13" s="629" t="s">
        <v>756</v>
      </c>
    </row>
    <row r="14" spans="1:6" ht="15.6">
      <c r="A14" s="630" t="s">
        <v>738</v>
      </c>
      <c r="B14" s="243"/>
      <c r="C14" s="243"/>
      <c r="D14" s="243"/>
      <c r="E14" s="243"/>
      <c r="F14" s="631">
        <f>B14-C14-D14-E14</f>
        <v>0</v>
      </c>
    </row>
    <row r="15" spans="1:6" ht="15.6">
      <c r="A15" s="630" t="s">
        <v>739</v>
      </c>
      <c r="B15" s="243"/>
      <c r="C15" s="243"/>
      <c r="D15" s="243"/>
      <c r="E15" s="243"/>
      <c r="F15" s="631">
        <f t="shared" ref="F15:F25" si="0">B15-C15-D15-E15</f>
        <v>0</v>
      </c>
    </row>
    <row r="16" spans="1:6" ht="15.6">
      <c r="A16" s="630" t="s">
        <v>740</v>
      </c>
      <c r="B16" s="243"/>
      <c r="C16" s="243"/>
      <c r="D16" s="243"/>
      <c r="E16" s="243"/>
      <c r="F16" s="631">
        <f t="shared" si="0"/>
        <v>0</v>
      </c>
    </row>
    <row r="17" spans="1:6" ht="15.6">
      <c r="A17" s="630" t="s">
        <v>741</v>
      </c>
      <c r="B17" s="243"/>
      <c r="C17" s="243"/>
      <c r="D17" s="243"/>
      <c r="E17" s="243"/>
      <c r="F17" s="631">
        <f t="shared" si="0"/>
        <v>0</v>
      </c>
    </row>
    <row r="18" spans="1:6" ht="15.6">
      <c r="A18" s="630" t="s">
        <v>742</v>
      </c>
      <c r="B18" s="243"/>
      <c r="C18" s="243"/>
      <c r="D18" s="243"/>
      <c r="E18" s="243"/>
      <c r="F18" s="631">
        <f t="shared" si="0"/>
        <v>0</v>
      </c>
    </row>
    <row r="19" spans="1:6" ht="15.6">
      <c r="A19" s="630" t="s">
        <v>743</v>
      </c>
      <c r="B19" s="243"/>
      <c r="C19" s="243"/>
      <c r="D19" s="243"/>
      <c r="E19" s="243"/>
      <c r="F19" s="631">
        <f t="shared" si="0"/>
        <v>0</v>
      </c>
    </row>
    <row r="20" spans="1:6" ht="15.6">
      <c r="A20" s="630" t="s">
        <v>744</v>
      </c>
      <c r="B20" s="243"/>
      <c r="C20" s="243"/>
      <c r="D20" s="243"/>
      <c r="E20" s="243"/>
      <c r="F20" s="631">
        <f t="shared" si="0"/>
        <v>0</v>
      </c>
    </row>
    <row r="21" spans="1:6" ht="15.6">
      <c r="A21" s="630" t="s">
        <v>745</v>
      </c>
      <c r="B21" s="243"/>
      <c r="C21" s="243"/>
      <c r="D21" s="243"/>
      <c r="E21" s="243"/>
      <c r="F21" s="631">
        <f t="shared" si="0"/>
        <v>0</v>
      </c>
    </row>
    <row r="22" spans="1:6" ht="15.6">
      <c r="A22" s="630" t="s">
        <v>746</v>
      </c>
      <c r="B22" s="243"/>
      <c r="C22" s="243"/>
      <c r="D22" s="243"/>
      <c r="E22" s="243"/>
      <c r="F22" s="631">
        <f t="shared" si="0"/>
        <v>0</v>
      </c>
    </row>
    <row r="23" spans="1:6" ht="15.6">
      <c r="A23" s="630" t="s">
        <v>747</v>
      </c>
      <c r="B23" s="243"/>
      <c r="C23" s="243"/>
      <c r="D23" s="243"/>
      <c r="E23" s="243"/>
      <c r="F23" s="631">
        <f t="shared" si="0"/>
        <v>0</v>
      </c>
    </row>
    <row r="24" spans="1:6" ht="15.6">
      <c r="A24" s="630" t="s">
        <v>748</v>
      </c>
      <c r="B24" s="243"/>
      <c r="C24" s="243"/>
      <c r="D24" s="243"/>
      <c r="E24" s="243"/>
      <c r="F24" s="631">
        <f t="shared" si="0"/>
        <v>0</v>
      </c>
    </row>
    <row r="25" spans="1:6" ht="15.6">
      <c r="A25" s="630" t="s">
        <v>749</v>
      </c>
      <c r="B25" s="243"/>
      <c r="C25" s="243"/>
      <c r="D25" s="243"/>
      <c r="E25" s="243"/>
      <c r="F25" s="631">
        <f t="shared" si="0"/>
        <v>0</v>
      </c>
    </row>
    <row r="26" spans="1:6" ht="15.6">
      <c r="A26" s="628" t="s">
        <v>755</v>
      </c>
      <c r="B26" s="632">
        <f>SUM(B14:B25)</f>
        <v>0</v>
      </c>
      <c r="C26" s="632">
        <f>SUM(C14:C25)</f>
        <v>0</v>
      </c>
      <c r="D26" s="632">
        <f>SUM(D14:D25)</f>
        <v>0</v>
      </c>
      <c r="E26" s="632">
        <f>SUM(E14:E25)</f>
        <v>0</v>
      </c>
      <c r="F26" s="632">
        <f>SUM(F14:F25)</f>
        <v>0</v>
      </c>
    </row>
  </sheetData>
  <sheetProtection formatCells="0"/>
  <mergeCells count="3">
    <mergeCell ref="A1:E1"/>
    <mergeCell ref="A3:A4"/>
    <mergeCell ref="A12:F12"/>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5362" r:id="rId5" name="CADRE_NEANT_T12_BOUTTON">
              <controlPr defaultSize="0" print="0" autoFill="0" autoLine="0" autoPict="0" macro="[0]!Cadre_Neant_Tab12">
                <anchor moveWithCells="1">
                  <from>
                    <xdr:col>4</xdr:col>
                    <xdr:colOff>487680</xdr:colOff>
                    <xdr:row>0</xdr:row>
                    <xdr:rowOff>7620</xdr:rowOff>
                  </from>
                  <to>
                    <xdr:col>4</xdr:col>
                    <xdr:colOff>1066800</xdr:colOff>
                    <xdr:row>0</xdr:row>
                    <xdr:rowOff>228600</xdr:rowOff>
                  </to>
                </anchor>
              </controlPr>
            </control>
          </mc:Choice>
        </mc:AlternateContent>
        <mc:AlternateContent xmlns:mc="http://schemas.openxmlformats.org/markup-compatibility/2006">
          <mc:Choice Requires="x14">
            <control shapeId="15363"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12_P"/>
  <dimension ref="A1:E9"/>
  <sheetViews>
    <sheetView workbookViewId="0">
      <selection sqref="A1:E1"/>
    </sheetView>
  </sheetViews>
  <sheetFormatPr baseColWidth="10" defaultColWidth="11.44140625" defaultRowHeight="13.8"/>
  <cols>
    <col min="1" max="1" width="33.6640625" style="63" bestFit="1" customWidth="1"/>
    <col min="2" max="5" width="16.6640625" style="63" customWidth="1"/>
    <col min="6" max="6" width="16.6640625" style="3" customWidth="1"/>
    <col min="7" max="16384" width="11.44140625" style="3"/>
  </cols>
  <sheetData>
    <row r="1" spans="1:5" ht="18.600000000000001" thickBot="1">
      <c r="A1" s="1027" t="s">
        <v>151</v>
      </c>
      <c r="B1" s="1028"/>
      <c r="C1" s="1028"/>
      <c r="D1" s="1028"/>
      <c r="E1" s="1029"/>
    </row>
    <row r="2" spans="1:5">
      <c r="A2" s="297" t="str">
        <f>'T12'!A2</f>
        <v>D3 Soft SARL AU</v>
      </c>
      <c r="C2" s="13"/>
      <c r="D2" s="13"/>
      <c r="E2" s="301" t="str">
        <f ca="1">'T12'!E2</f>
        <v>Au 31/12/2017</v>
      </c>
    </row>
    <row r="3" spans="1:5" ht="41.25" customHeight="1">
      <c r="A3" s="1030" t="str">
        <f>'T12'!A3:A4</f>
        <v>Nature</v>
      </c>
      <c r="B3" s="619" t="str">
        <f>'T12'!B3</f>
        <v>Solde au début de l'exercice</v>
      </c>
      <c r="C3" s="619" t="str">
        <f>'T12'!C3</f>
        <v>Opérations comptables de l'exercice</v>
      </c>
      <c r="D3" s="619" t="str">
        <f>'T12'!D3</f>
        <v>Déclarations TVA de l'exercice</v>
      </c>
      <c r="E3" s="619" t="str">
        <f>'T12'!E3</f>
        <v>Solde fin d'exercice</v>
      </c>
    </row>
    <row r="4" spans="1:5">
      <c r="A4" s="1031"/>
      <c r="B4" s="620" t="str">
        <f>'T12'!B4</f>
        <v>1</v>
      </c>
      <c r="C4" s="620"/>
      <c r="D4" s="620"/>
      <c r="E4" s="620" t="str">
        <f>'T12'!E4</f>
        <v>(1 + 2 - 3 = 4)</v>
      </c>
    </row>
    <row r="5" spans="1:5" ht="18" customHeight="1">
      <c r="A5" s="621" t="str">
        <f>'T12'!A5</f>
        <v>A. T.V.A. Facturée</v>
      </c>
      <c r="B5" s="622">
        <f ca="1">SIMPL_Tab.40_Cod.2065_Lin.0_Typ.Double_Extra.0</f>
        <v>108637.31</v>
      </c>
      <c r="C5" s="676">
        <f ca="1">SIMPL_Tab.40_Cod.2066_Lin.0_Typ.Double_Extra.0</f>
        <v>12070.809999999998</v>
      </c>
      <c r="D5" s="677">
        <f>SIMPL_Tab.40_Cod.2067_Lin.0_Typ.Double_Extra.0</f>
        <v>0</v>
      </c>
      <c r="E5" s="622">
        <f ca="1">SIMPL_Tab.40_Cod.2068_Lin.0_Typ.Double_Extra.0</f>
        <v>120708.12</v>
      </c>
    </row>
    <row r="6" spans="1:5" ht="18" customHeight="1">
      <c r="A6" s="621" t="str">
        <f>'T12'!A6</f>
        <v>B. T.V.A. Récuperable</v>
      </c>
      <c r="B6" s="623">
        <f ca="1">SIMPL_Tab.40_Cod.2070_Lin.0_Typ.Double_Extra.0</f>
        <v>15547.169999999998</v>
      </c>
      <c r="C6" s="623">
        <f ca="1">SIMPL_Tab.40_Cod.2071_Lin.0_Typ.Double_Extra.0</f>
        <v>1727.4600000000028</v>
      </c>
      <c r="D6" s="623">
        <f>SIMPL_Tab.40_Cod.2072_Lin.0_Typ.Double_Extra.0</f>
        <v>0</v>
      </c>
      <c r="E6" s="623">
        <f ca="1">SIMPL_Tab.40_Cod.2073_Lin.0_Typ.Double_Extra.0</f>
        <v>17274.63</v>
      </c>
    </row>
    <row r="7" spans="1:5" ht="18" customHeight="1">
      <c r="A7" s="624" t="str">
        <f>'T12'!A7</f>
        <v>- sur charges</v>
      </c>
      <c r="B7" s="625">
        <f ca="1">SIMPL_Tab.40_Cod.2075_Lin.0_Typ.Double_Extra.0</f>
        <v>9814.1699999999983</v>
      </c>
      <c r="C7" s="678">
        <f ca="1">SIMPL_Tab.40_Cod.2076_Lin.0_Typ.Double_Extra.0</f>
        <v>1090.4600000000028</v>
      </c>
      <c r="D7" s="679">
        <f>SIMPL_Tab.40_Cod.2077_Lin.0_Typ.Double_Extra.0</f>
        <v>0</v>
      </c>
      <c r="E7" s="625">
        <f ca="1">SIMPL_Tab.40_Cod.2078_Lin.0_Typ.Double_Extra.0</f>
        <v>10904.630000000001</v>
      </c>
    </row>
    <row r="8" spans="1:5" ht="18" customHeight="1">
      <c r="A8" s="626" t="str">
        <f>'T12'!A8</f>
        <v>- sur immobilisations</v>
      </c>
      <c r="B8" s="627">
        <f ca="1">SIMPL_Tab.40_Cod.2080_Lin.0_Typ.Double_Extra.0</f>
        <v>5733</v>
      </c>
      <c r="C8" s="680">
        <f ca="1">SIMPL_Tab.40_Cod.2081_Lin.0_Typ.Double_Extra.0</f>
        <v>637</v>
      </c>
      <c r="D8" s="680">
        <f>SIMPL_Tab.40_Cod.2082_Lin.0_Typ.Double_Extra.0</f>
        <v>0</v>
      </c>
      <c r="E8" s="627">
        <f ca="1">SIMPL_Tab.40_Cod.2083_Lin.0_Typ.Double_Extra.0</f>
        <v>6370</v>
      </c>
    </row>
    <row r="9" spans="1:5" ht="18" customHeight="1">
      <c r="A9" s="621" t="str">
        <f>'T12'!A9</f>
        <v>C. T.V.A. dûe ou crédit de T.V.A = (A - B)</v>
      </c>
      <c r="B9" s="623">
        <f ca="1">SIMPL_Tab.40_Cod.2085_Lin.0_Typ.Double_Extra.0</f>
        <v>93090.14</v>
      </c>
      <c r="C9" s="623">
        <f ca="1">SIMPL_Tab.40_Cod.2086_Lin.0_Typ.Double_Extra.0</f>
        <v>10343.349999999995</v>
      </c>
      <c r="D9" s="623">
        <f>SIMPL_Tab.40_Cod.2087_Lin.0_Typ.Double_Extra.0</f>
        <v>0</v>
      </c>
      <c r="E9" s="623">
        <f ca="1">SIMPL_Tab.40_Cod.2088_Lin.0_Typ.Double_Extra.0</f>
        <v>103433.48999999999</v>
      </c>
    </row>
  </sheetData>
  <sheetProtection formatCells="0"/>
  <mergeCells count="2">
    <mergeCell ref="A1:E1"/>
    <mergeCell ref="A3:A4"/>
  </mergeCells>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08547" r:id="rId5"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13"/>
  <dimension ref="A1:L26"/>
  <sheetViews>
    <sheetView workbookViewId="0">
      <selection activeCell="C8" sqref="C8"/>
    </sheetView>
  </sheetViews>
  <sheetFormatPr baseColWidth="10" defaultColWidth="11.44140625" defaultRowHeight="13.8"/>
  <cols>
    <col min="1" max="2" width="28.6640625" style="71" customWidth="1"/>
    <col min="3" max="3" width="10.6640625" style="71" customWidth="1"/>
    <col min="4" max="5" width="9.33203125" style="71" customWidth="1"/>
    <col min="6" max="6" width="36.109375" style="71" bestFit="1" customWidth="1"/>
    <col min="7" max="7" width="8.6640625" style="71" customWidth="1"/>
    <col min="8" max="8" width="10.109375" style="71" customWidth="1"/>
    <col min="9" max="12" width="13.6640625" style="71" customWidth="1"/>
    <col min="13" max="16384" width="11.44140625" style="71"/>
  </cols>
  <sheetData>
    <row r="1" spans="1:12" ht="18.600000000000001" thickBot="1">
      <c r="A1" s="1038" t="s">
        <v>162</v>
      </c>
      <c r="B1" s="1039"/>
      <c r="C1" s="1039"/>
      <c r="D1" s="1039"/>
      <c r="E1" s="1039"/>
      <c r="F1" s="1039"/>
      <c r="G1" s="1039"/>
      <c r="H1" s="1039"/>
      <c r="I1" s="1039"/>
      <c r="J1" s="1039"/>
      <c r="K1" s="1039"/>
      <c r="L1" s="1040"/>
    </row>
    <row r="3" spans="1:12">
      <c r="H3" s="72" t="s">
        <v>493</v>
      </c>
      <c r="I3" s="73">
        <f ca="1">-SoldeN("111")</f>
        <v>200000</v>
      </c>
    </row>
    <row r="4" spans="1:12">
      <c r="A4" s="1" t="str">
        <f>CONCATENATE(PagePrincipale!$F$9)</f>
        <v>D3 Soft SARL AU</v>
      </c>
      <c r="B4" s="1"/>
      <c r="I4" s="13"/>
      <c r="J4" s="74"/>
      <c r="L4" s="2" t="str">
        <f ca="1">PeriodeArrete_Au()</f>
        <v>Au 31/12/2017</v>
      </c>
    </row>
    <row r="5" spans="1:12" s="76" customFormat="1" ht="25.5" customHeight="1">
      <c r="A5" s="1041" t="s">
        <v>1268</v>
      </c>
      <c r="B5" s="1041" t="s">
        <v>1269</v>
      </c>
      <c r="C5" s="1046" t="s">
        <v>535</v>
      </c>
      <c r="D5" s="1041" t="s">
        <v>1266</v>
      </c>
      <c r="E5" s="1041" t="s">
        <v>1267</v>
      </c>
      <c r="F5" s="1041" t="s">
        <v>163</v>
      </c>
      <c r="G5" s="1043" t="s">
        <v>164</v>
      </c>
      <c r="H5" s="1044"/>
      <c r="I5" s="1041" t="s">
        <v>165</v>
      </c>
      <c r="J5" s="1043" t="s">
        <v>46</v>
      </c>
      <c r="K5" s="1045"/>
      <c r="L5" s="1044"/>
    </row>
    <row r="6" spans="1:12" s="76" customFormat="1" ht="27.6">
      <c r="A6" s="1042"/>
      <c r="B6" s="1042"/>
      <c r="C6" s="1047"/>
      <c r="D6" s="1042"/>
      <c r="E6" s="1042"/>
      <c r="F6" s="1042"/>
      <c r="G6" s="75" t="s">
        <v>414</v>
      </c>
      <c r="H6" s="75" t="s">
        <v>47</v>
      </c>
      <c r="I6" s="1042"/>
      <c r="J6" s="75" t="s">
        <v>48</v>
      </c>
      <c r="K6" s="75" t="s">
        <v>49</v>
      </c>
      <c r="L6" s="75" t="s">
        <v>269</v>
      </c>
    </row>
    <row r="7" spans="1:12" s="76" customFormat="1">
      <c r="A7" s="77" t="s">
        <v>408</v>
      </c>
      <c r="B7" s="77" t="s">
        <v>408</v>
      </c>
      <c r="C7" s="130"/>
      <c r="D7" s="130"/>
      <c r="E7" s="130"/>
      <c r="F7" s="77" t="s">
        <v>409</v>
      </c>
      <c r="G7" s="77" t="s">
        <v>139</v>
      </c>
      <c r="H7" s="77" t="s">
        <v>411</v>
      </c>
      <c r="I7" s="77" t="s">
        <v>7</v>
      </c>
      <c r="J7" s="77" t="s">
        <v>511</v>
      </c>
      <c r="K7" s="77" t="s">
        <v>512</v>
      </c>
      <c r="L7" s="77" t="s">
        <v>176</v>
      </c>
    </row>
    <row r="8" spans="1:12" s="248" customFormat="1">
      <c r="A8" s="244"/>
      <c r="B8" s="244"/>
      <c r="C8" s="708"/>
      <c r="D8" s="245"/>
      <c r="E8" s="245"/>
      <c r="F8" s="244"/>
      <c r="G8" s="246"/>
      <c r="H8" s="246"/>
      <c r="I8" s="247"/>
      <c r="J8" s="247"/>
      <c r="K8" s="247"/>
      <c r="L8" s="247"/>
    </row>
    <row r="9" spans="1:12" s="248" customFormat="1">
      <c r="A9" s="244"/>
      <c r="B9" s="244"/>
      <c r="C9" s="245"/>
      <c r="D9" s="245"/>
      <c r="E9" s="245"/>
      <c r="F9" s="244"/>
      <c r="G9" s="246"/>
      <c r="H9" s="246"/>
      <c r="I9" s="247"/>
      <c r="J9" s="247"/>
      <c r="K9" s="247"/>
      <c r="L9" s="247"/>
    </row>
    <row r="10" spans="1:12" s="248" customFormat="1">
      <c r="A10" s="244"/>
      <c r="B10" s="244"/>
      <c r="C10" s="245"/>
      <c r="D10" s="245"/>
      <c r="E10" s="245"/>
      <c r="F10" s="244"/>
      <c r="G10" s="246"/>
      <c r="H10" s="246"/>
      <c r="I10" s="247"/>
      <c r="J10" s="247"/>
      <c r="K10" s="247"/>
      <c r="L10" s="247"/>
    </row>
    <row r="11" spans="1:12" s="248" customFormat="1">
      <c r="A11" s="244"/>
      <c r="B11" s="244"/>
      <c r="C11" s="245"/>
      <c r="D11" s="245"/>
      <c r="E11" s="245"/>
      <c r="F11" s="244"/>
      <c r="G11" s="246"/>
      <c r="H11" s="246"/>
      <c r="I11" s="247"/>
      <c r="J11" s="247"/>
      <c r="K11" s="247"/>
      <c r="L11" s="247"/>
    </row>
    <row r="12" spans="1:12" s="248" customFormat="1">
      <c r="A12" s="244"/>
      <c r="B12" s="244"/>
      <c r="C12" s="245"/>
      <c r="D12" s="245"/>
      <c r="E12" s="245"/>
      <c r="F12" s="244"/>
      <c r="G12" s="246"/>
      <c r="H12" s="246"/>
      <c r="I12" s="247"/>
      <c r="J12" s="247"/>
      <c r="K12" s="247"/>
      <c r="L12" s="247"/>
    </row>
    <row r="13" spans="1:12" s="248" customFormat="1">
      <c r="A13" s="244"/>
      <c r="B13" s="244"/>
      <c r="C13" s="245"/>
      <c r="D13" s="245"/>
      <c r="E13" s="245"/>
      <c r="F13" s="244"/>
      <c r="G13" s="246"/>
      <c r="H13" s="246"/>
      <c r="I13" s="247"/>
      <c r="J13" s="247"/>
      <c r="K13" s="247"/>
      <c r="L13" s="247"/>
    </row>
    <row r="14" spans="1:12" s="248" customFormat="1">
      <c r="A14" s="244"/>
      <c r="B14" s="244"/>
      <c r="C14" s="245"/>
      <c r="D14" s="245"/>
      <c r="E14" s="245"/>
      <c r="F14" s="244"/>
      <c r="G14" s="246"/>
      <c r="H14" s="246"/>
      <c r="I14" s="247"/>
      <c r="J14" s="247"/>
      <c r="K14" s="247"/>
      <c r="L14" s="247"/>
    </row>
    <row r="15" spans="1:12" s="248" customFormat="1">
      <c r="A15" s="244"/>
      <c r="B15" s="244"/>
      <c r="C15" s="245"/>
      <c r="D15" s="245"/>
      <c r="E15" s="245"/>
      <c r="F15" s="244"/>
      <c r="G15" s="246"/>
      <c r="H15" s="246"/>
      <c r="I15" s="247"/>
      <c r="J15" s="247"/>
      <c r="K15" s="247"/>
      <c r="L15" s="247"/>
    </row>
    <row r="16" spans="1:12" s="248" customFormat="1">
      <c r="A16" s="244"/>
      <c r="B16" s="244"/>
      <c r="C16" s="245"/>
      <c r="D16" s="245"/>
      <c r="E16" s="245"/>
      <c r="F16" s="244"/>
      <c r="G16" s="246"/>
      <c r="H16" s="246"/>
      <c r="I16" s="247"/>
      <c r="J16" s="247"/>
      <c r="K16" s="247"/>
      <c r="L16" s="247"/>
    </row>
    <row r="17" spans="1:12" s="248" customFormat="1">
      <c r="A17" s="244"/>
      <c r="B17" s="244"/>
      <c r="C17" s="245"/>
      <c r="D17" s="245"/>
      <c r="E17" s="245"/>
      <c r="F17" s="244"/>
      <c r="G17" s="246"/>
      <c r="H17" s="246"/>
      <c r="I17" s="247"/>
      <c r="J17" s="247"/>
      <c r="K17" s="247"/>
      <c r="L17" s="247"/>
    </row>
    <row r="18" spans="1:12" s="248" customFormat="1">
      <c r="A18" s="244"/>
      <c r="B18" s="244"/>
      <c r="C18" s="245"/>
      <c r="D18" s="245"/>
      <c r="E18" s="245"/>
      <c r="F18" s="244"/>
      <c r="G18" s="246"/>
      <c r="H18" s="246"/>
      <c r="I18" s="247"/>
      <c r="J18" s="247"/>
      <c r="K18" s="247"/>
      <c r="L18" s="247"/>
    </row>
    <row r="19" spans="1:12" s="248" customFormat="1">
      <c r="A19" s="244"/>
      <c r="B19" s="244"/>
      <c r="C19" s="245"/>
      <c r="D19" s="245"/>
      <c r="E19" s="245"/>
      <c r="F19" s="244"/>
      <c r="G19" s="246"/>
      <c r="H19" s="246"/>
      <c r="I19" s="247"/>
      <c r="J19" s="247"/>
      <c r="K19" s="247"/>
      <c r="L19" s="247"/>
    </row>
    <row r="20" spans="1:12" s="248" customFormat="1">
      <c r="A20" s="244"/>
      <c r="B20" s="244"/>
      <c r="C20" s="245"/>
      <c r="D20" s="245"/>
      <c r="E20" s="245"/>
      <c r="F20" s="244"/>
      <c r="G20" s="246"/>
      <c r="H20" s="246"/>
      <c r="I20" s="247"/>
      <c r="J20" s="247"/>
      <c r="K20" s="247"/>
      <c r="L20" s="247"/>
    </row>
    <row r="21" spans="1:12" s="248" customFormat="1">
      <c r="A21" s="244"/>
      <c r="B21" s="244"/>
      <c r="C21" s="245"/>
      <c r="D21" s="245"/>
      <c r="E21" s="245"/>
      <c r="F21" s="244"/>
      <c r="G21" s="246"/>
      <c r="H21" s="246"/>
      <c r="I21" s="247"/>
      <c r="J21" s="247"/>
      <c r="K21" s="247"/>
      <c r="L21" s="247"/>
    </row>
    <row r="22" spans="1:12" s="248" customFormat="1">
      <c r="A22" s="244"/>
      <c r="B22" s="244"/>
      <c r="C22" s="245"/>
      <c r="D22" s="245"/>
      <c r="E22" s="245"/>
      <c r="F22" s="244"/>
      <c r="G22" s="246"/>
      <c r="H22" s="246"/>
      <c r="I22" s="247"/>
      <c r="J22" s="247"/>
      <c r="K22" s="247"/>
      <c r="L22" s="247"/>
    </row>
    <row r="23" spans="1:12" s="248" customFormat="1">
      <c r="A23" s="244"/>
      <c r="B23" s="244"/>
      <c r="C23" s="245"/>
      <c r="D23" s="245"/>
      <c r="E23" s="245"/>
      <c r="F23" s="244"/>
      <c r="G23" s="246"/>
      <c r="H23" s="246"/>
      <c r="I23" s="247"/>
      <c r="J23" s="247"/>
      <c r="K23" s="247"/>
      <c r="L23" s="247"/>
    </row>
    <row r="24" spans="1:12">
      <c r="A24" s="1035" t="s">
        <v>370</v>
      </c>
      <c r="B24" s="1036"/>
      <c r="C24" s="1036"/>
      <c r="D24" s="1036"/>
      <c r="E24" s="1036"/>
      <c r="F24" s="1037"/>
      <c r="G24" s="133">
        <f ca="1">SUM(INDIRECT(ADDRESS(ROW(G$7)+1,COLUMN(),4,TRUE)&amp;":"&amp;ADDRESS(ROW()-1,COLUMN(),4,TRUE)))</f>
        <v>0</v>
      </c>
      <c r="H24" s="133">
        <f ca="1">SUM(INDIRECT(ADDRESS(ROW(H$7)+1,COLUMN(),4,TRUE)&amp;":"&amp;ADDRESS(ROW()-1,COLUMN(),4,TRUE)))</f>
        <v>0</v>
      </c>
      <c r="I24" s="78" t="s">
        <v>104</v>
      </c>
      <c r="J24" s="79">
        <f ca="1">SUM(INDIRECT(ADDRESS(ROW(J$7)+1,COLUMN(),4,TRUE)&amp;":"&amp;ADDRESS(ROW()-1,COLUMN(),4,TRUE)))</f>
        <v>0</v>
      </c>
      <c r="K24" s="79">
        <f ca="1">SUM(INDIRECT(ADDRESS(ROW(K$7)+1,COLUMN(),4,TRUE)&amp;":"&amp;ADDRESS(ROW()-1,COLUMN(),4,TRUE)))</f>
        <v>0</v>
      </c>
      <c r="L24" s="79">
        <f ca="1">SUM(INDIRECT(ADDRESS(ROW(L$7)+1,COLUMN(),4,TRUE)&amp;":"&amp;ADDRESS(ROW()-1,COLUMN(),4,TRUE)))</f>
        <v>0</v>
      </c>
    </row>
    <row r="25" spans="1:12">
      <c r="A25" s="80" t="s">
        <v>270</v>
      </c>
      <c r="B25" s="80"/>
    </row>
    <row r="26" spans="1:12">
      <c r="A26" s="80" t="s">
        <v>374</v>
      </c>
      <c r="B26" s="80"/>
    </row>
  </sheetData>
  <sheetProtection formatCells="0" insertRows="0" deleteRows="0"/>
  <autoFilter ref="A7:L26" xr:uid="{00000000-0009-0000-0000-000011000000}">
    <filterColumn colId="0" showButton="0"/>
  </autoFilter>
  <mergeCells count="11">
    <mergeCell ref="A24:F24"/>
    <mergeCell ref="A1:L1"/>
    <mergeCell ref="F5:F6"/>
    <mergeCell ref="G5:H5"/>
    <mergeCell ref="I5:I6"/>
    <mergeCell ref="J5:L5"/>
    <mergeCell ref="A5:A6"/>
    <mergeCell ref="C5:C6"/>
    <mergeCell ref="D5:D6"/>
    <mergeCell ref="E5:E6"/>
    <mergeCell ref="B5:B6"/>
  </mergeCells>
  <phoneticPr fontId="0" type="noConversion"/>
  <conditionalFormatting sqref="I3">
    <cfRule type="expression" dxfId="26" priority="1" stopIfTrue="1">
      <formula>ISERR($I$3)</formula>
    </cfRule>
  </conditionalFormatting>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6386" r:id="rId5" name="CADRE_NEANT_T13_BOUTTON">
              <controlPr defaultSize="0" print="0" autoFill="0" autoLine="0" autoPict="0" macro="[0]!Cadre_Neant_Tab13">
                <anchor moveWithCells="1">
                  <from>
                    <xdr:col>11</xdr:col>
                    <xdr:colOff>297180</xdr:colOff>
                    <xdr:row>0</xdr:row>
                    <xdr:rowOff>0</xdr:rowOff>
                  </from>
                  <to>
                    <xdr:col>11</xdr:col>
                    <xdr:colOff>876300</xdr:colOff>
                    <xdr:row>0</xdr:row>
                    <xdr:rowOff>220980</xdr:rowOff>
                  </to>
                </anchor>
              </controlPr>
            </control>
          </mc:Choice>
        </mc:AlternateContent>
        <mc:AlternateContent xmlns:mc="http://schemas.openxmlformats.org/markup-compatibility/2006">
          <mc:Choice Requires="x14">
            <control shapeId="16387"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14"/>
  <dimension ref="A1:E14"/>
  <sheetViews>
    <sheetView workbookViewId="0">
      <selection sqref="A1:D1"/>
    </sheetView>
  </sheetViews>
  <sheetFormatPr baseColWidth="10" defaultColWidth="11.44140625" defaultRowHeight="13.8"/>
  <cols>
    <col min="1" max="1" width="40.6640625" style="82" customWidth="1"/>
    <col min="2" max="2" width="16.6640625" style="82" customWidth="1"/>
    <col min="3" max="3" width="40.6640625" style="82" customWidth="1"/>
    <col min="4" max="4" width="16.6640625" style="82" customWidth="1"/>
    <col min="5" max="16384" width="11.44140625" style="3"/>
  </cols>
  <sheetData>
    <row r="1" spans="1:5" ht="18.600000000000001" thickBot="1">
      <c r="A1" s="1048" t="s">
        <v>375</v>
      </c>
      <c r="B1" s="1049"/>
      <c r="C1" s="1049"/>
      <c r="D1" s="1050"/>
    </row>
    <row r="2" spans="1:5">
      <c r="A2" s="1" t="str">
        <f>CONCATENATE(PagePrincipale!$F$9)</f>
        <v>D3 Soft SARL AU</v>
      </c>
      <c r="C2" s="13"/>
      <c r="D2" s="2" t="str">
        <f ca="1">PeriodeArrete_DuAu()</f>
        <v>Du 1/1/2017 Au 31/12/2017</v>
      </c>
    </row>
    <row r="3" spans="1:5">
      <c r="A3" s="83" t="s">
        <v>434</v>
      </c>
      <c r="B3" s="84" t="s">
        <v>386</v>
      </c>
      <c r="C3" s="83" t="s">
        <v>434</v>
      </c>
      <c r="D3" s="84" t="s">
        <v>386</v>
      </c>
    </row>
    <row r="4" spans="1:5">
      <c r="A4" s="85" t="s">
        <v>234</v>
      </c>
      <c r="B4" s="86"/>
      <c r="C4" s="85" t="s">
        <v>235</v>
      </c>
      <c r="D4" s="609"/>
    </row>
    <row r="5" spans="1:5" ht="18" customHeight="1">
      <c r="A5" s="613" t="s">
        <v>784</v>
      </c>
      <c r="B5" s="88"/>
      <c r="C5" s="87" t="s">
        <v>236</v>
      </c>
      <c r="D5" s="610"/>
    </row>
    <row r="6" spans="1:5" ht="18" customHeight="1">
      <c r="A6" s="87" t="s">
        <v>237</v>
      </c>
      <c r="B6" s="610"/>
      <c r="C6" s="87" t="s">
        <v>16</v>
      </c>
      <c r="D6" s="610"/>
    </row>
    <row r="7" spans="1:5" ht="18" customHeight="1">
      <c r="A7" s="87" t="s">
        <v>17</v>
      </c>
      <c r="B7" s="610"/>
      <c r="C7" s="87" t="s">
        <v>18</v>
      </c>
      <c r="D7" s="610"/>
    </row>
    <row r="8" spans="1:5" ht="18" customHeight="1">
      <c r="A8" s="87" t="s">
        <v>19</v>
      </c>
      <c r="B8" s="610"/>
      <c r="C8" s="87" t="s">
        <v>113</v>
      </c>
      <c r="D8" s="610"/>
    </row>
    <row r="9" spans="1:5" ht="18" customHeight="1">
      <c r="A9" s="87" t="s">
        <v>114</v>
      </c>
      <c r="B9" s="610"/>
      <c r="C9" s="87" t="s">
        <v>115</v>
      </c>
      <c r="D9" s="610"/>
    </row>
    <row r="10" spans="1:5" ht="18" customHeight="1">
      <c r="A10" s="89" t="s">
        <v>116</v>
      </c>
      <c r="B10" s="611"/>
      <c r="C10" s="89" t="s">
        <v>237</v>
      </c>
      <c r="D10" s="612"/>
    </row>
    <row r="11" spans="1:5">
      <c r="A11" s="90" t="s">
        <v>117</v>
      </c>
      <c r="B11" s="91">
        <f>SUM(B5:B10)</f>
        <v>0</v>
      </c>
      <c r="C11" s="90" t="s">
        <v>118</v>
      </c>
      <c r="D11" s="91">
        <f>SUM(D5:D10)</f>
        <v>0</v>
      </c>
      <c r="E11" s="11"/>
    </row>
    <row r="12" spans="1:5">
      <c r="D12" s="93"/>
    </row>
    <row r="13" spans="1:5">
      <c r="A13" s="92" t="s">
        <v>119</v>
      </c>
    </row>
    <row r="14" spans="1:5">
      <c r="B14" s="93"/>
      <c r="D14" s="93"/>
    </row>
  </sheetData>
  <sheetProtection formatCells="0" formatColumns="0" formatRows="0"/>
  <mergeCells count="1">
    <mergeCell ref="A1:D1"/>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7410" r:id="rId5" name="CADRE_NEANT_T14_BOUTTON">
              <controlPr defaultSize="0" print="0" autoFill="0" autoLine="0" autoPict="0" macro="[0]!Cadre_Neant_Tab14">
                <anchor moveWithCells="1">
                  <from>
                    <xdr:col>3</xdr:col>
                    <xdr:colOff>403860</xdr:colOff>
                    <xdr:row>0</xdr:row>
                    <xdr:rowOff>7620</xdr:rowOff>
                  </from>
                  <to>
                    <xdr:col>3</xdr:col>
                    <xdr:colOff>982980</xdr:colOff>
                    <xdr:row>0</xdr:row>
                    <xdr:rowOff>228600</xdr:rowOff>
                  </to>
                </anchor>
              </controlPr>
            </control>
          </mc:Choice>
        </mc:AlternateContent>
        <mc:AlternateContent xmlns:mc="http://schemas.openxmlformats.org/markup-compatibility/2006">
          <mc:Choice Requires="x14">
            <control shapeId="17411"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878DF-B4B5-4D28-8FF7-03F636DE3BCB}">
  <sheetPr codeName="T15"/>
  <dimension ref="A1:F29"/>
  <sheetViews>
    <sheetView workbookViewId="0">
      <selection activeCell="J1" sqref="J1"/>
    </sheetView>
  </sheetViews>
  <sheetFormatPr baseColWidth="10" defaultColWidth="11.44140625" defaultRowHeight="13.8"/>
  <cols>
    <col min="1" max="1" width="4.5546875" style="833" customWidth="1"/>
    <col min="2" max="2" width="53.33203125" style="833" customWidth="1"/>
    <col min="3" max="5" width="15.6640625" style="833" customWidth="1"/>
    <col min="6" max="6" width="3" style="869" bestFit="1" customWidth="1"/>
    <col min="7" max="16384" width="11.44140625" style="869"/>
  </cols>
  <sheetData>
    <row r="1" spans="1:6" s="865" customFormat="1" ht="36" customHeight="1" thickBot="1">
      <c r="A1" s="1051" t="s">
        <v>1423</v>
      </c>
      <c r="B1" s="1052"/>
      <c r="C1" s="1052"/>
      <c r="D1" s="1052"/>
      <c r="E1" s="1053"/>
    </row>
    <row r="2" spans="1:6">
      <c r="A2" s="866" t="s">
        <v>1452</v>
      </c>
      <c r="D2" s="867"/>
      <c r="E2" s="868" t="str">
        <f ca="1">PeriodeArrete_DuAu()</f>
        <v>Du 1/1/2017 Au 31/12/2017</v>
      </c>
    </row>
    <row r="3" spans="1:6" ht="55.2">
      <c r="A3" s="1054" t="s">
        <v>1</v>
      </c>
      <c r="B3" s="1055"/>
      <c r="C3" s="835" t="s">
        <v>1424</v>
      </c>
      <c r="D3" s="835" t="s">
        <v>1425</v>
      </c>
      <c r="E3" s="835" t="s">
        <v>1426</v>
      </c>
    </row>
    <row r="4" spans="1:6">
      <c r="A4" s="1056" t="s">
        <v>408</v>
      </c>
      <c r="B4" s="1057"/>
      <c r="C4" s="836" t="s">
        <v>409</v>
      </c>
      <c r="D4" s="836" t="s">
        <v>139</v>
      </c>
      <c r="E4" s="836" t="s">
        <v>411</v>
      </c>
    </row>
    <row r="5" spans="1:6">
      <c r="A5" s="870"/>
      <c r="B5" s="871" t="s">
        <v>1427</v>
      </c>
      <c r="C5" s="872"/>
      <c r="D5" s="872"/>
      <c r="E5" s="872"/>
    </row>
    <row r="6" spans="1:6">
      <c r="A6" s="873">
        <v>1</v>
      </c>
      <c r="B6" s="874" t="s">
        <v>1428</v>
      </c>
      <c r="C6" s="875"/>
      <c r="D6" s="875"/>
      <c r="E6" s="875"/>
    </row>
    <row r="7" spans="1:6">
      <c r="A7" s="873">
        <v>2</v>
      </c>
      <c r="B7" s="874" t="s">
        <v>1429</v>
      </c>
      <c r="C7" s="875"/>
      <c r="D7" s="875"/>
      <c r="E7" s="875"/>
    </row>
    <row r="8" spans="1:6">
      <c r="A8" s="876">
        <v>3</v>
      </c>
      <c r="B8" s="877" t="s">
        <v>1430</v>
      </c>
      <c r="C8" s="878"/>
      <c r="D8" s="878"/>
      <c r="E8" s="879"/>
      <c r="F8" s="880" t="s">
        <v>1431</v>
      </c>
    </row>
    <row r="9" spans="1:6">
      <c r="A9" s="870"/>
      <c r="B9" s="871" t="s">
        <v>1432</v>
      </c>
      <c r="C9" s="872"/>
      <c r="D9" s="872"/>
      <c r="E9" s="881"/>
    </row>
    <row r="10" spans="1:6">
      <c r="A10" s="873">
        <v>4</v>
      </c>
      <c r="B10" s="874" t="s">
        <v>1433</v>
      </c>
      <c r="C10" s="875"/>
      <c r="D10" s="875"/>
      <c r="E10" s="882"/>
    </row>
    <row r="11" spans="1:6">
      <c r="A11" s="873">
        <v>5</v>
      </c>
      <c r="B11" s="874" t="s">
        <v>1434</v>
      </c>
      <c r="C11" s="875"/>
      <c r="D11" s="875"/>
      <c r="E11" s="882"/>
    </row>
    <row r="12" spans="1:6">
      <c r="A12" s="876">
        <v>6</v>
      </c>
      <c r="B12" s="877" t="s">
        <v>1435</v>
      </c>
      <c r="C12" s="878"/>
      <c r="D12" s="878"/>
      <c r="E12" s="879"/>
      <c r="F12" s="883" t="s">
        <v>1436</v>
      </c>
    </row>
    <row r="13" spans="1:6">
      <c r="A13" s="870"/>
      <c r="B13" s="871" t="s">
        <v>1437</v>
      </c>
      <c r="C13" s="872"/>
      <c r="D13" s="872"/>
      <c r="E13" s="881"/>
    </row>
    <row r="14" spans="1:6">
      <c r="A14" s="873">
        <v>7</v>
      </c>
      <c r="B14" s="874" t="s">
        <v>1438</v>
      </c>
      <c r="C14" s="875"/>
      <c r="D14" s="875"/>
      <c r="E14" s="875"/>
    </row>
    <row r="15" spans="1:6">
      <c r="A15" s="873">
        <v>8</v>
      </c>
      <c r="B15" s="874" t="s">
        <v>1439</v>
      </c>
      <c r="C15" s="875"/>
      <c r="D15" s="875"/>
      <c r="E15" s="875"/>
    </row>
    <row r="16" spans="1:6">
      <c r="A16" s="876">
        <v>9</v>
      </c>
      <c r="B16" s="877" t="s">
        <v>1430</v>
      </c>
      <c r="C16" s="878"/>
      <c r="D16" s="878"/>
      <c r="E16" s="879"/>
      <c r="F16" s="880" t="s">
        <v>1431</v>
      </c>
    </row>
    <row r="17" spans="1:6">
      <c r="A17" s="870"/>
      <c r="B17" s="871" t="s">
        <v>1440</v>
      </c>
      <c r="C17" s="872"/>
      <c r="D17" s="872"/>
      <c r="E17" s="881"/>
      <c r="F17" s="880"/>
    </row>
    <row r="18" spans="1:6">
      <c r="A18" s="873">
        <v>10</v>
      </c>
      <c r="B18" s="874" t="s">
        <v>1441</v>
      </c>
      <c r="C18" s="875"/>
      <c r="D18" s="875"/>
      <c r="E18" s="875"/>
    </row>
    <row r="19" spans="1:6">
      <c r="A19" s="873">
        <v>11</v>
      </c>
      <c r="B19" s="874" t="s">
        <v>1442</v>
      </c>
      <c r="C19" s="875"/>
      <c r="D19" s="875"/>
      <c r="E19" s="882"/>
    </row>
    <row r="20" spans="1:6">
      <c r="A20" s="873">
        <v>12</v>
      </c>
      <c r="B20" s="874" t="s">
        <v>442</v>
      </c>
      <c r="C20" s="875"/>
      <c r="D20" s="875"/>
      <c r="E20" s="875"/>
    </row>
    <row r="21" spans="1:6">
      <c r="A21" s="873" t="s">
        <v>1443</v>
      </c>
      <c r="B21" s="874" t="s">
        <v>1438</v>
      </c>
      <c r="C21" s="875"/>
      <c r="D21" s="875"/>
      <c r="E21" s="882"/>
    </row>
    <row r="22" spans="1:6">
      <c r="A22" s="873" t="s">
        <v>1444</v>
      </c>
      <c r="B22" s="874" t="s">
        <v>1439</v>
      </c>
      <c r="C22" s="875"/>
      <c r="D22" s="875"/>
      <c r="E22" s="882"/>
    </row>
    <row r="23" spans="1:6">
      <c r="A23" s="876" t="s">
        <v>1445</v>
      </c>
      <c r="B23" s="877" t="s">
        <v>1435</v>
      </c>
      <c r="C23" s="878"/>
      <c r="D23" s="878"/>
      <c r="E23" s="879"/>
      <c r="F23" s="880" t="s">
        <v>1431</v>
      </c>
    </row>
    <row r="24" spans="1:6">
      <c r="A24" s="884">
        <v>13</v>
      </c>
      <c r="B24" s="885" t="s">
        <v>1446</v>
      </c>
      <c r="C24" s="886">
        <f>SUM(C5:C23)</f>
        <v>0</v>
      </c>
      <c r="D24" s="886">
        <f>SUM(D5:D23)</f>
        <v>0</v>
      </c>
      <c r="E24" s="886">
        <f>SUM(E5:E23)</f>
        <v>0</v>
      </c>
    </row>
    <row r="25" spans="1:6">
      <c r="A25" s="870">
        <v>14</v>
      </c>
      <c r="B25" s="887" t="s">
        <v>1447</v>
      </c>
      <c r="C25" s="872"/>
      <c r="D25" s="872"/>
      <c r="E25" s="872"/>
    </row>
    <row r="26" spans="1:6">
      <c r="A26" s="876">
        <v>15</v>
      </c>
      <c r="B26" s="877" t="s">
        <v>1448</v>
      </c>
      <c r="C26" s="878"/>
      <c r="D26" s="878"/>
      <c r="E26" s="878"/>
    </row>
    <row r="27" spans="1:6">
      <c r="A27" s="884">
        <v>16</v>
      </c>
      <c r="B27" s="885" t="s">
        <v>1449</v>
      </c>
      <c r="C27" s="888">
        <f>SUM(C24:C26)</f>
        <v>0</v>
      </c>
      <c r="D27" s="888">
        <f>SUM(D24:D26)</f>
        <v>0</v>
      </c>
      <c r="E27" s="888">
        <f>SUM(E24:E26)</f>
        <v>0</v>
      </c>
    </row>
    <row r="28" spans="1:6">
      <c r="A28" s="889" t="s">
        <v>1450</v>
      </c>
    </row>
    <row r="29" spans="1:6">
      <c r="A29" s="889" t="s">
        <v>1451</v>
      </c>
      <c r="E29" s="890"/>
    </row>
  </sheetData>
  <sheetProtection formatCells="0" formatColumns="0" formatRows="0" insertRows="0" deleteRows="0"/>
  <mergeCells count="3">
    <mergeCell ref="A1:E1"/>
    <mergeCell ref="A3:B3"/>
    <mergeCell ref="A4:B4"/>
  </mergeCells>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GoToMain">
              <controlPr defaultSize="0" print="0" autoFill="0" autoPict="0">
                <anchor>
                  <from>
                    <xdr:col>0</xdr:col>
                    <xdr:colOff>0</xdr:colOff>
                    <xdr:row>0</xdr:row>
                    <xdr:rowOff>0</xdr:rowOff>
                  </from>
                  <to>
                    <xdr:col>1</xdr:col>
                    <xdr:colOff>45720</xdr:colOff>
                    <xdr:row>0</xdr:row>
                    <xdr:rowOff>182880</xdr:rowOff>
                  </to>
                </anchor>
              </controlPr>
            </control>
          </mc:Choice>
        </mc:AlternateContent>
        <mc:AlternateContent xmlns:mc="http://schemas.openxmlformats.org/markup-compatibility/2006">
          <mc:Choice Requires="x14">
            <control shapeId="147458" r:id="rId5" name="CADRE_NEANT_T15_BOUTTON">
              <controlPr defaultSize="0" print="0" autoFill="0" autoLine="0" autoPict="0" macro="[0]!Cadre_Neant_Tab15">
                <anchor moveWithCells="1">
                  <from>
                    <xdr:col>4</xdr:col>
                    <xdr:colOff>342900</xdr:colOff>
                    <xdr:row>0</xdr:row>
                    <xdr:rowOff>7620</xdr:rowOff>
                  </from>
                  <to>
                    <xdr:col>4</xdr:col>
                    <xdr:colOff>807720</xdr:colOff>
                    <xdr:row>0</xdr:row>
                    <xdr:rowOff>182880</xdr:rowOff>
                  </to>
                </anchor>
              </controlPr>
            </control>
          </mc:Choice>
        </mc:AlternateContent>
        <mc:AlternateContent xmlns:mc="http://schemas.openxmlformats.org/markup-compatibility/2006">
          <mc:Choice Requires="x14">
            <control shapeId="147459" r:id="rId6" name="GoToLast">
              <controlPr defaultSize="0" print="0" autoFill="0" autoPict="0">
                <anchor moveWithCells="1" sizeWithCells="1">
                  <from>
                    <xdr:col>1</xdr:col>
                    <xdr:colOff>60960</xdr:colOff>
                    <xdr:row>0</xdr:row>
                    <xdr:rowOff>0</xdr:rowOff>
                  </from>
                  <to>
                    <xdr:col>1</xdr:col>
                    <xdr:colOff>342900</xdr:colOff>
                    <xdr:row>0</xdr:row>
                    <xdr:rowOff>182880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16"/>
  <dimension ref="A1:J26"/>
  <sheetViews>
    <sheetView workbookViewId="0">
      <pane ySplit="9" topLeftCell="A10" activePane="bottomLeft" state="frozen"/>
      <selection activeCell="F9" sqref="F9:M9"/>
      <selection pane="bottomLeft" activeCell="N9" sqref="N9"/>
    </sheetView>
  </sheetViews>
  <sheetFormatPr baseColWidth="10" defaultColWidth="11.44140625" defaultRowHeight="13.2"/>
  <cols>
    <col min="1" max="1" width="27.6640625" style="603" bestFit="1" customWidth="1"/>
    <col min="2" max="9" width="13.5546875" style="602" customWidth="1"/>
    <col min="10" max="10" width="20" style="602" customWidth="1"/>
    <col min="11" max="16384" width="11.44140625" style="602"/>
  </cols>
  <sheetData>
    <row r="1" spans="1:10" s="4" customFormat="1" ht="18.600000000000001" thickBot="1">
      <c r="A1" s="1061" t="s">
        <v>128</v>
      </c>
      <c r="B1" s="1062"/>
      <c r="C1" s="1062"/>
      <c r="D1" s="1062"/>
      <c r="E1" s="1062"/>
      <c r="F1" s="1062"/>
      <c r="G1" s="1062"/>
      <c r="H1" s="1062"/>
      <c r="I1" s="1062"/>
      <c r="J1" s="1063"/>
    </row>
    <row r="2" spans="1:10" s="4" customFormat="1">
      <c r="A2" s="297" t="str">
        <f>CONCATENATE(PagePrincipale!$F$9)</f>
        <v>D3 Soft SARL AU</v>
      </c>
      <c r="B2" s="588"/>
      <c r="C2" s="588"/>
      <c r="D2" s="589"/>
      <c r="E2" s="589"/>
      <c r="F2" s="589"/>
      <c r="G2" s="589"/>
      <c r="H2" s="590"/>
      <c r="I2" s="589"/>
      <c r="J2" s="301" t="str">
        <f ca="1">PeriodeArrete_Au()</f>
        <v>Au 31/12/2017</v>
      </c>
    </row>
    <row r="3" spans="1:10" s="3" customFormat="1" ht="13.8">
      <c r="A3" s="591"/>
      <c r="B3" s="592"/>
      <c r="C3" s="593"/>
      <c r="D3" s="594"/>
      <c r="E3" s="595"/>
      <c r="F3" s="596" t="s">
        <v>534</v>
      </c>
      <c r="G3" s="1059">
        <f ca="1">SIMPL_Tab.12_Cod.1093_Lin.0_Typ.Double_Extra.0</f>
        <v>0</v>
      </c>
      <c r="H3" s="1060"/>
      <c r="I3" s="594" t="s">
        <v>129</v>
      </c>
      <c r="J3" s="597"/>
    </row>
    <row r="4" spans="1:10" s="3" customFormat="1" ht="13.8">
      <c r="A4" s="1058" t="s">
        <v>533</v>
      </c>
      <c r="B4" s="1058" t="s">
        <v>248</v>
      </c>
      <c r="C4" s="1058" t="s">
        <v>532</v>
      </c>
      <c r="D4" s="1058" t="s">
        <v>531</v>
      </c>
      <c r="E4" s="1058" t="s">
        <v>250</v>
      </c>
      <c r="F4" s="1058" t="s">
        <v>251</v>
      </c>
      <c r="G4" s="1058" t="s">
        <v>252</v>
      </c>
      <c r="H4" s="1058" t="s">
        <v>253</v>
      </c>
      <c r="I4" s="1058" t="s">
        <v>254</v>
      </c>
      <c r="J4" s="1058" t="s">
        <v>249</v>
      </c>
    </row>
    <row r="5" spans="1:10" s="3" customFormat="1" ht="13.8">
      <c r="A5" s="1013"/>
      <c r="B5" s="1013"/>
      <c r="C5" s="1013"/>
      <c r="D5" s="1013"/>
      <c r="E5" s="1013"/>
      <c r="F5" s="1013"/>
      <c r="G5" s="1013"/>
      <c r="H5" s="1013"/>
      <c r="I5" s="1013"/>
      <c r="J5" s="1013"/>
    </row>
    <row r="6" spans="1:10" s="3" customFormat="1" ht="13.8">
      <c r="A6" s="1013"/>
      <c r="B6" s="1013"/>
      <c r="C6" s="1013"/>
      <c r="D6" s="1013"/>
      <c r="E6" s="1013"/>
      <c r="F6" s="1013"/>
      <c r="G6" s="1013"/>
      <c r="H6" s="1013"/>
      <c r="I6" s="1013"/>
      <c r="J6" s="1013"/>
    </row>
    <row r="7" spans="1:10" s="3" customFormat="1" ht="13.8">
      <c r="A7" s="1013"/>
      <c r="B7" s="1013"/>
      <c r="C7" s="1013"/>
      <c r="D7" s="1013"/>
      <c r="E7" s="1013"/>
      <c r="F7" s="1013"/>
      <c r="G7" s="1013"/>
      <c r="H7" s="1013"/>
      <c r="I7" s="1013"/>
      <c r="J7" s="1013"/>
    </row>
    <row r="8" spans="1:10" s="3" customFormat="1" ht="13.8">
      <c r="A8" s="1013"/>
      <c r="B8" s="1013"/>
      <c r="C8" s="1013"/>
      <c r="D8" s="1013"/>
      <c r="E8" s="1013"/>
      <c r="F8" s="1013"/>
      <c r="G8" s="1013"/>
      <c r="H8" s="1013"/>
      <c r="I8" s="1013"/>
      <c r="J8" s="1013"/>
    </row>
    <row r="9" spans="1:10" s="3" customFormat="1" ht="13.8">
      <c r="A9" s="598"/>
      <c r="B9" s="598" t="s">
        <v>408</v>
      </c>
      <c r="C9" s="598" t="s">
        <v>409</v>
      </c>
      <c r="D9" s="598" t="s">
        <v>139</v>
      </c>
      <c r="E9" s="598" t="s">
        <v>411</v>
      </c>
      <c r="F9" s="598" t="s">
        <v>7</v>
      </c>
      <c r="G9" s="598" t="s">
        <v>511</v>
      </c>
      <c r="H9" s="598" t="s">
        <v>512</v>
      </c>
      <c r="I9" s="598" t="s">
        <v>176</v>
      </c>
      <c r="J9" s="598" t="s">
        <v>177</v>
      </c>
    </row>
    <row r="10" spans="1:10" s="249" customFormat="1" ht="13.8">
      <c r="A10" s="230"/>
      <c r="B10" s="231"/>
      <c r="C10" s="232"/>
      <c r="D10" s="233"/>
      <c r="E10" s="232"/>
      <c r="F10" s="234"/>
      <c r="G10" s="235"/>
      <c r="H10" s="232"/>
      <c r="I10" s="232"/>
      <c r="J10" s="232"/>
    </row>
    <row r="11" spans="1:10" s="249" customFormat="1" ht="13.8">
      <c r="A11" s="230"/>
      <c r="B11" s="231"/>
      <c r="C11" s="232"/>
      <c r="D11" s="233"/>
      <c r="E11" s="232"/>
      <c r="F11" s="234"/>
      <c r="G11" s="235"/>
      <c r="H11" s="232"/>
      <c r="I11" s="232"/>
      <c r="J11" s="232"/>
    </row>
    <row r="12" spans="1:10" s="249" customFormat="1" ht="13.8">
      <c r="A12" s="230"/>
      <c r="B12" s="231"/>
      <c r="C12" s="232"/>
      <c r="D12" s="233"/>
      <c r="E12" s="232"/>
      <c r="F12" s="234"/>
      <c r="G12" s="235"/>
      <c r="H12" s="232"/>
      <c r="I12" s="232"/>
      <c r="J12" s="232"/>
    </row>
    <row r="13" spans="1:10" s="249" customFormat="1" ht="13.8">
      <c r="A13" s="230"/>
      <c r="B13" s="231"/>
      <c r="C13" s="232"/>
      <c r="D13" s="233"/>
      <c r="E13" s="232"/>
      <c r="F13" s="234"/>
      <c r="G13" s="235"/>
      <c r="H13" s="232"/>
      <c r="I13" s="232"/>
      <c r="J13" s="232"/>
    </row>
    <row r="14" spans="1:10" s="249" customFormat="1" ht="13.8">
      <c r="A14" s="230"/>
      <c r="B14" s="231"/>
      <c r="C14" s="232"/>
      <c r="D14" s="233"/>
      <c r="E14" s="232"/>
      <c r="F14" s="234"/>
      <c r="G14" s="235"/>
      <c r="H14" s="232"/>
      <c r="I14" s="232"/>
      <c r="J14" s="232"/>
    </row>
    <row r="15" spans="1:10" s="249" customFormat="1" ht="13.8">
      <c r="A15" s="230"/>
      <c r="B15" s="231"/>
      <c r="C15" s="232"/>
      <c r="D15" s="233"/>
      <c r="E15" s="232"/>
      <c r="F15" s="234"/>
      <c r="G15" s="235"/>
      <c r="H15" s="232"/>
      <c r="I15" s="232"/>
      <c r="J15" s="232"/>
    </row>
    <row r="16" spans="1:10" s="249" customFormat="1" ht="13.8">
      <c r="A16" s="230"/>
      <c r="B16" s="231"/>
      <c r="C16" s="232"/>
      <c r="D16" s="233"/>
      <c r="E16" s="232"/>
      <c r="F16" s="234"/>
      <c r="G16" s="235"/>
      <c r="H16" s="232"/>
      <c r="I16" s="232"/>
      <c r="J16" s="232"/>
    </row>
    <row r="17" spans="1:10" s="249" customFormat="1" ht="13.8">
      <c r="A17" s="230"/>
      <c r="B17" s="231"/>
      <c r="C17" s="232"/>
      <c r="D17" s="233"/>
      <c r="E17" s="232"/>
      <c r="F17" s="234"/>
      <c r="G17" s="235"/>
      <c r="H17" s="232"/>
      <c r="I17" s="232"/>
      <c r="J17" s="232"/>
    </row>
    <row r="18" spans="1:10" s="249" customFormat="1" ht="13.8">
      <c r="A18" s="230"/>
      <c r="B18" s="231"/>
      <c r="C18" s="232"/>
      <c r="D18" s="233"/>
      <c r="E18" s="232"/>
      <c r="F18" s="234"/>
      <c r="G18" s="235"/>
      <c r="H18" s="232"/>
      <c r="I18" s="232"/>
      <c r="J18" s="232"/>
    </row>
    <row r="19" spans="1:10" s="249" customFormat="1" ht="13.8">
      <c r="A19" s="230"/>
      <c r="B19" s="231"/>
      <c r="C19" s="232"/>
      <c r="D19" s="233"/>
      <c r="E19" s="232"/>
      <c r="F19" s="234"/>
      <c r="G19" s="235"/>
      <c r="H19" s="232"/>
      <c r="I19" s="232"/>
      <c r="J19" s="232"/>
    </row>
    <row r="20" spans="1:10" s="249" customFormat="1" ht="13.8">
      <c r="A20" s="230"/>
      <c r="B20" s="231"/>
      <c r="C20" s="232"/>
      <c r="D20" s="233"/>
      <c r="E20" s="232"/>
      <c r="F20" s="234"/>
      <c r="G20" s="235"/>
      <c r="H20" s="232"/>
      <c r="I20" s="232"/>
      <c r="J20" s="232"/>
    </row>
    <row r="21" spans="1:10" s="249" customFormat="1" ht="13.8">
      <c r="A21" s="230"/>
      <c r="B21" s="231"/>
      <c r="C21" s="232"/>
      <c r="D21" s="233"/>
      <c r="E21" s="232"/>
      <c r="F21" s="234"/>
      <c r="G21" s="235"/>
      <c r="H21" s="232"/>
      <c r="I21" s="232"/>
      <c r="J21" s="232"/>
    </row>
    <row r="22" spans="1:10" s="249" customFormat="1" ht="13.8">
      <c r="A22" s="230"/>
      <c r="B22" s="231"/>
      <c r="C22" s="232"/>
      <c r="D22" s="233"/>
      <c r="E22" s="232"/>
      <c r="F22" s="234"/>
      <c r="G22" s="235"/>
      <c r="H22" s="232"/>
      <c r="I22" s="232"/>
      <c r="J22" s="232"/>
    </row>
    <row r="23" spans="1:10" s="249" customFormat="1" ht="13.8">
      <c r="A23" s="230"/>
      <c r="B23" s="231"/>
      <c r="C23" s="232"/>
      <c r="D23" s="233"/>
      <c r="E23" s="232"/>
      <c r="F23" s="234"/>
      <c r="G23" s="235"/>
      <c r="H23" s="232"/>
      <c r="I23" s="232"/>
      <c r="J23" s="232"/>
    </row>
    <row r="24" spans="1:10" s="249" customFormat="1" ht="13.8">
      <c r="A24" s="230"/>
      <c r="B24" s="231"/>
      <c r="C24" s="232"/>
      <c r="D24" s="233"/>
      <c r="E24" s="232"/>
      <c r="F24" s="234"/>
      <c r="G24" s="235"/>
      <c r="H24" s="232"/>
      <c r="I24" s="232"/>
      <c r="J24" s="232"/>
    </row>
    <row r="25" spans="1:10" s="249" customFormat="1" ht="13.8">
      <c r="A25" s="230"/>
      <c r="B25" s="231"/>
      <c r="C25" s="232"/>
      <c r="D25" s="233"/>
      <c r="E25" s="232"/>
      <c r="F25" s="234"/>
      <c r="G25" s="235"/>
      <c r="H25" s="232"/>
      <c r="I25" s="232"/>
      <c r="J25" s="232"/>
    </row>
    <row r="26" spans="1:10" ht="13.8">
      <c r="A26" s="599" t="s">
        <v>370</v>
      </c>
      <c r="B26" s="600" t="s">
        <v>104</v>
      </c>
      <c r="C26" s="601">
        <f ca="1">SUBTOTAL(9,INDIRECT(ADDRESS(ROW(C$9)+1,COLUMN(),4,TRUE)&amp;":"&amp;ADDRESS(ROW()-1,COLUMN(),4,TRUE)))</f>
        <v>0</v>
      </c>
      <c r="D26" s="601">
        <f ca="1">SUBTOTAL(9,INDIRECT(ADDRESS(ROW(D$9)+1,COLUMN(),4,TRUE)&amp;":"&amp;ADDRESS(ROW()-1,COLUMN(),4,TRUE)))</f>
        <v>0</v>
      </c>
      <c r="E26" s="601">
        <f ca="1">SUBTOTAL(9,INDIRECT(ADDRESS(ROW(E$9)+1,COLUMN(),4,TRUE)&amp;":"&amp;ADDRESS(ROW()-1,COLUMN(),4,TRUE)))</f>
        <v>0</v>
      </c>
      <c r="F26" s="600" t="s">
        <v>104</v>
      </c>
      <c r="G26" s="600" t="s">
        <v>104</v>
      </c>
      <c r="H26" s="601">
        <f ca="1">SUBTOTAL(9,INDIRECT(ADDRESS(ROW(H$9)+1,COLUMN(),4,TRUE)&amp;":"&amp;ADDRESS(ROW()-1,COLUMN(),4,TRUE)))</f>
        <v>0</v>
      </c>
      <c r="I26" s="601">
        <f ca="1">SUBTOTAL(9,INDIRECT(ADDRESS(ROW(I$9)+1,COLUMN(),4,TRUE)&amp;":"&amp;ADDRESS(ROW()-1,COLUMN(),4,TRUE)))</f>
        <v>0</v>
      </c>
      <c r="J26" s="600" t="s">
        <v>104</v>
      </c>
    </row>
  </sheetData>
  <sheetProtection formatCells="0" formatColumns="0" formatRows="0" insertRows="0" deleteRows="0" autoFilter="0"/>
  <autoFilter ref="A9:J26" xr:uid="{00000000-0009-0000-0000-000013000000}"/>
  <mergeCells count="12">
    <mergeCell ref="C4:C8"/>
    <mergeCell ref="G4:G8"/>
    <mergeCell ref="I4:I8"/>
    <mergeCell ref="G3:H3"/>
    <mergeCell ref="A1:J1"/>
    <mergeCell ref="H4:H8"/>
    <mergeCell ref="E4:E8"/>
    <mergeCell ref="F4:F8"/>
    <mergeCell ref="D4:D8"/>
    <mergeCell ref="B4:B8"/>
    <mergeCell ref="J4:J8"/>
    <mergeCell ref="A4:A8"/>
  </mergeCells>
  <phoneticPr fontId="0" type="noConversion"/>
  <printOptions horizontalCentered="1"/>
  <pageMargins left="0" right="0" top="0.59055118110236227" bottom="0" header="0.39370078740157483" footer="0.19685039370078741"/>
  <pageSetup paperSize="9" scale="90"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9459" r:id="rId5" name="CADRE_NEANT_T16_BOUTTON">
              <controlPr defaultSize="0" print="0" autoFill="0" autoLine="0" autoPict="0" macro="[0]!Cadre_Neant_Tab16">
                <anchor moveWithCells="1">
                  <from>
                    <xdr:col>9</xdr:col>
                    <xdr:colOff>716280</xdr:colOff>
                    <xdr:row>0</xdr:row>
                    <xdr:rowOff>7620</xdr:rowOff>
                  </from>
                  <to>
                    <xdr:col>9</xdr:col>
                    <xdr:colOff>1295400</xdr:colOff>
                    <xdr:row>0</xdr:row>
                    <xdr:rowOff>228600</xdr:rowOff>
                  </to>
                </anchor>
              </controlPr>
            </control>
          </mc:Choice>
        </mc:AlternateContent>
        <mc:AlternateContent xmlns:mc="http://schemas.openxmlformats.org/markup-compatibility/2006">
          <mc:Choice Requires="x14">
            <control shapeId="19460"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16_P"/>
  <dimension ref="A1:M37"/>
  <sheetViews>
    <sheetView workbookViewId="0">
      <selection sqref="A1:I1"/>
    </sheetView>
  </sheetViews>
  <sheetFormatPr baseColWidth="10" defaultColWidth="11.44140625" defaultRowHeight="13.2"/>
  <cols>
    <col min="1" max="1" width="13.5546875" style="602" customWidth="1"/>
    <col min="2" max="4" width="14.6640625" style="602" customWidth="1"/>
    <col min="5" max="6" width="13.5546875" style="602" customWidth="1"/>
    <col min="7" max="8" width="14.6640625" style="602" customWidth="1"/>
    <col min="9" max="9" width="30.6640625" style="602" customWidth="1"/>
    <col min="10" max="10" width="7" style="602" hidden="1" customWidth="1"/>
    <col min="11" max="11" width="6.109375" style="602" hidden="1" customWidth="1"/>
    <col min="12" max="12" width="15" style="602" hidden="1" customWidth="1"/>
    <col min="13" max="13" width="17.88671875" style="602" hidden="1" customWidth="1"/>
    <col min="14" max="16384" width="11.44140625" style="602"/>
  </cols>
  <sheetData>
    <row r="1" spans="1:13" s="4" customFormat="1" ht="18.600000000000001" thickBot="1">
      <c r="A1" s="1061" t="s">
        <v>128</v>
      </c>
      <c r="B1" s="1062"/>
      <c r="C1" s="1062"/>
      <c r="D1" s="1062"/>
      <c r="E1" s="1062"/>
      <c r="F1" s="1062"/>
      <c r="G1" s="1062"/>
      <c r="H1" s="1062"/>
      <c r="I1" s="1063"/>
    </row>
    <row r="2" spans="1:13" s="4" customFormat="1" ht="13.8">
      <c r="A2" s="297" t="str">
        <f>CONCATENATE(PagePrincipale!$F$9)</f>
        <v>D3 Soft SARL AU</v>
      </c>
      <c r="B2" s="659"/>
      <c r="C2" s="589"/>
      <c r="D2" s="589"/>
      <c r="E2" s="589"/>
      <c r="F2" s="589"/>
      <c r="G2" s="590"/>
      <c r="H2" s="589"/>
      <c r="I2" s="301" t="str">
        <f ca="1">PeriodeArrete_Au()</f>
        <v>Au 31/12/2017</v>
      </c>
      <c r="L2" s="674" t="s">
        <v>833</v>
      </c>
      <c r="M2" s="674">
        <f ca="1">LEFT(MID(WorkSheetName(M2),FIND("_",WorkSheetName(M2))+1,1000),FIND(" (",MID(WorkSheetName(M2),FIND("_",WorkSheetName(M2))+1,1000))-1)+0</f>
        <v>0</v>
      </c>
    </row>
    <row r="3" spans="1:13" s="4" customFormat="1" ht="13.8">
      <c r="A3" s="297"/>
      <c r="B3" s="659"/>
      <c r="C3" s="589"/>
      <c r="D3" s="589"/>
      <c r="E3" s="589"/>
      <c r="F3" s="589"/>
      <c r="G3" s="590"/>
      <c r="H3" s="589"/>
      <c r="I3" s="301"/>
      <c r="L3" s="674" t="s">
        <v>832</v>
      </c>
      <c r="M3" s="674">
        <f ca="1">COUNTIF(INDIRECT("'T16'!"&amp;Tableaux16_PlageField1),E9)</f>
        <v>0</v>
      </c>
    </row>
    <row r="4" spans="1:13" s="4" customFormat="1" ht="13.8">
      <c r="A4" s="648"/>
      <c r="B4" s="649"/>
      <c r="C4" s="668"/>
      <c r="D4" s="650"/>
      <c r="E4" s="649" t="s">
        <v>820</v>
      </c>
      <c r="F4" s="1065">
        <f ca="1">SUMIF(INDIRECT(SUBSTITUTE(ADDRESS(1,1,4,,Tableaux16_Feuille),"A1",Tableaux16_PlageField1)),E9,INDIRECT(SUBSTITUTE(ADDRESS(1,1,4,,Tableaux16_Feuille),"A1",Tableaux16_PlageField2)))</f>
        <v>0</v>
      </c>
      <c r="G4" s="1065"/>
      <c r="H4" s="651" t="s">
        <v>129</v>
      </c>
      <c r="I4" s="652"/>
      <c r="L4" s="674" t="s">
        <v>831</v>
      </c>
      <c r="M4" s="674">
        <f ca="1">IF(M3&lt;=20,1,1+ROUNDUP((M3-20)/19,0))</f>
        <v>1</v>
      </c>
    </row>
    <row r="5" spans="1:13" s="4" customFormat="1" ht="13.8">
      <c r="A5" s="653"/>
      <c r="B5" s="654"/>
      <c r="C5" s="41"/>
      <c r="D5" s="654"/>
      <c r="E5" s="654" t="str">
        <f ca="1">" - Détail : cf. feuillets annexes, au nombre de "&amp;M4</f>
        <v xml:space="preserve"> - Détail : cf. feuillets annexes, au nombre de 1</v>
      </c>
      <c r="F5" s="654"/>
      <c r="G5" s="654"/>
      <c r="H5" s="654"/>
      <c r="I5" s="655"/>
      <c r="L5" s="674" t="s">
        <v>830</v>
      </c>
      <c r="M5" s="674">
        <f ca="1">LEFT(MID(WorkSheetName(M5),FIND("(",WorkSheetName(M5))+1,1000),FIND(")",MID(WorkSheetName(M5),FIND("(",WorkSheetName(M5))+1,1000))-1)+0</f>
        <v>0</v>
      </c>
    </row>
    <row r="6" spans="1:13" s="4" customFormat="1" ht="13.8">
      <c r="A6" s="648"/>
      <c r="B6" s="649" t="s">
        <v>821</v>
      </c>
      <c r="C6" s="649"/>
      <c r="D6" s="649"/>
      <c r="E6" s="649"/>
      <c r="F6" s="649"/>
      <c r="G6" s="649"/>
      <c r="H6" s="649"/>
      <c r="I6" s="652"/>
    </row>
    <row r="7" spans="1:13" s="4" customFormat="1" ht="13.8">
      <c r="A7" s="653" t="s">
        <v>822</v>
      </c>
      <c r="B7" s="654"/>
      <c r="C7" s="654"/>
      <c r="D7" s="654"/>
      <c r="E7" s="654"/>
      <c r="F7" s="41"/>
      <c r="G7" s="41"/>
      <c r="H7" s="41"/>
      <c r="I7" s="42"/>
    </row>
    <row r="8" spans="1:13" s="4" customFormat="1" ht="13.8">
      <c r="A8" s="648"/>
      <c r="B8" s="649"/>
      <c r="C8" s="656" t="s">
        <v>823</v>
      </c>
      <c r="D8" s="649"/>
      <c r="E8" s="657">
        <f>IF(YEAR(SIMPL_Cell_exerciceFiscalDu)=YEAR(SIMPL_Cell_exerciceFiscalAu),YEAR(SIMPL_Cell_exerciceFiscalAu),YEAR(SIMPL_Cell_exerciceFiscalDu)&amp;"-"&amp;YEAR(SIMPL_Cell_exerciceFiscalAu))</f>
        <v>2017</v>
      </c>
      <c r="F8" s="668"/>
      <c r="G8" s="668"/>
      <c r="H8" s="668"/>
      <c r="I8" s="666"/>
    </row>
    <row r="9" spans="1:13" s="4" customFormat="1" ht="13.8">
      <c r="A9" s="653" t="str">
        <f ca="1">"Feuillet n° "&amp;M5</f>
        <v>Feuillet n° 0</v>
      </c>
      <c r="B9" s="654"/>
      <c r="C9" s="654" t="s">
        <v>824</v>
      </c>
      <c r="D9" s="654"/>
      <c r="E9" s="658" t="e">
        <f ca="1">OFFSET(INDIRECT(ADDRESS(1,1,,,"Complements2")),M2-1,0)</f>
        <v>#REF!</v>
      </c>
      <c r="F9" s="667"/>
      <c r="G9" s="41"/>
      <c r="H9" s="654"/>
      <c r="I9" s="655"/>
    </row>
    <row r="10" spans="1:13" s="4" customFormat="1" ht="13.8">
      <c r="A10" s="1066" t="s">
        <v>248</v>
      </c>
      <c r="B10" s="1067" t="s">
        <v>825</v>
      </c>
      <c r="C10" s="1068"/>
      <c r="D10" s="1067" t="s">
        <v>829</v>
      </c>
      <c r="E10" s="1069"/>
      <c r="F10" s="1069"/>
      <c r="G10" s="1069"/>
      <c r="H10" s="1068"/>
      <c r="I10" s="1066" t="s">
        <v>249</v>
      </c>
    </row>
    <row r="11" spans="1:13" s="4" customFormat="1" ht="12.75" customHeight="1">
      <c r="A11" s="1066"/>
      <c r="B11" s="1064" t="s">
        <v>826</v>
      </c>
      <c r="C11" s="1064" t="s">
        <v>827</v>
      </c>
      <c r="D11" s="1064" t="s">
        <v>250</v>
      </c>
      <c r="E11" s="1064" t="s">
        <v>251</v>
      </c>
      <c r="F11" s="1064" t="s">
        <v>252</v>
      </c>
      <c r="G11" s="1064" t="s">
        <v>253</v>
      </c>
      <c r="H11" s="1064" t="s">
        <v>254</v>
      </c>
      <c r="I11" s="1070"/>
      <c r="L11" s="669"/>
    </row>
    <row r="12" spans="1:13" s="4" customFormat="1">
      <c r="A12" s="1066"/>
      <c r="B12" s="1058"/>
      <c r="C12" s="1058"/>
      <c r="D12" s="1058"/>
      <c r="E12" s="1058"/>
      <c r="F12" s="1058"/>
      <c r="G12" s="1058"/>
      <c r="H12" s="1058"/>
      <c r="I12" s="1070"/>
    </row>
    <row r="13" spans="1:13" s="4" customFormat="1">
      <c r="A13" s="1066"/>
      <c r="B13" s="1058"/>
      <c r="C13" s="1058"/>
      <c r="D13" s="1058"/>
      <c r="E13" s="1058"/>
      <c r="F13" s="1058"/>
      <c r="G13" s="1058"/>
      <c r="H13" s="1058"/>
      <c r="I13" s="1070"/>
    </row>
    <row r="14" spans="1:13" s="4" customFormat="1">
      <c r="A14" s="1066"/>
      <c r="B14" s="1058"/>
      <c r="C14" s="1058"/>
      <c r="D14" s="1058"/>
      <c r="E14" s="1058"/>
      <c r="F14" s="1058"/>
      <c r="G14" s="1058"/>
      <c r="H14" s="1058"/>
      <c r="I14" s="1070"/>
    </row>
    <row r="15" spans="1:13" s="4" customFormat="1">
      <c r="A15" s="1066"/>
      <c r="B15" s="1058"/>
      <c r="C15" s="1058"/>
      <c r="D15" s="1058"/>
      <c r="E15" s="1058"/>
      <c r="F15" s="1058"/>
      <c r="G15" s="1058"/>
      <c r="H15" s="1058"/>
      <c r="I15" s="1070"/>
    </row>
    <row r="16" spans="1:13" s="4" customFormat="1" ht="13.8">
      <c r="A16" s="598" t="s">
        <v>408</v>
      </c>
      <c r="B16" s="598" t="s">
        <v>409</v>
      </c>
      <c r="C16" s="598" t="s">
        <v>139</v>
      </c>
      <c r="D16" s="598" t="s">
        <v>411</v>
      </c>
      <c r="E16" s="598" t="s">
        <v>7</v>
      </c>
      <c r="F16" s="598" t="s">
        <v>511</v>
      </c>
      <c r="G16" s="598" t="s">
        <v>512</v>
      </c>
      <c r="H16" s="598" t="s">
        <v>176</v>
      </c>
      <c r="I16" s="598" t="s">
        <v>177</v>
      </c>
    </row>
    <row r="17" spans="1:13" s="4" customFormat="1">
      <c r="A17" s="660" t="str">
        <f ca="1">IF(ISERR(J17)=FALSE,IF(J17="Report","Report",OFFSET(INDIRECT(M17),MATCH($E$9,INDIRECT(L17),0),1)),"")</f>
        <v>Report</v>
      </c>
      <c r="B17" s="670" t="e">
        <f ca="1">IF(ISERR(J17)=FALSE,IF(J17="Report",INDIRECT(ADDRESS(37,COLUMN(),,,LEFT(WorkSheetName(L17),FIND("(",WorkSheetName(L17)))&amp;M5-1&amp;")")),OFFSET(INDIRECT(M17),MATCH($E$9,INDIRECT(L17),0),2)),"")</f>
        <v>#REF!</v>
      </c>
      <c r="C17" s="671" t="e">
        <f ca="1">IF(ISERR(J17)=FALSE,IF(J17="Report",INDIRECT(ADDRESS(37,COLUMN(),,,LEFT(WorkSheetName(L17),FIND("(",WorkSheetName(L17)))&amp;M5-1&amp;")")),OFFSET(INDIRECT(M17),MATCH($E$9,INDIRECT(L17),0),3)),"")</f>
        <v>#REF!</v>
      </c>
      <c r="D17" s="670" t="e">
        <f ca="1">IF(ISERR(J17)=FALSE,IF(J17="Report",INDIRECT(ADDRESS(37,COLUMN(),,,LEFT(WorkSheetName(L17),FIND("(",WorkSheetName(L17)))&amp;M5-1&amp;")")),OFFSET(INDIRECT(M17),MATCH($E$9,INDIRECT(L17),0),4)),"")</f>
        <v>#REF!</v>
      </c>
      <c r="E17" s="672" t="str">
        <f ca="1">IF(ISERR(J17)=FALSE,IF(J17="Report","",OFFSET(INDIRECT(M17),MATCH($E$9,INDIRECT(L17),0),5)),"")</f>
        <v/>
      </c>
      <c r="F17" s="692" t="str">
        <f ca="1">IF(ISERR(J17)=FALSE,IF(J17="Report","",OFFSET(INDIRECT(M17),MATCH($E$9,INDIRECT(L17),0),6)),"")</f>
        <v/>
      </c>
      <c r="G17" s="670" t="e">
        <f ca="1">IF(ISERR(J17)=FALSE,IF(J17="Report",INDIRECT(ADDRESS(37,COLUMN(),,,LEFT(WorkSheetName(L17),FIND("(",WorkSheetName(L17)))&amp;M5-1&amp;")")),OFFSET(INDIRECT(M17),MATCH($E$9,INDIRECT(L17),0),7)),"")</f>
        <v>#REF!</v>
      </c>
      <c r="H17" s="670" t="e">
        <f ca="1">IF(ISERR(J17)=FALSE,IF(J17="Report",INDIRECT(ADDRESS(37,COLUMN(),,,LEFT(WorkSheetName(L17),FIND("(",WorkSheetName(L17)))&amp;M5-1&amp;")")),OFFSET(INDIRECT(M17),MATCH($E$9,INDIRECT(L17),0),8)),"")</f>
        <v>#REF!</v>
      </c>
      <c r="I17" s="670" t="str">
        <f ca="1">IF(ISERR(J17)=FALSE,IF(J17="Report","",CONCATENATE(OFFSET(INDIRECT(M17),MATCH($E$9,INDIRECT(L17),0),9))),"")</f>
        <v/>
      </c>
      <c r="J17" s="4" t="str">
        <f ca="1">IF($M$5+0=1,1,"Report")</f>
        <v>Report</v>
      </c>
      <c r="K17" s="4" t="str">
        <f ca="1">IF(J17="Report","0",ROW(OFFSET(INDIRECT(M17),MATCH($E$9,INDIRECT(L17),0),0)))</f>
        <v>0</v>
      </c>
      <c r="L17" s="4" t="str">
        <f ca="1">IF(J17=1,ADDRESS(Tableaux16_LigneDeb,Tableaux16_ColonneType,,,Tableaux16_Feuille)&amp;":"&amp;ADDRESS(Tableaux16_LigneFin,Tableaux16_ColonneType),"")</f>
        <v/>
      </c>
      <c r="M17" s="4" t="str">
        <f ca="1">IF(J17=1,ADDRESS(Tableaux16_LigneDeb-1,Tableaux16_ColonneType,,,Tableaux16_Feuille),"")</f>
        <v/>
      </c>
    </row>
    <row r="18" spans="1:13" s="4" customFormat="1">
      <c r="A18" s="661" t="e">
        <f ca="1">IF(ISERR(J18)=FALSE,OFFSET(INDIRECT(M18),MATCH($E$9,INDIRECT(L18),0),1),"")</f>
        <v>#REF!</v>
      </c>
      <c r="B18" s="662" t="e">
        <f ca="1">IF(ISERR(J18)=FALSE,OFFSET(INDIRECT(M18),MATCH($E$9,INDIRECT(L18),0),2),"")</f>
        <v>#REF!</v>
      </c>
      <c r="C18" s="673" t="e">
        <f ca="1">IF(ISERR(J18)=FALSE,OFFSET(INDIRECT(M18),MATCH($E$9,INDIRECT(L18),0),3),"")</f>
        <v>#REF!</v>
      </c>
      <c r="D18" s="662" t="e">
        <f ca="1">IF(ISERR(J18)=FALSE,OFFSET(INDIRECT(M18),MATCH($E$9,INDIRECT(L18),0),4),"")</f>
        <v>#REF!</v>
      </c>
      <c r="E18" s="663" t="e">
        <f ca="1">IF(ISERR(J18)=FALSE,OFFSET(INDIRECT(M18),MATCH($E$9,INDIRECT(L18),0),5),"")</f>
        <v>#REF!</v>
      </c>
      <c r="F18" s="693" t="e">
        <f ca="1">IF(ISERR(J18)=FALSE,OFFSET(INDIRECT(M18),MATCH($E$9,INDIRECT(L18),0),6),"")</f>
        <v>#REF!</v>
      </c>
      <c r="G18" s="662" t="e">
        <f ca="1">IF(ISERR(J18)=FALSE,OFFSET(INDIRECT(M18),MATCH($E$9,INDIRECT(L18),0),7),"")</f>
        <v>#REF!</v>
      </c>
      <c r="H18" s="662" t="e">
        <f ca="1">IF(ISERR(J18)=FALSE,OFFSET(INDIRECT(M18),MATCH($E$9,INDIRECT(L18),0),8),"")</f>
        <v>#REF!</v>
      </c>
      <c r="I18" s="662" t="e">
        <f t="shared" ref="I18:I25" ca="1" si="0">IF(ISERR(J18)=FALSE,CONCATENATE(OFFSET(INDIRECT(M18),MATCH($E$9,INDIRECT(L18),0),9)),"")</f>
        <v>#REF!</v>
      </c>
      <c r="J18" s="4">
        <f ca="1">IF(IF($M$5+0=1,J17+1,20+(19*($M$5-2))+1)&lt;=$M$3+0,IF($M$5+0=1,J17+1,20+(19*($M$5-2))+1),0/0)</f>
        <v>-17</v>
      </c>
      <c r="K18" s="4" t="e">
        <f ca="1">ROW(OFFSET(INDIRECT(M18),MATCH($E$9,INDIRECT(L18),0),0))</f>
        <v>#REF!</v>
      </c>
      <c r="L18" s="4" t="e">
        <f ca="1">IF(J17=1,ADDRESS(K17+1,Tableaux16_ColonneType,,,Tableaux16_Feuille)&amp;":"&amp;ADDRESS(Tableaux16_LigneFin,Tableaux16_ColonneType),ADDRESS(INDIRECT(ADDRESS(36,11,,,LEFT(WorkSheetName(L17),FIND("(",WorkSheetName(L17)))&amp;M5-1&amp;")"))+1,Tableaux16_ColonneType,,,Tableaux16_Feuille)&amp;":"&amp;ADDRESS(Tableaux16_LigneFin,Tableaux16_ColonneType))</f>
        <v>#REF!</v>
      </c>
      <c r="M18" s="4" t="e">
        <f ca="1">IF(J17=1,ADDRESS(K17,Tableaux16_ColonneType,,,Tableaux16_Feuille),ADDRESS(INDIRECT(ADDRESS(36,11,,,LEFT(WorkSheetName(M17),FIND("(",WorkSheetName(M17)))&amp;M5-1&amp;")")),Tableaux16_ColonneType,,,Tableaux16_Feuille))</f>
        <v>#REF!</v>
      </c>
    </row>
    <row r="19" spans="1:13" s="4" customFormat="1">
      <c r="A19" s="661" t="e">
        <f t="shared" ref="A19:A36" ca="1" si="1">IF(ISERR(J19)=FALSE,OFFSET(INDIRECT(M19),MATCH($E$9,INDIRECT(L19),0),1),"")</f>
        <v>#REF!</v>
      </c>
      <c r="B19" s="662" t="e">
        <f t="shared" ref="B19:B36" ca="1" si="2">IF(ISERR(J19)=FALSE,OFFSET(INDIRECT(M19),MATCH($E$9,INDIRECT(L19),0),2),"")</f>
        <v>#REF!</v>
      </c>
      <c r="C19" s="673" t="e">
        <f t="shared" ref="C19:C36" ca="1" si="3">IF(ISERR(J19)=FALSE,OFFSET(INDIRECT(M19),MATCH($E$9,INDIRECT(L19),0),3),"")</f>
        <v>#REF!</v>
      </c>
      <c r="D19" s="662" t="e">
        <f t="shared" ref="D19:D36" ca="1" si="4">IF(ISERR(J19)=FALSE,OFFSET(INDIRECT(M19),MATCH($E$9,INDIRECT(L19),0),4),"")</f>
        <v>#REF!</v>
      </c>
      <c r="E19" s="663" t="e">
        <f t="shared" ref="E19:E36" ca="1" si="5">IF(ISERR(J19)=FALSE,OFFSET(INDIRECT(M19),MATCH($E$9,INDIRECT(L19),0),5),"")</f>
        <v>#REF!</v>
      </c>
      <c r="F19" s="693" t="e">
        <f t="shared" ref="F19:F36" ca="1" si="6">IF(ISERR(J19)=FALSE,OFFSET(INDIRECT(M19),MATCH($E$9,INDIRECT(L19),0),6),"")</f>
        <v>#REF!</v>
      </c>
      <c r="G19" s="662" t="e">
        <f t="shared" ref="G19:G36" ca="1" si="7">IF(ISERR(J19)=FALSE,OFFSET(INDIRECT(M19),MATCH($E$9,INDIRECT(L19),0),7),"")</f>
        <v>#REF!</v>
      </c>
      <c r="H19" s="662" t="e">
        <f t="shared" ref="H19:H36" ca="1" si="8">IF(ISERR(J19)=FALSE,OFFSET(INDIRECT(M19),MATCH($E$9,INDIRECT(L19),0),8),"")</f>
        <v>#REF!</v>
      </c>
      <c r="I19" s="662" t="e">
        <f t="shared" ca="1" si="0"/>
        <v>#REF!</v>
      </c>
      <c r="J19" s="4">
        <f ca="1">IF(IF($M$5+0=1,J18+1,20+(19*($M$5-2))+2)&lt;=$M$3+0,IF($M$5+0=1,J18+1,20+(19*($M$5-2))+2),0/0)</f>
        <v>-16</v>
      </c>
      <c r="K19" s="4" t="e">
        <f t="shared" ref="K19:K36" ca="1" si="9">ROW(OFFSET(INDIRECT(M19),MATCH($E$9,INDIRECT(L19),0),0))</f>
        <v>#REF!</v>
      </c>
      <c r="L19" s="4" t="e">
        <f t="shared" ref="L19:L36" ca="1" si="10">ADDRESS(K18+1,Tableaux16_ColonneType,,,Tableaux16_Feuille)&amp;":"&amp;ADDRESS(Tableaux16_LigneFin,Tableaux16_ColonneType)</f>
        <v>#REF!</v>
      </c>
      <c r="M19" s="4" t="e">
        <f t="shared" ref="M19:M36" ca="1" si="11">ADDRESS(K18,Tableaux16_ColonneType,,,Tableaux16_Feuille)</f>
        <v>#REF!</v>
      </c>
    </row>
    <row r="20" spans="1:13" s="4" customFormat="1">
      <c r="A20" s="661" t="e">
        <f t="shared" ca="1" si="1"/>
        <v>#REF!</v>
      </c>
      <c r="B20" s="662" t="e">
        <f t="shared" ca="1" si="2"/>
        <v>#REF!</v>
      </c>
      <c r="C20" s="673" t="e">
        <f t="shared" ca="1" si="3"/>
        <v>#REF!</v>
      </c>
      <c r="D20" s="662" t="e">
        <f t="shared" ca="1" si="4"/>
        <v>#REF!</v>
      </c>
      <c r="E20" s="663" t="e">
        <f t="shared" ca="1" si="5"/>
        <v>#REF!</v>
      </c>
      <c r="F20" s="693" t="e">
        <f t="shared" ca="1" si="6"/>
        <v>#REF!</v>
      </c>
      <c r="G20" s="662" t="e">
        <f t="shared" ca="1" si="7"/>
        <v>#REF!</v>
      </c>
      <c r="H20" s="662" t="e">
        <f t="shared" ca="1" si="8"/>
        <v>#REF!</v>
      </c>
      <c r="I20" s="662" t="e">
        <f t="shared" ca="1" si="0"/>
        <v>#REF!</v>
      </c>
      <c r="J20" s="4">
        <f ca="1">IF(IF($M$5+0=1,J19+1,20+(19*($M$5-2))+3)&lt;=$M$3+0,IF($M$5+0=1,J19+1,20+(19*($M$5-2))+3),0/0)</f>
        <v>-15</v>
      </c>
      <c r="K20" s="4" t="e">
        <f t="shared" ca="1" si="9"/>
        <v>#REF!</v>
      </c>
      <c r="L20" s="4" t="e">
        <f t="shared" ca="1" si="10"/>
        <v>#REF!</v>
      </c>
      <c r="M20" s="4" t="e">
        <f t="shared" ca="1" si="11"/>
        <v>#REF!</v>
      </c>
    </row>
    <row r="21" spans="1:13" s="4" customFormat="1">
      <c r="A21" s="661" t="e">
        <f t="shared" ca="1" si="1"/>
        <v>#REF!</v>
      </c>
      <c r="B21" s="662" t="e">
        <f t="shared" ca="1" si="2"/>
        <v>#REF!</v>
      </c>
      <c r="C21" s="673" t="e">
        <f t="shared" ca="1" si="3"/>
        <v>#REF!</v>
      </c>
      <c r="D21" s="662" t="e">
        <f t="shared" ca="1" si="4"/>
        <v>#REF!</v>
      </c>
      <c r="E21" s="663" t="e">
        <f t="shared" ca="1" si="5"/>
        <v>#REF!</v>
      </c>
      <c r="F21" s="693" t="e">
        <f t="shared" ca="1" si="6"/>
        <v>#REF!</v>
      </c>
      <c r="G21" s="662" t="e">
        <f t="shared" ca="1" si="7"/>
        <v>#REF!</v>
      </c>
      <c r="H21" s="662" t="e">
        <f t="shared" ca="1" si="8"/>
        <v>#REF!</v>
      </c>
      <c r="I21" s="662" t="e">
        <f t="shared" ca="1" si="0"/>
        <v>#REF!</v>
      </c>
      <c r="J21" s="4">
        <f ca="1">IF(IF($M$5+0=1,J20+1,20+(19*($M$5-2))+4)&lt;=$M$3+0,IF($M$5+0=1,J20+1,20+(19*($M$5-2))+4),0/0)</f>
        <v>-14</v>
      </c>
      <c r="K21" s="4" t="e">
        <f t="shared" ca="1" si="9"/>
        <v>#REF!</v>
      </c>
      <c r="L21" s="4" t="e">
        <f t="shared" ca="1" si="10"/>
        <v>#REF!</v>
      </c>
      <c r="M21" s="4" t="e">
        <f t="shared" ca="1" si="11"/>
        <v>#REF!</v>
      </c>
    </row>
    <row r="22" spans="1:13" s="4" customFormat="1">
      <c r="A22" s="661" t="e">
        <f t="shared" ca="1" si="1"/>
        <v>#REF!</v>
      </c>
      <c r="B22" s="662" t="e">
        <f t="shared" ca="1" si="2"/>
        <v>#REF!</v>
      </c>
      <c r="C22" s="673" t="e">
        <f t="shared" ca="1" si="3"/>
        <v>#REF!</v>
      </c>
      <c r="D22" s="662" t="e">
        <f t="shared" ca="1" si="4"/>
        <v>#REF!</v>
      </c>
      <c r="E22" s="663" t="e">
        <f t="shared" ca="1" si="5"/>
        <v>#REF!</v>
      </c>
      <c r="F22" s="693" t="e">
        <f t="shared" ca="1" si="6"/>
        <v>#REF!</v>
      </c>
      <c r="G22" s="662" t="e">
        <f t="shared" ca="1" si="7"/>
        <v>#REF!</v>
      </c>
      <c r="H22" s="662" t="e">
        <f t="shared" ca="1" si="8"/>
        <v>#REF!</v>
      </c>
      <c r="I22" s="662" t="e">
        <f t="shared" ca="1" si="0"/>
        <v>#REF!</v>
      </c>
      <c r="J22" s="4">
        <f ca="1">IF(IF($M$5+0=1,J21+1,20+(19*($M$5-2))+5)&lt;=$M$3+0,IF($M$5+0=1,J21+1,20+(19*($M$5-2))+5),0/0)</f>
        <v>-13</v>
      </c>
      <c r="K22" s="4" t="e">
        <f t="shared" ca="1" si="9"/>
        <v>#REF!</v>
      </c>
      <c r="L22" s="4" t="e">
        <f t="shared" ca="1" si="10"/>
        <v>#REF!</v>
      </c>
      <c r="M22" s="4" t="e">
        <f t="shared" ca="1" si="11"/>
        <v>#REF!</v>
      </c>
    </row>
    <row r="23" spans="1:13" s="4" customFormat="1">
      <c r="A23" s="661" t="e">
        <f t="shared" ca="1" si="1"/>
        <v>#REF!</v>
      </c>
      <c r="B23" s="662" t="e">
        <f t="shared" ca="1" si="2"/>
        <v>#REF!</v>
      </c>
      <c r="C23" s="673" t="e">
        <f t="shared" ca="1" si="3"/>
        <v>#REF!</v>
      </c>
      <c r="D23" s="662" t="e">
        <f t="shared" ca="1" si="4"/>
        <v>#REF!</v>
      </c>
      <c r="E23" s="663" t="e">
        <f t="shared" ca="1" si="5"/>
        <v>#REF!</v>
      </c>
      <c r="F23" s="693" t="e">
        <f t="shared" ca="1" si="6"/>
        <v>#REF!</v>
      </c>
      <c r="G23" s="662" t="e">
        <f t="shared" ca="1" si="7"/>
        <v>#REF!</v>
      </c>
      <c r="H23" s="662" t="e">
        <f t="shared" ca="1" si="8"/>
        <v>#REF!</v>
      </c>
      <c r="I23" s="662" t="e">
        <f t="shared" ca="1" si="0"/>
        <v>#REF!</v>
      </c>
      <c r="J23" s="4">
        <f ca="1">IF(IF($M$5+0=1,J22+1,20+(19*($M$5-2))+6)&lt;=$M$3+0,IF($M$5+0=1,J22+1,20+(19*($M$5-2))+6),0/0)</f>
        <v>-12</v>
      </c>
      <c r="K23" s="4" t="e">
        <f t="shared" ca="1" si="9"/>
        <v>#REF!</v>
      </c>
      <c r="L23" s="4" t="e">
        <f t="shared" ca="1" si="10"/>
        <v>#REF!</v>
      </c>
      <c r="M23" s="4" t="e">
        <f t="shared" ca="1" si="11"/>
        <v>#REF!</v>
      </c>
    </row>
    <row r="24" spans="1:13" s="4" customFormat="1">
      <c r="A24" s="661" t="e">
        <f t="shared" ca="1" si="1"/>
        <v>#REF!</v>
      </c>
      <c r="B24" s="662" t="e">
        <f t="shared" ca="1" si="2"/>
        <v>#REF!</v>
      </c>
      <c r="C24" s="673" t="e">
        <f t="shared" ca="1" si="3"/>
        <v>#REF!</v>
      </c>
      <c r="D24" s="662" t="e">
        <f t="shared" ca="1" si="4"/>
        <v>#REF!</v>
      </c>
      <c r="E24" s="663" t="e">
        <f t="shared" ca="1" si="5"/>
        <v>#REF!</v>
      </c>
      <c r="F24" s="693" t="e">
        <f t="shared" ca="1" si="6"/>
        <v>#REF!</v>
      </c>
      <c r="G24" s="662" t="e">
        <f t="shared" ca="1" si="7"/>
        <v>#REF!</v>
      </c>
      <c r="H24" s="662" t="e">
        <f t="shared" ca="1" si="8"/>
        <v>#REF!</v>
      </c>
      <c r="I24" s="662" t="e">
        <f t="shared" ca="1" si="0"/>
        <v>#REF!</v>
      </c>
      <c r="J24" s="4">
        <f ca="1">IF(IF($M$5+0=1,J23+1,20+(19*($M$5-2))+7)&lt;=$M$3+0,IF($M$5+0=1,J23+1,20+(19*($M$5-2))+7),0/0)</f>
        <v>-11</v>
      </c>
      <c r="K24" s="4" t="e">
        <f t="shared" ca="1" si="9"/>
        <v>#REF!</v>
      </c>
      <c r="L24" s="4" t="e">
        <f t="shared" ca="1" si="10"/>
        <v>#REF!</v>
      </c>
      <c r="M24" s="4" t="e">
        <f t="shared" ca="1" si="11"/>
        <v>#REF!</v>
      </c>
    </row>
    <row r="25" spans="1:13" s="4" customFormat="1">
      <c r="A25" s="661" t="e">
        <f t="shared" ca="1" si="1"/>
        <v>#REF!</v>
      </c>
      <c r="B25" s="662" t="e">
        <f t="shared" ca="1" si="2"/>
        <v>#REF!</v>
      </c>
      <c r="C25" s="673" t="e">
        <f t="shared" ca="1" si="3"/>
        <v>#REF!</v>
      </c>
      <c r="D25" s="662" t="e">
        <f t="shared" ca="1" si="4"/>
        <v>#REF!</v>
      </c>
      <c r="E25" s="663" t="e">
        <f t="shared" ca="1" si="5"/>
        <v>#REF!</v>
      </c>
      <c r="F25" s="693" t="e">
        <f t="shared" ca="1" si="6"/>
        <v>#REF!</v>
      </c>
      <c r="G25" s="662" t="e">
        <f t="shared" ca="1" si="7"/>
        <v>#REF!</v>
      </c>
      <c r="H25" s="662" t="e">
        <f t="shared" ca="1" si="8"/>
        <v>#REF!</v>
      </c>
      <c r="I25" s="662" t="e">
        <f t="shared" ca="1" si="0"/>
        <v>#REF!</v>
      </c>
      <c r="J25" s="4">
        <f ca="1">IF(IF($M$5+0=1,J24+1,20+(19*($M$5-2))+8)&lt;=$M$3+0,IF($M$5+0=1,J24+1,20+(19*($M$5-2))+8),0/0)</f>
        <v>-10</v>
      </c>
      <c r="K25" s="4" t="e">
        <f t="shared" ca="1" si="9"/>
        <v>#REF!</v>
      </c>
      <c r="L25" s="4" t="e">
        <f t="shared" ca="1" si="10"/>
        <v>#REF!</v>
      </c>
      <c r="M25" s="4" t="e">
        <f t="shared" ca="1" si="11"/>
        <v>#REF!</v>
      </c>
    </row>
    <row r="26" spans="1:13" s="4" customFormat="1">
      <c r="A26" s="661" t="e">
        <f t="shared" ca="1" si="1"/>
        <v>#REF!</v>
      </c>
      <c r="B26" s="662" t="e">
        <f t="shared" ca="1" si="2"/>
        <v>#REF!</v>
      </c>
      <c r="C26" s="673" t="e">
        <f t="shared" ca="1" si="3"/>
        <v>#REF!</v>
      </c>
      <c r="D26" s="662" t="e">
        <f t="shared" ca="1" si="4"/>
        <v>#REF!</v>
      </c>
      <c r="E26" s="663" t="e">
        <f t="shared" ca="1" si="5"/>
        <v>#REF!</v>
      </c>
      <c r="F26" s="693" t="e">
        <f t="shared" ca="1" si="6"/>
        <v>#REF!</v>
      </c>
      <c r="G26" s="662" t="e">
        <f t="shared" ca="1" si="7"/>
        <v>#REF!</v>
      </c>
      <c r="H26" s="662" t="e">
        <f t="shared" ca="1" si="8"/>
        <v>#REF!</v>
      </c>
      <c r="I26" s="662" t="e">
        <f t="shared" ref="I26:I36" ca="1" si="12">IF(ISERR(J26)=FALSE,CONCATENATE(OFFSET(INDIRECT(M26),MATCH($E$9,INDIRECT(L26),0),9)),"")</f>
        <v>#REF!</v>
      </c>
      <c r="J26" s="4">
        <f ca="1">IF(IF($M$5+0=1,J25+1,20+(19*($M$5-2))+9)&lt;=$M$3+0,IF($M$5+0=1,J25+1,20+(19*($M$5-2))+9),0/0)</f>
        <v>-9</v>
      </c>
      <c r="K26" s="4" t="e">
        <f t="shared" ca="1" si="9"/>
        <v>#REF!</v>
      </c>
      <c r="L26" s="4" t="e">
        <f t="shared" ca="1" si="10"/>
        <v>#REF!</v>
      </c>
      <c r="M26" s="4" t="e">
        <f t="shared" ca="1" si="11"/>
        <v>#REF!</v>
      </c>
    </row>
    <row r="27" spans="1:13" s="4" customFormat="1">
      <c r="A27" s="661" t="e">
        <f t="shared" ca="1" si="1"/>
        <v>#REF!</v>
      </c>
      <c r="B27" s="662" t="e">
        <f t="shared" ca="1" si="2"/>
        <v>#REF!</v>
      </c>
      <c r="C27" s="673" t="e">
        <f t="shared" ca="1" si="3"/>
        <v>#REF!</v>
      </c>
      <c r="D27" s="662" t="e">
        <f t="shared" ca="1" si="4"/>
        <v>#REF!</v>
      </c>
      <c r="E27" s="663" t="e">
        <f t="shared" ca="1" si="5"/>
        <v>#REF!</v>
      </c>
      <c r="F27" s="693" t="e">
        <f t="shared" ca="1" si="6"/>
        <v>#REF!</v>
      </c>
      <c r="G27" s="662" t="e">
        <f t="shared" ca="1" si="7"/>
        <v>#REF!</v>
      </c>
      <c r="H27" s="662" t="e">
        <f t="shared" ca="1" si="8"/>
        <v>#REF!</v>
      </c>
      <c r="I27" s="662" t="e">
        <f t="shared" ca="1" si="12"/>
        <v>#REF!</v>
      </c>
      <c r="J27" s="4">
        <f ca="1">IF(IF($M$5+0=1,J26+1,20+(19*($M$5-2))+10)&lt;=$M$3+0,IF($M$5+0=1,J26+1,20+(19*($M$5-2))+10),0/0)</f>
        <v>-8</v>
      </c>
      <c r="K27" s="4" t="e">
        <f t="shared" ca="1" si="9"/>
        <v>#REF!</v>
      </c>
      <c r="L27" s="4" t="e">
        <f t="shared" ca="1" si="10"/>
        <v>#REF!</v>
      </c>
      <c r="M27" s="4" t="e">
        <f t="shared" ca="1" si="11"/>
        <v>#REF!</v>
      </c>
    </row>
    <row r="28" spans="1:13" s="4" customFormat="1">
      <c r="A28" s="661" t="e">
        <f t="shared" ca="1" si="1"/>
        <v>#REF!</v>
      </c>
      <c r="B28" s="662" t="e">
        <f t="shared" ca="1" si="2"/>
        <v>#REF!</v>
      </c>
      <c r="C28" s="673" t="e">
        <f t="shared" ca="1" si="3"/>
        <v>#REF!</v>
      </c>
      <c r="D28" s="662" t="e">
        <f t="shared" ca="1" si="4"/>
        <v>#REF!</v>
      </c>
      <c r="E28" s="663" t="e">
        <f t="shared" ca="1" si="5"/>
        <v>#REF!</v>
      </c>
      <c r="F28" s="693" t="e">
        <f t="shared" ca="1" si="6"/>
        <v>#REF!</v>
      </c>
      <c r="G28" s="662" t="e">
        <f t="shared" ca="1" si="7"/>
        <v>#REF!</v>
      </c>
      <c r="H28" s="662" t="e">
        <f t="shared" ca="1" si="8"/>
        <v>#REF!</v>
      </c>
      <c r="I28" s="662" t="e">
        <f t="shared" ca="1" si="12"/>
        <v>#REF!</v>
      </c>
      <c r="J28" s="4">
        <f ca="1">IF(IF($M$5+0=1,J27+1,20+(19*($M$5-2))+11)&lt;=$M$3+0,IF($M$5+0=1,J27+1,20+(19*($M$5-2))+11),0/0)</f>
        <v>-7</v>
      </c>
      <c r="K28" s="4" t="e">
        <f t="shared" ca="1" si="9"/>
        <v>#REF!</v>
      </c>
      <c r="L28" s="4" t="e">
        <f t="shared" ca="1" si="10"/>
        <v>#REF!</v>
      </c>
      <c r="M28" s="4" t="e">
        <f t="shared" ca="1" si="11"/>
        <v>#REF!</v>
      </c>
    </row>
    <row r="29" spans="1:13">
      <c r="A29" s="661" t="e">
        <f t="shared" ca="1" si="1"/>
        <v>#REF!</v>
      </c>
      <c r="B29" s="662" t="e">
        <f t="shared" ca="1" si="2"/>
        <v>#REF!</v>
      </c>
      <c r="C29" s="673" t="e">
        <f t="shared" ca="1" si="3"/>
        <v>#REF!</v>
      </c>
      <c r="D29" s="662" t="e">
        <f t="shared" ca="1" si="4"/>
        <v>#REF!</v>
      </c>
      <c r="E29" s="663" t="e">
        <f t="shared" ca="1" si="5"/>
        <v>#REF!</v>
      </c>
      <c r="F29" s="693" t="e">
        <f t="shared" ca="1" si="6"/>
        <v>#REF!</v>
      </c>
      <c r="G29" s="662" t="e">
        <f t="shared" ca="1" si="7"/>
        <v>#REF!</v>
      </c>
      <c r="H29" s="662" t="e">
        <f t="shared" ca="1" si="8"/>
        <v>#REF!</v>
      </c>
      <c r="I29" s="662" t="e">
        <f t="shared" ca="1" si="12"/>
        <v>#REF!</v>
      </c>
      <c r="J29" s="4">
        <f ca="1">IF(IF($M$5+0=1,J28+1,20+(19*($M$5-2))+12)&lt;=$M$3+0,IF($M$5+0=1,J28+1,20+(19*($M$5-2))+12),0/0)</f>
        <v>-6</v>
      </c>
      <c r="K29" s="4" t="e">
        <f t="shared" ca="1" si="9"/>
        <v>#REF!</v>
      </c>
      <c r="L29" s="4" t="e">
        <f t="shared" ca="1" si="10"/>
        <v>#REF!</v>
      </c>
      <c r="M29" s="4" t="e">
        <f t="shared" ca="1" si="11"/>
        <v>#REF!</v>
      </c>
    </row>
    <row r="30" spans="1:13">
      <c r="A30" s="661" t="e">
        <f t="shared" ca="1" si="1"/>
        <v>#REF!</v>
      </c>
      <c r="B30" s="662" t="e">
        <f t="shared" ca="1" si="2"/>
        <v>#REF!</v>
      </c>
      <c r="C30" s="673" t="e">
        <f t="shared" ca="1" si="3"/>
        <v>#REF!</v>
      </c>
      <c r="D30" s="662" t="e">
        <f t="shared" ca="1" si="4"/>
        <v>#REF!</v>
      </c>
      <c r="E30" s="663" t="e">
        <f t="shared" ca="1" si="5"/>
        <v>#REF!</v>
      </c>
      <c r="F30" s="693" t="e">
        <f t="shared" ca="1" si="6"/>
        <v>#REF!</v>
      </c>
      <c r="G30" s="662" t="e">
        <f t="shared" ca="1" si="7"/>
        <v>#REF!</v>
      </c>
      <c r="H30" s="662" t="e">
        <f t="shared" ca="1" si="8"/>
        <v>#REF!</v>
      </c>
      <c r="I30" s="662" t="e">
        <f t="shared" ca="1" si="12"/>
        <v>#REF!</v>
      </c>
      <c r="J30" s="4">
        <f ca="1">IF(IF($M$5+0=1,J29+1,20+(19*($M$5-2))+13)&lt;=$M$3+0,IF($M$5+0=1,J29+1,20+(19*($M$5-2))+13),0/0)</f>
        <v>-5</v>
      </c>
      <c r="K30" s="4" t="e">
        <f t="shared" ca="1" si="9"/>
        <v>#REF!</v>
      </c>
      <c r="L30" s="4" t="e">
        <f t="shared" ca="1" si="10"/>
        <v>#REF!</v>
      </c>
      <c r="M30" s="4" t="e">
        <f t="shared" ca="1" si="11"/>
        <v>#REF!</v>
      </c>
    </row>
    <row r="31" spans="1:13">
      <c r="A31" s="661" t="e">
        <f t="shared" ca="1" si="1"/>
        <v>#REF!</v>
      </c>
      <c r="B31" s="662" t="e">
        <f t="shared" ca="1" si="2"/>
        <v>#REF!</v>
      </c>
      <c r="C31" s="673" t="e">
        <f t="shared" ca="1" si="3"/>
        <v>#REF!</v>
      </c>
      <c r="D31" s="662" t="e">
        <f t="shared" ca="1" si="4"/>
        <v>#REF!</v>
      </c>
      <c r="E31" s="663" t="e">
        <f t="shared" ca="1" si="5"/>
        <v>#REF!</v>
      </c>
      <c r="F31" s="693" t="e">
        <f t="shared" ca="1" si="6"/>
        <v>#REF!</v>
      </c>
      <c r="G31" s="662" t="e">
        <f t="shared" ca="1" si="7"/>
        <v>#REF!</v>
      </c>
      <c r="H31" s="662" t="e">
        <f t="shared" ca="1" si="8"/>
        <v>#REF!</v>
      </c>
      <c r="I31" s="662" t="e">
        <f t="shared" ca="1" si="12"/>
        <v>#REF!</v>
      </c>
      <c r="J31" s="4">
        <f ca="1">IF(IF($M$5+0=1,J30+1,20+(19*($M$5-2))+14)&lt;=$M$3+0,IF($M$5+0=1,J30+1,20+(19*($M$5-2))+14),0/0)</f>
        <v>-4</v>
      </c>
      <c r="K31" s="4" t="e">
        <f t="shared" ca="1" si="9"/>
        <v>#REF!</v>
      </c>
      <c r="L31" s="4" t="e">
        <f t="shared" ca="1" si="10"/>
        <v>#REF!</v>
      </c>
      <c r="M31" s="4" t="e">
        <f t="shared" ca="1" si="11"/>
        <v>#REF!</v>
      </c>
    </row>
    <row r="32" spans="1:13">
      <c r="A32" s="661" t="e">
        <f t="shared" ca="1" si="1"/>
        <v>#REF!</v>
      </c>
      <c r="B32" s="662" t="e">
        <f t="shared" ca="1" si="2"/>
        <v>#REF!</v>
      </c>
      <c r="C32" s="673" t="e">
        <f t="shared" ca="1" si="3"/>
        <v>#REF!</v>
      </c>
      <c r="D32" s="662" t="e">
        <f t="shared" ca="1" si="4"/>
        <v>#REF!</v>
      </c>
      <c r="E32" s="663" t="e">
        <f t="shared" ca="1" si="5"/>
        <v>#REF!</v>
      </c>
      <c r="F32" s="693" t="e">
        <f t="shared" ca="1" si="6"/>
        <v>#REF!</v>
      </c>
      <c r="G32" s="662" t="e">
        <f t="shared" ca="1" si="7"/>
        <v>#REF!</v>
      </c>
      <c r="H32" s="662" t="e">
        <f t="shared" ca="1" si="8"/>
        <v>#REF!</v>
      </c>
      <c r="I32" s="662" t="e">
        <f t="shared" ca="1" si="12"/>
        <v>#REF!</v>
      </c>
      <c r="J32" s="4">
        <f ca="1">IF(IF($M$5+0=1,J31+1,20+(19*($M$5-2))+15)&lt;=$M$3+0,IF($M$5+0=1,J31+1,20+(19*($M$5-2))+15),0/0)</f>
        <v>-3</v>
      </c>
      <c r="K32" s="4" t="e">
        <f t="shared" ca="1" si="9"/>
        <v>#REF!</v>
      </c>
      <c r="L32" s="4" t="e">
        <f t="shared" ca="1" si="10"/>
        <v>#REF!</v>
      </c>
      <c r="M32" s="4" t="e">
        <f t="shared" ca="1" si="11"/>
        <v>#REF!</v>
      </c>
    </row>
    <row r="33" spans="1:13">
      <c r="A33" s="661" t="e">
        <f t="shared" ca="1" si="1"/>
        <v>#REF!</v>
      </c>
      <c r="B33" s="662" t="e">
        <f t="shared" ca="1" si="2"/>
        <v>#REF!</v>
      </c>
      <c r="C33" s="673" t="e">
        <f t="shared" ca="1" si="3"/>
        <v>#REF!</v>
      </c>
      <c r="D33" s="662" t="e">
        <f t="shared" ca="1" si="4"/>
        <v>#REF!</v>
      </c>
      <c r="E33" s="663" t="e">
        <f t="shared" ca="1" si="5"/>
        <v>#REF!</v>
      </c>
      <c r="F33" s="693" t="e">
        <f t="shared" ca="1" si="6"/>
        <v>#REF!</v>
      </c>
      <c r="G33" s="662" t="e">
        <f t="shared" ca="1" si="7"/>
        <v>#REF!</v>
      </c>
      <c r="H33" s="662" t="e">
        <f t="shared" ca="1" si="8"/>
        <v>#REF!</v>
      </c>
      <c r="I33" s="662" t="e">
        <f t="shared" ca="1" si="12"/>
        <v>#REF!</v>
      </c>
      <c r="J33" s="4">
        <f ca="1">IF(IF($M$5+0=1,J32+1,20+(19*($M$5-2))+16)&lt;=$M$3+0,IF($M$5+0=1,J32+1,20+(19*($M$5-2))+16),0/0)</f>
        <v>-2</v>
      </c>
      <c r="K33" s="4" t="e">
        <f t="shared" ca="1" si="9"/>
        <v>#REF!</v>
      </c>
      <c r="L33" s="4" t="e">
        <f t="shared" ca="1" si="10"/>
        <v>#REF!</v>
      </c>
      <c r="M33" s="4" t="e">
        <f t="shared" ca="1" si="11"/>
        <v>#REF!</v>
      </c>
    </row>
    <row r="34" spans="1:13">
      <c r="A34" s="661" t="e">
        <f t="shared" ca="1" si="1"/>
        <v>#REF!</v>
      </c>
      <c r="B34" s="662" t="e">
        <f t="shared" ca="1" si="2"/>
        <v>#REF!</v>
      </c>
      <c r="C34" s="673" t="e">
        <f t="shared" ca="1" si="3"/>
        <v>#REF!</v>
      </c>
      <c r="D34" s="662" t="e">
        <f t="shared" ca="1" si="4"/>
        <v>#REF!</v>
      </c>
      <c r="E34" s="663" t="e">
        <f t="shared" ca="1" si="5"/>
        <v>#REF!</v>
      </c>
      <c r="F34" s="693" t="e">
        <f t="shared" ca="1" si="6"/>
        <v>#REF!</v>
      </c>
      <c r="G34" s="662" t="e">
        <f t="shared" ca="1" si="7"/>
        <v>#REF!</v>
      </c>
      <c r="H34" s="662" t="e">
        <f t="shared" ca="1" si="8"/>
        <v>#REF!</v>
      </c>
      <c r="I34" s="662" t="e">
        <f t="shared" ca="1" si="12"/>
        <v>#REF!</v>
      </c>
      <c r="J34" s="4">
        <f ca="1">IF(IF($M$5+0=1,J33+1,20+(19*($M$5-2))+17)&lt;=$M$3+0,IF($M$5+0=1,J33+1,20+(19*($M$5-2))+17),0/0)</f>
        <v>-1</v>
      </c>
      <c r="K34" s="4" t="e">
        <f t="shared" ca="1" si="9"/>
        <v>#REF!</v>
      </c>
      <c r="L34" s="4" t="e">
        <f t="shared" ca="1" si="10"/>
        <v>#REF!</v>
      </c>
      <c r="M34" s="4" t="e">
        <f t="shared" ca="1" si="11"/>
        <v>#REF!</v>
      </c>
    </row>
    <row r="35" spans="1:13">
      <c r="A35" s="661" t="e">
        <f t="shared" ca="1" si="1"/>
        <v>#REF!</v>
      </c>
      <c r="B35" s="662" t="e">
        <f t="shared" ca="1" si="2"/>
        <v>#REF!</v>
      </c>
      <c r="C35" s="673" t="e">
        <f t="shared" ca="1" si="3"/>
        <v>#REF!</v>
      </c>
      <c r="D35" s="662" t="e">
        <f t="shared" ca="1" si="4"/>
        <v>#REF!</v>
      </c>
      <c r="E35" s="663" t="e">
        <f t="shared" ca="1" si="5"/>
        <v>#REF!</v>
      </c>
      <c r="F35" s="693" t="e">
        <f t="shared" ca="1" si="6"/>
        <v>#REF!</v>
      </c>
      <c r="G35" s="662" t="e">
        <f t="shared" ca="1" si="7"/>
        <v>#REF!</v>
      </c>
      <c r="H35" s="662" t="e">
        <f t="shared" ca="1" si="8"/>
        <v>#REF!</v>
      </c>
      <c r="I35" s="662" t="e">
        <f t="shared" ca="1" si="12"/>
        <v>#REF!</v>
      </c>
      <c r="J35" s="4">
        <f ca="1">IF(IF($M$5+0=1,J34+1,20+(19*($M$5-2))+18)&lt;=$M$3+0,IF($M$5+0=1,J34+1,20+(19*($M$5-2))+18),0/0)</f>
        <v>0</v>
      </c>
      <c r="K35" s="4" t="e">
        <f t="shared" ca="1" si="9"/>
        <v>#REF!</v>
      </c>
      <c r="L35" s="4" t="e">
        <f t="shared" ca="1" si="10"/>
        <v>#REF!</v>
      </c>
      <c r="M35" s="4" t="e">
        <f t="shared" ca="1" si="11"/>
        <v>#REF!</v>
      </c>
    </row>
    <row r="36" spans="1:13">
      <c r="A36" s="661" t="str">
        <f t="shared" ca="1" si="1"/>
        <v/>
      </c>
      <c r="B36" s="662" t="str">
        <f t="shared" ca="1" si="2"/>
        <v/>
      </c>
      <c r="C36" s="673" t="str">
        <f t="shared" ca="1" si="3"/>
        <v/>
      </c>
      <c r="D36" s="662" t="str">
        <f t="shared" ca="1" si="4"/>
        <v/>
      </c>
      <c r="E36" s="663" t="str">
        <f t="shared" ca="1" si="5"/>
        <v/>
      </c>
      <c r="F36" s="693" t="str">
        <f t="shared" ca="1" si="6"/>
        <v/>
      </c>
      <c r="G36" s="662" t="str">
        <f t="shared" ca="1" si="7"/>
        <v/>
      </c>
      <c r="H36" s="662" t="str">
        <f t="shared" ca="1" si="8"/>
        <v/>
      </c>
      <c r="I36" s="662" t="str">
        <f t="shared" ca="1" si="12"/>
        <v/>
      </c>
      <c r="J36" s="4" t="e">
        <f ca="1">IF(IF($M$5+0=1,J35+1,20+(19*($M$5-2))+19)&lt;=$M$3+0,IF($M$5+0=1,J35+1,20+(19*($M$5-2))+19),0/0)</f>
        <v>#DIV/0!</v>
      </c>
      <c r="K36" s="4" t="e">
        <f t="shared" ca="1" si="9"/>
        <v>#REF!</v>
      </c>
      <c r="L36" s="4" t="e">
        <f t="shared" ca="1" si="10"/>
        <v>#REF!</v>
      </c>
      <c r="M36" s="4" t="e">
        <f t="shared" ca="1" si="11"/>
        <v>#REF!</v>
      </c>
    </row>
    <row r="37" spans="1:13" ht="13.8">
      <c r="A37" s="665" t="s">
        <v>828</v>
      </c>
      <c r="B37" s="601" t="e">
        <f ca="1">SUM(B17:B36)</f>
        <v>#REF!</v>
      </c>
      <c r="C37" s="601" t="e">
        <f ca="1">SUM(C17:C36)</f>
        <v>#REF!</v>
      </c>
      <c r="D37" s="601" t="e">
        <f ca="1">SUM(D17:D36)</f>
        <v>#REF!</v>
      </c>
      <c r="E37" s="664" t="s">
        <v>104</v>
      </c>
      <c r="F37" s="664" t="s">
        <v>104</v>
      </c>
      <c r="G37" s="601" t="e">
        <f ca="1">SUM(G17:G36)</f>
        <v>#REF!</v>
      </c>
      <c r="H37" s="601" t="e">
        <f ca="1">SUM(H17:H36)</f>
        <v>#REF!</v>
      </c>
      <c r="I37" s="664" t="s">
        <v>104</v>
      </c>
    </row>
  </sheetData>
  <sheetProtection formatCells="0" formatColumns="0" formatRows="0" insertRows="0" deleteRows="0" autoFilter="0"/>
  <mergeCells count="13">
    <mergeCell ref="F11:F15"/>
    <mergeCell ref="G11:G15"/>
    <mergeCell ref="H11:H15"/>
    <mergeCell ref="A1:I1"/>
    <mergeCell ref="F4:G4"/>
    <mergeCell ref="A10:A15"/>
    <mergeCell ref="B10:C10"/>
    <mergeCell ref="D10:H10"/>
    <mergeCell ref="I10:I15"/>
    <mergeCell ref="B11:B15"/>
    <mergeCell ref="C11:C15"/>
    <mergeCell ref="D11:D15"/>
    <mergeCell ref="E11:E15"/>
  </mergeCells>
  <conditionalFormatting sqref="A17">
    <cfRule type="expression" dxfId="25" priority="9">
      <formula>J17="Report"</formula>
    </cfRule>
  </conditionalFormatting>
  <conditionalFormatting sqref="B17">
    <cfRule type="expression" dxfId="24" priority="8">
      <formula>J17="Report"</formula>
    </cfRule>
  </conditionalFormatting>
  <conditionalFormatting sqref="C17">
    <cfRule type="expression" dxfId="23" priority="7">
      <formula>J17="Report"</formula>
    </cfRule>
  </conditionalFormatting>
  <conditionalFormatting sqref="D17">
    <cfRule type="expression" dxfId="22" priority="6">
      <formula>J17="Report"</formula>
    </cfRule>
  </conditionalFormatting>
  <conditionalFormatting sqref="E17">
    <cfRule type="expression" dxfId="21" priority="5">
      <formula>J17="Report"</formula>
    </cfRule>
  </conditionalFormatting>
  <conditionalFormatting sqref="F17">
    <cfRule type="expression" dxfId="20" priority="4">
      <formula>J17="Report"</formula>
    </cfRule>
  </conditionalFormatting>
  <conditionalFormatting sqref="G17">
    <cfRule type="expression" dxfId="19" priority="3">
      <formula>J17="Report"</formula>
    </cfRule>
  </conditionalFormatting>
  <conditionalFormatting sqref="H17">
    <cfRule type="expression" dxfId="18" priority="2">
      <formula>J17="Report"</formula>
    </cfRule>
  </conditionalFormatting>
  <conditionalFormatting sqref="I17">
    <cfRule type="expression" dxfId="17" priority="1">
      <formula>J17="Report"</formula>
    </cfRule>
  </conditionalFormatting>
  <printOptions horizontalCentered="1"/>
  <pageMargins left="0" right="0" top="0.59055118110236227" bottom="0" header="0.39370078740157483" footer="0.19685039370078741"/>
  <pageSetup paperSize="9" scale="90" orientation="landscape" r:id="rId1"/>
  <headerFooter alignWithMargins="0">
    <oddHeader>&amp;R&amp;"Tahoma,Gras"&amp;8Tableau &amp;A (&amp;P/&amp;N)</oddHeader>
    <oddFooter>&amp;L&amp;3www.xedis.ma</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17"/>
  <dimension ref="A1:J19"/>
  <sheetViews>
    <sheetView workbookViewId="0">
      <selection activeCell="C4" sqref="C4"/>
    </sheetView>
  </sheetViews>
  <sheetFormatPr baseColWidth="10" defaultColWidth="11.44140625" defaultRowHeight="13.8"/>
  <cols>
    <col min="1" max="1" width="3" style="14" customWidth="1"/>
    <col min="2" max="2" width="25.33203125" style="14" customWidth="1"/>
    <col min="3" max="10" width="13.6640625" style="14" customWidth="1"/>
    <col min="11" max="16384" width="11.44140625" style="3"/>
  </cols>
  <sheetData>
    <row r="1" spans="1:10" ht="18.600000000000001" thickBot="1">
      <c r="A1" s="1071" t="s">
        <v>226</v>
      </c>
      <c r="B1" s="1072"/>
      <c r="C1" s="1072"/>
      <c r="D1" s="1072"/>
      <c r="E1" s="1072"/>
      <c r="F1" s="1072"/>
      <c r="G1" s="1072"/>
      <c r="H1" s="1072"/>
      <c r="I1" s="1072"/>
      <c r="J1" s="1073"/>
    </row>
    <row r="2" spans="1:10">
      <c r="A2" s="1" t="str">
        <f>CONCATENATE(PagePrincipale!$F$9)</f>
        <v>D3 Soft SARL AU</v>
      </c>
      <c r="G2" s="13"/>
      <c r="H2" s="15"/>
      <c r="I2" s="15"/>
      <c r="J2" s="2" t="str">
        <f ca="1">PeriodeArrete_DuAu()</f>
        <v>Du 1/1/2017 Au 31/12/2017</v>
      </c>
    </row>
    <row r="3" spans="1:10" s="12" customFormat="1" ht="82.8">
      <c r="A3" s="1074" t="s">
        <v>434</v>
      </c>
      <c r="B3" s="1074"/>
      <c r="C3" s="16" t="s">
        <v>227</v>
      </c>
      <c r="D3" s="16" t="s">
        <v>228</v>
      </c>
      <c r="E3" s="16" t="s">
        <v>229</v>
      </c>
      <c r="F3" s="16" t="s">
        <v>230</v>
      </c>
      <c r="G3" s="16" t="s">
        <v>536</v>
      </c>
      <c r="H3" s="16" t="s">
        <v>231</v>
      </c>
      <c r="I3" s="16" t="s">
        <v>232</v>
      </c>
      <c r="J3" s="16" t="s">
        <v>173</v>
      </c>
    </row>
    <row r="4" spans="1:10">
      <c r="A4" s="17">
        <v>1</v>
      </c>
      <c r="B4" s="17" t="s">
        <v>233</v>
      </c>
      <c r="C4" s="250"/>
      <c r="D4" s="250"/>
      <c r="E4" s="250"/>
      <c r="F4" s="250"/>
      <c r="G4" s="250"/>
      <c r="H4" s="250"/>
      <c r="I4" s="250"/>
      <c r="J4" s="250"/>
    </row>
    <row r="5" spans="1:10">
      <c r="A5" s="18">
        <v>2</v>
      </c>
      <c r="B5" s="18" t="s">
        <v>42</v>
      </c>
      <c r="C5" s="251"/>
      <c r="D5" s="251"/>
      <c r="E5" s="251"/>
      <c r="F5" s="251"/>
      <c r="G5" s="251"/>
      <c r="H5" s="251"/>
      <c r="I5" s="251"/>
      <c r="J5" s="251"/>
    </row>
    <row r="6" spans="1:10">
      <c r="A6" s="18">
        <v>3</v>
      </c>
      <c r="B6" s="18" t="s">
        <v>29</v>
      </c>
      <c r="C6" s="251"/>
      <c r="D6" s="251"/>
      <c r="E6" s="251"/>
      <c r="F6" s="251"/>
      <c r="G6" s="251"/>
      <c r="H6" s="251"/>
      <c r="I6" s="251"/>
      <c r="J6" s="251"/>
    </row>
    <row r="7" spans="1:10">
      <c r="A7" s="18">
        <v>4</v>
      </c>
      <c r="B7" s="18" t="s">
        <v>44</v>
      </c>
      <c r="C7" s="251"/>
      <c r="D7" s="251"/>
      <c r="E7" s="251"/>
      <c r="F7" s="251"/>
      <c r="G7" s="251"/>
      <c r="H7" s="251"/>
      <c r="I7" s="251"/>
      <c r="J7" s="251"/>
    </row>
    <row r="8" spans="1:10">
      <c r="A8" s="18">
        <v>5</v>
      </c>
      <c r="B8" s="18" t="s">
        <v>30</v>
      </c>
      <c r="C8" s="251"/>
      <c r="D8" s="251"/>
      <c r="E8" s="251"/>
      <c r="F8" s="251"/>
      <c r="G8" s="251"/>
      <c r="H8" s="251"/>
      <c r="I8" s="251"/>
      <c r="J8" s="251"/>
    </row>
    <row r="9" spans="1:10">
      <c r="A9" s="18">
        <v>6</v>
      </c>
      <c r="B9" s="18" t="s">
        <v>31</v>
      </c>
      <c r="C9" s="251"/>
      <c r="D9" s="251"/>
      <c r="E9" s="251"/>
      <c r="F9" s="252"/>
      <c r="G9" s="251"/>
      <c r="H9" s="251"/>
      <c r="I9" s="251"/>
      <c r="J9" s="251"/>
    </row>
    <row r="10" spans="1:10">
      <c r="A10" s="18">
        <v>7</v>
      </c>
      <c r="B10" s="18" t="s">
        <v>350</v>
      </c>
      <c r="C10" s="251"/>
      <c r="D10" s="251"/>
      <c r="E10" s="251"/>
      <c r="F10" s="251"/>
      <c r="G10" s="251"/>
      <c r="H10" s="251"/>
      <c r="I10" s="251"/>
      <c r="J10" s="251"/>
    </row>
    <row r="11" spans="1:10">
      <c r="A11" s="18">
        <v>8</v>
      </c>
      <c r="B11" s="18" t="s">
        <v>122</v>
      </c>
      <c r="C11" s="251"/>
      <c r="D11" s="251"/>
      <c r="E11" s="251"/>
      <c r="F11" s="251"/>
      <c r="G11" s="251"/>
      <c r="H11" s="251"/>
      <c r="I11" s="251"/>
      <c r="J11" s="251"/>
    </row>
    <row r="12" spans="1:10">
      <c r="A12" s="18">
        <v>9</v>
      </c>
      <c r="B12" s="18" t="s">
        <v>376</v>
      </c>
      <c r="C12" s="251"/>
      <c r="D12" s="251"/>
      <c r="E12" s="251"/>
      <c r="F12" s="251"/>
      <c r="G12" s="251"/>
      <c r="H12" s="251"/>
      <c r="I12" s="251"/>
      <c r="J12" s="251"/>
    </row>
    <row r="13" spans="1:10">
      <c r="A13" s="19">
        <v>10</v>
      </c>
      <c r="B13" s="19" t="s">
        <v>377</v>
      </c>
      <c r="C13" s="253"/>
      <c r="D13" s="253"/>
      <c r="E13" s="253"/>
      <c r="F13" s="253"/>
      <c r="G13" s="253"/>
      <c r="H13" s="253"/>
      <c r="I13" s="253"/>
      <c r="J13" s="253"/>
    </row>
    <row r="14" spans="1:10">
      <c r="A14" s="1075" t="s">
        <v>370</v>
      </c>
      <c r="B14" s="1076"/>
      <c r="C14" s="20">
        <f t="shared" ref="C14:H14" si="0">SUM(C4:C13)</f>
        <v>0</v>
      </c>
      <c r="D14" s="20">
        <f t="shared" si="0"/>
        <v>0</v>
      </c>
      <c r="E14" s="20">
        <f t="shared" si="0"/>
        <v>0</v>
      </c>
      <c r="F14" s="20">
        <f t="shared" si="0"/>
        <v>0</v>
      </c>
      <c r="G14" s="20">
        <f t="shared" si="0"/>
        <v>0</v>
      </c>
      <c r="H14" s="20">
        <f t="shared" si="0"/>
        <v>0</v>
      </c>
      <c r="I14" s="20">
        <f>SUM(I4:I13)</f>
        <v>0</v>
      </c>
      <c r="J14" s="132" t="s">
        <v>104</v>
      </c>
    </row>
    <row r="15" spans="1:10">
      <c r="A15" s="22" t="s">
        <v>787</v>
      </c>
      <c r="B15" s="22"/>
    </row>
    <row r="16" spans="1:10">
      <c r="A16" s="22" t="s">
        <v>788</v>
      </c>
      <c r="B16" s="22"/>
    </row>
    <row r="17" spans="1:2">
      <c r="A17" s="21"/>
      <c r="B17" s="22"/>
    </row>
    <row r="18" spans="1:2">
      <c r="A18" s="23"/>
    </row>
    <row r="19" spans="1:2">
      <c r="A19" s="23"/>
    </row>
  </sheetData>
  <sheetProtection formatCells="0"/>
  <mergeCells count="3">
    <mergeCell ref="A1:J1"/>
    <mergeCell ref="A3:B3"/>
    <mergeCell ref="A14:B14"/>
  </mergeCells>
  <phoneticPr fontId="0" type="noConversion"/>
  <printOptions horizontalCentered="1"/>
  <pageMargins left="0" right="0" top="0.78740157480314965" bottom="0" header="0.59055118110236227" footer="0.19685039370078741"/>
  <pageSetup paperSize="9"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GoToMain">
              <controlPr defaultSize="0" print="0" autoFill="0" autoPict="0" macro="[0]!GoToMain">
                <anchor>
                  <from>
                    <xdr:col>0</xdr:col>
                    <xdr:colOff>0</xdr:colOff>
                    <xdr:row>0</xdr:row>
                    <xdr:rowOff>0</xdr:rowOff>
                  </from>
                  <to>
                    <xdr:col>1</xdr:col>
                    <xdr:colOff>160020</xdr:colOff>
                    <xdr:row>0</xdr:row>
                    <xdr:rowOff>228600</xdr:rowOff>
                  </to>
                </anchor>
              </controlPr>
            </control>
          </mc:Choice>
        </mc:AlternateContent>
        <mc:AlternateContent xmlns:mc="http://schemas.openxmlformats.org/markup-compatibility/2006">
          <mc:Choice Requires="x14">
            <control shapeId="20482" r:id="rId5" name="CADRE_NEANT_T17_BOUTTON">
              <controlPr defaultSize="0" print="0" autoFill="0" autoLine="0" autoPict="0" macro="[0]!Cadre_Neant_Tab17">
                <anchor moveWithCells="1">
                  <from>
                    <xdr:col>9</xdr:col>
                    <xdr:colOff>289560</xdr:colOff>
                    <xdr:row>0</xdr:row>
                    <xdr:rowOff>7620</xdr:rowOff>
                  </from>
                  <to>
                    <xdr:col>9</xdr:col>
                    <xdr:colOff>868680</xdr:colOff>
                    <xdr:row>0</xdr:row>
                    <xdr:rowOff>228600</xdr:rowOff>
                  </to>
                </anchor>
              </controlPr>
            </control>
          </mc:Choice>
        </mc:AlternateContent>
        <mc:AlternateContent xmlns:mc="http://schemas.openxmlformats.org/markup-compatibility/2006">
          <mc:Choice Requires="x14">
            <control shapeId="20483" r:id="rId6" name="GoToLast">
              <controlPr defaultSize="0" print="0" autoFill="0" autoPict="0" macro="[0]!GoToLastSelection">
                <anchor moveWithCells="1" sizeWithCells="1">
                  <from>
                    <xdr:col>1</xdr:col>
                    <xdr:colOff>175260</xdr:colOff>
                    <xdr:row>0</xdr:row>
                    <xdr:rowOff>0</xdr:rowOff>
                  </from>
                  <to>
                    <xdr:col>1</xdr:col>
                    <xdr:colOff>533400</xdr:colOff>
                    <xdr:row>0</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18"/>
  <dimension ref="A1:O17"/>
  <sheetViews>
    <sheetView workbookViewId="0">
      <selection activeCell="B6" sqref="B6"/>
    </sheetView>
  </sheetViews>
  <sheetFormatPr baseColWidth="10" defaultColWidth="11.44140625" defaultRowHeight="13.8"/>
  <cols>
    <col min="1" max="2" width="21.109375" style="53" customWidth="1"/>
    <col min="3" max="3" width="19.44140625" style="53" customWidth="1"/>
    <col min="4" max="5" width="10.6640625" style="53" customWidth="1"/>
    <col min="6" max="6" width="11.6640625" style="53" customWidth="1"/>
    <col min="7" max="7" width="10.33203125" style="53" bestFit="1" customWidth="1"/>
    <col min="8" max="8" width="6.44140625" style="53" customWidth="1"/>
    <col min="9" max="9" width="7.33203125" style="53" bestFit="1" customWidth="1"/>
    <col min="10" max="14" width="11.6640625" style="53" customWidth="1"/>
    <col min="15" max="15" width="10.6640625" style="53" customWidth="1"/>
    <col min="16" max="16384" width="11.44140625" style="53"/>
  </cols>
  <sheetData>
    <row r="1" spans="1:15" ht="36" customHeight="1" thickBot="1">
      <c r="A1" s="1082" t="s">
        <v>378</v>
      </c>
      <c r="B1" s="1083"/>
      <c r="C1" s="1084"/>
      <c r="D1" s="1084"/>
      <c r="E1" s="1084"/>
      <c r="F1" s="1084"/>
      <c r="G1" s="1084"/>
      <c r="H1" s="1084"/>
      <c r="I1" s="1084"/>
      <c r="J1" s="1084"/>
      <c r="K1" s="1084"/>
      <c r="L1" s="1084"/>
      <c r="M1" s="1084"/>
      <c r="N1" s="1084"/>
      <c r="O1" s="1085"/>
    </row>
    <row r="2" spans="1:15">
      <c r="A2" s="1" t="str">
        <f>CONCATENATE(PagePrincipale!$F$9)</f>
        <v>D3 Soft SARL AU</v>
      </c>
      <c r="B2" s="1"/>
      <c r="L2" s="5"/>
      <c r="M2" s="5"/>
      <c r="O2" s="2" t="str">
        <f ca="1">PeriodeArrete_DuAu()</f>
        <v>Du 1/1/2017 Au 31/12/2017</v>
      </c>
    </row>
    <row r="3" spans="1:15" s="54" customFormat="1" ht="25.5" customHeight="1">
      <c r="A3" s="1077" t="s">
        <v>1270</v>
      </c>
      <c r="B3" s="1077" t="s">
        <v>1271</v>
      </c>
      <c r="C3" s="1077" t="s">
        <v>163</v>
      </c>
      <c r="D3" s="1077" t="s">
        <v>535</v>
      </c>
      <c r="E3" s="1077" t="s">
        <v>1266</v>
      </c>
      <c r="F3" s="1077" t="s">
        <v>379</v>
      </c>
      <c r="G3" s="1077" t="s">
        <v>380</v>
      </c>
      <c r="H3" s="1077" t="s">
        <v>381</v>
      </c>
      <c r="I3" s="1077" t="s">
        <v>349</v>
      </c>
      <c r="J3" s="1077" t="s">
        <v>382</v>
      </c>
      <c r="K3" s="1086" t="s">
        <v>383</v>
      </c>
      <c r="L3" s="1087"/>
      <c r="M3" s="1086" t="s">
        <v>285</v>
      </c>
      <c r="N3" s="1087"/>
      <c r="O3" s="1077" t="s">
        <v>173</v>
      </c>
    </row>
    <row r="4" spans="1:15" s="54" customFormat="1" ht="25.5" customHeight="1">
      <c r="A4" s="1078"/>
      <c r="B4" s="1078"/>
      <c r="C4" s="1078"/>
      <c r="D4" s="1078"/>
      <c r="E4" s="1078"/>
      <c r="F4" s="1078"/>
      <c r="G4" s="1078"/>
      <c r="H4" s="1078"/>
      <c r="I4" s="1078"/>
      <c r="J4" s="1078"/>
      <c r="K4" s="55" t="s">
        <v>286</v>
      </c>
      <c r="L4" s="55" t="s">
        <v>287</v>
      </c>
      <c r="M4" s="55" t="s">
        <v>286</v>
      </c>
      <c r="N4" s="55" t="s">
        <v>287</v>
      </c>
      <c r="O4" s="1078"/>
    </row>
    <row r="5" spans="1:15" ht="12.75" customHeight="1">
      <c r="A5" s="56" t="s">
        <v>288</v>
      </c>
      <c r="B5" s="56"/>
      <c r="C5" s="57"/>
      <c r="D5" s="57"/>
      <c r="E5" s="57"/>
      <c r="F5" s="57"/>
      <c r="G5" s="58"/>
      <c r="H5" s="57"/>
      <c r="I5" s="59"/>
      <c r="J5" s="57"/>
      <c r="K5" s="57"/>
      <c r="L5" s="57"/>
      <c r="M5" s="57"/>
      <c r="N5" s="57"/>
      <c r="O5" s="57"/>
    </row>
    <row r="6" spans="1:15" s="260" customFormat="1" ht="25.5" customHeight="1">
      <c r="A6" s="254"/>
      <c r="B6" s="254"/>
      <c r="C6" s="255"/>
      <c r="D6" s="254"/>
      <c r="E6" s="254"/>
      <c r="F6" s="256"/>
      <c r="G6" s="257"/>
      <c r="H6" s="258"/>
      <c r="I6" s="259"/>
      <c r="J6" s="256"/>
      <c r="K6" s="256"/>
      <c r="L6" s="256"/>
      <c r="M6" s="256"/>
      <c r="N6" s="256"/>
      <c r="O6" s="254"/>
    </row>
    <row r="7" spans="1:15" s="260" customFormat="1" ht="25.5" customHeight="1">
      <c r="A7" s="254"/>
      <c r="B7" s="254"/>
      <c r="C7" s="255"/>
      <c r="D7" s="254"/>
      <c r="E7" s="254"/>
      <c r="F7" s="256"/>
      <c r="G7" s="257"/>
      <c r="H7" s="258"/>
      <c r="I7" s="259"/>
      <c r="J7" s="256"/>
      <c r="K7" s="256"/>
      <c r="L7" s="256"/>
      <c r="M7" s="256"/>
      <c r="N7" s="256"/>
      <c r="O7" s="254"/>
    </row>
    <row r="8" spans="1:15" s="260" customFormat="1" ht="25.5" customHeight="1">
      <c r="A8" s="254"/>
      <c r="B8" s="254"/>
      <c r="C8" s="255"/>
      <c r="D8" s="254"/>
      <c r="E8" s="254"/>
      <c r="F8" s="256"/>
      <c r="G8" s="257"/>
      <c r="H8" s="258"/>
      <c r="I8" s="259"/>
      <c r="J8" s="256"/>
      <c r="K8" s="256"/>
      <c r="L8" s="256"/>
      <c r="M8" s="256"/>
      <c r="N8" s="256"/>
      <c r="O8" s="254"/>
    </row>
    <row r="9" spans="1:15" s="260" customFormat="1" ht="25.5" customHeight="1">
      <c r="A9" s="254"/>
      <c r="B9" s="254"/>
      <c r="C9" s="255"/>
      <c r="D9" s="254"/>
      <c r="E9" s="254"/>
      <c r="F9" s="256"/>
      <c r="G9" s="257"/>
      <c r="H9" s="258"/>
      <c r="I9" s="259"/>
      <c r="J9" s="256"/>
      <c r="K9" s="256"/>
      <c r="L9" s="256"/>
      <c r="M9" s="256"/>
      <c r="N9" s="256"/>
      <c r="O9" s="254"/>
    </row>
    <row r="10" spans="1:15" s="260" customFormat="1" ht="25.5" customHeight="1">
      <c r="A10" s="254"/>
      <c r="B10" s="254"/>
      <c r="C10" s="255"/>
      <c r="D10" s="254"/>
      <c r="E10" s="254"/>
      <c r="F10" s="256"/>
      <c r="G10" s="257"/>
      <c r="H10" s="258"/>
      <c r="I10" s="259"/>
      <c r="J10" s="256"/>
      <c r="K10" s="256"/>
      <c r="L10" s="256"/>
      <c r="M10" s="256"/>
      <c r="N10" s="256"/>
      <c r="O10" s="254"/>
    </row>
    <row r="11" spans="1:15" ht="12.75" customHeight="1">
      <c r="A11" s="56" t="s">
        <v>289</v>
      </c>
      <c r="B11" s="56"/>
      <c r="C11" s="57"/>
      <c r="D11" s="57"/>
      <c r="E11" s="57"/>
      <c r="F11" s="60"/>
      <c r="G11" s="58"/>
      <c r="H11" s="57"/>
      <c r="I11" s="59"/>
      <c r="J11" s="57"/>
      <c r="K11" s="57"/>
      <c r="L11" s="57"/>
      <c r="M11" s="57"/>
      <c r="N11" s="57"/>
      <c r="O11" s="57"/>
    </row>
    <row r="12" spans="1:15" s="260" customFormat="1" ht="25.5" customHeight="1">
      <c r="A12" s="254"/>
      <c r="B12" s="254"/>
      <c r="C12" s="254"/>
      <c r="D12" s="254"/>
      <c r="E12" s="254"/>
      <c r="F12" s="254"/>
      <c r="G12" s="254"/>
      <c r="H12" s="254"/>
      <c r="I12" s="254"/>
      <c r="J12" s="254"/>
      <c r="K12" s="254"/>
      <c r="L12" s="254"/>
      <c r="M12" s="254"/>
      <c r="N12" s="254"/>
      <c r="O12" s="254"/>
    </row>
    <row r="13" spans="1:15" s="260" customFormat="1" ht="25.5" customHeight="1">
      <c r="A13" s="254"/>
      <c r="B13" s="254"/>
      <c r="C13" s="254"/>
      <c r="D13" s="254"/>
      <c r="E13" s="254"/>
      <c r="F13" s="254"/>
      <c r="G13" s="254"/>
      <c r="H13" s="254"/>
      <c r="I13" s="254"/>
      <c r="J13" s="254"/>
      <c r="K13" s="254"/>
      <c r="L13" s="254"/>
      <c r="M13" s="254"/>
      <c r="N13" s="254"/>
      <c r="O13" s="254"/>
    </row>
    <row r="14" spans="1:15" s="260" customFormat="1" ht="25.5" customHeight="1">
      <c r="A14" s="254"/>
      <c r="B14" s="254"/>
      <c r="C14" s="254"/>
      <c r="D14" s="254"/>
      <c r="E14" s="254"/>
      <c r="F14" s="254"/>
      <c r="G14" s="254"/>
      <c r="H14" s="254"/>
      <c r="I14" s="254"/>
      <c r="J14" s="254"/>
      <c r="K14" s="254"/>
      <c r="L14" s="254"/>
      <c r="M14" s="254"/>
      <c r="N14" s="254"/>
      <c r="O14" s="254"/>
    </row>
    <row r="15" spans="1:15" s="260" customFormat="1" ht="25.5" customHeight="1">
      <c r="A15" s="254"/>
      <c r="B15" s="254"/>
      <c r="C15" s="254"/>
      <c r="D15" s="254"/>
      <c r="E15" s="254"/>
      <c r="F15" s="254"/>
      <c r="G15" s="254"/>
      <c r="H15" s="254"/>
      <c r="I15" s="254"/>
      <c r="J15" s="254"/>
      <c r="K15" s="254"/>
      <c r="L15" s="254"/>
      <c r="M15" s="254"/>
      <c r="N15" s="254"/>
      <c r="O15" s="254"/>
    </row>
    <row r="16" spans="1:15" s="260" customFormat="1" ht="25.5" customHeight="1">
      <c r="A16" s="254"/>
      <c r="B16" s="254"/>
      <c r="C16" s="254"/>
      <c r="D16" s="254"/>
      <c r="E16" s="254"/>
      <c r="F16" s="254"/>
      <c r="G16" s="254"/>
      <c r="H16" s="254"/>
      <c r="I16" s="254"/>
      <c r="J16" s="254"/>
      <c r="K16" s="254"/>
      <c r="L16" s="254"/>
      <c r="M16" s="254"/>
      <c r="N16" s="254"/>
      <c r="O16" s="254"/>
    </row>
    <row r="17" spans="1:15" ht="12.75" customHeight="1">
      <c r="A17" s="1079" t="s">
        <v>370</v>
      </c>
      <c r="B17" s="1080"/>
      <c r="C17" s="1080"/>
      <c r="D17" s="1081"/>
      <c r="E17" s="700"/>
      <c r="F17" s="61">
        <f ca="1">SUM(INDIRECT(ADDRESS(ROW(F$4)+1,COLUMN(),4,TRUE)&amp;":"&amp;ADDRESS(ROW()-1,COLUMN(),4,TRUE)))</f>
        <v>0</v>
      </c>
      <c r="G17" s="62" t="s">
        <v>104</v>
      </c>
      <c r="H17" s="62" t="s">
        <v>104</v>
      </c>
      <c r="I17" s="62" t="s">
        <v>104</v>
      </c>
      <c r="J17" s="61">
        <f ca="1">SUM(INDIRECT(ADDRESS(ROW(J$4)+1,COLUMN(),4,TRUE)&amp;":"&amp;ADDRESS(ROW()-1,COLUMN(),4,TRUE)))</f>
        <v>0</v>
      </c>
      <c r="K17" s="61">
        <f ca="1">SUM(INDIRECT(ADDRESS(ROW(K$4)+1,COLUMN(),4,TRUE)&amp;":"&amp;ADDRESS(ROW()-1,COLUMN(),4,TRUE)))</f>
        <v>0</v>
      </c>
      <c r="L17" s="61">
        <f ca="1">SUM(INDIRECT(ADDRESS(ROW(L$4)+1,COLUMN(),4,TRUE)&amp;":"&amp;ADDRESS(ROW()-1,COLUMN(),4,TRUE)))</f>
        <v>0</v>
      </c>
      <c r="M17" s="61">
        <f ca="1">SUM(INDIRECT(ADDRESS(ROW(M$4)+1,COLUMN(),4,TRUE)&amp;":"&amp;ADDRESS(ROW()-1,COLUMN(),4,TRUE)))</f>
        <v>0</v>
      </c>
      <c r="N17" s="61">
        <f ca="1">SUM(INDIRECT(ADDRESS(ROW(N$4)+1,COLUMN(),4,TRUE)&amp;":"&amp;ADDRESS(ROW()-1,COLUMN(),4,TRUE)))</f>
        <v>0</v>
      </c>
      <c r="O17" s="62" t="s">
        <v>104</v>
      </c>
    </row>
  </sheetData>
  <sheetProtection formatCells="0" insertRows="0" deleteRows="0"/>
  <autoFilter ref="A4:O17" xr:uid="{00000000-0009-0000-0000-000016000000}"/>
  <mergeCells count="15">
    <mergeCell ref="O3:O4"/>
    <mergeCell ref="A17:D17"/>
    <mergeCell ref="A1:O1"/>
    <mergeCell ref="A3:A4"/>
    <mergeCell ref="C3:C4"/>
    <mergeCell ref="E3:E4"/>
    <mergeCell ref="F3:F4"/>
    <mergeCell ref="G3:G4"/>
    <mergeCell ref="H3:H4"/>
    <mergeCell ref="I3:I4"/>
    <mergeCell ref="J3:J4"/>
    <mergeCell ref="K3:L3"/>
    <mergeCell ref="M3:N3"/>
    <mergeCell ref="B3:B4"/>
    <mergeCell ref="D3:D4"/>
  </mergeCells>
  <phoneticPr fontId="0" type="noConversion"/>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21506" r:id="rId5" name="CADRE_NEANT_T18_1_BOUTTON">
              <controlPr defaultSize="0" print="0" autoFill="0" autoLine="0" autoPict="0" macro="[0]!Cadre_Neant_Tab18_1">
                <anchor moveWithCells="1">
                  <from>
                    <xdr:col>14</xdr:col>
                    <xdr:colOff>76200</xdr:colOff>
                    <xdr:row>0</xdr:row>
                    <xdr:rowOff>7620</xdr:rowOff>
                  </from>
                  <to>
                    <xdr:col>14</xdr:col>
                    <xdr:colOff>655320</xdr:colOff>
                    <xdr:row>0</xdr:row>
                    <xdr:rowOff>228600</xdr:rowOff>
                  </to>
                </anchor>
              </controlPr>
            </control>
          </mc:Choice>
        </mc:AlternateContent>
        <mc:AlternateContent xmlns:mc="http://schemas.openxmlformats.org/markup-compatibility/2006">
          <mc:Choice Requires="x14">
            <control shapeId="21507" r:id="rId6" name="CADRE_NEANT_T18_2_BOUTTON">
              <controlPr defaultSize="0" print="0" autoFill="0" autoLine="0" autoPict="0" macro="[0]!Cadre_Neant_Tab18_2">
                <anchor moveWithCells="1">
                  <from>
                    <xdr:col>14</xdr:col>
                    <xdr:colOff>76200</xdr:colOff>
                    <xdr:row>0</xdr:row>
                    <xdr:rowOff>182880</xdr:rowOff>
                  </from>
                  <to>
                    <xdr:col>14</xdr:col>
                    <xdr:colOff>655320</xdr:colOff>
                    <xdr:row>0</xdr:row>
                    <xdr:rowOff>403860</xdr:rowOff>
                  </to>
                </anchor>
              </controlPr>
            </control>
          </mc:Choice>
        </mc:AlternateContent>
        <mc:AlternateContent xmlns:mc="http://schemas.openxmlformats.org/markup-compatibility/2006">
          <mc:Choice Requires="x14">
            <control shapeId="21508" r:id="rId7"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19"/>
  <dimension ref="A1:M25"/>
  <sheetViews>
    <sheetView workbookViewId="0">
      <selection activeCell="A6" sqref="A6"/>
    </sheetView>
  </sheetViews>
  <sheetFormatPr baseColWidth="10" defaultColWidth="11.44140625" defaultRowHeight="13.8"/>
  <cols>
    <col min="1" max="1" width="16.6640625" style="64" customWidth="1"/>
    <col min="2" max="2" width="24.5546875" style="64" bestFit="1" customWidth="1"/>
    <col min="3" max="5" width="21.88671875" style="64" customWidth="1"/>
    <col min="6" max="9" width="10.6640625" style="64" customWidth="1"/>
    <col min="10" max="11" width="13.6640625" style="64" customWidth="1"/>
    <col min="12" max="13" width="7.6640625" style="64" customWidth="1"/>
    <col min="14" max="16384" width="11.44140625" style="3"/>
  </cols>
  <sheetData>
    <row r="1" spans="1:13" ht="18.600000000000001" thickBot="1">
      <c r="A1" s="1088" t="s">
        <v>290</v>
      </c>
      <c r="B1" s="1089"/>
      <c r="C1" s="1089"/>
      <c r="D1" s="1089"/>
      <c r="E1" s="1089"/>
      <c r="F1" s="1089"/>
      <c r="G1" s="1089"/>
      <c r="H1" s="1089"/>
      <c r="I1" s="1089"/>
      <c r="J1" s="1089"/>
      <c r="K1" s="1089"/>
      <c r="L1" s="1089"/>
      <c r="M1" s="1090"/>
    </row>
    <row r="2" spans="1:13">
      <c r="A2" s="1" t="str">
        <f>CONCATENATE(PagePrincipale!$F$9)</f>
        <v>D3 Soft SARL AU</v>
      </c>
      <c r="K2" s="13"/>
      <c r="L2" s="13"/>
      <c r="M2" s="2" t="str">
        <f ca="1">PeriodeArrete_DuAu()</f>
        <v>Du 1/1/2017 Au 31/12/2017</v>
      </c>
    </row>
    <row r="3" spans="1:13" s="5" customFormat="1" ht="25.5" customHeight="1">
      <c r="A3" s="1091" t="s">
        <v>291</v>
      </c>
      <c r="B3" s="1093" t="s">
        <v>292</v>
      </c>
      <c r="C3" s="1095" t="s">
        <v>1275</v>
      </c>
      <c r="D3" s="1097"/>
      <c r="E3" s="1097"/>
      <c r="F3" s="1097"/>
      <c r="G3" s="1097"/>
      <c r="H3" s="1096"/>
      <c r="I3" s="1093" t="s">
        <v>293</v>
      </c>
      <c r="J3" s="1093" t="s">
        <v>294</v>
      </c>
      <c r="K3" s="1093" t="s">
        <v>295</v>
      </c>
      <c r="L3" s="1095" t="s">
        <v>296</v>
      </c>
      <c r="M3" s="1096"/>
    </row>
    <row r="4" spans="1:13" s="5" customFormat="1" ht="41.4">
      <c r="A4" s="1092"/>
      <c r="B4" s="1094"/>
      <c r="C4" s="65" t="s">
        <v>1274</v>
      </c>
      <c r="D4" s="65" t="s">
        <v>1271</v>
      </c>
      <c r="E4" s="65" t="s">
        <v>163</v>
      </c>
      <c r="F4" s="65" t="s">
        <v>535</v>
      </c>
      <c r="G4" s="65" t="s">
        <v>1266</v>
      </c>
      <c r="H4" s="65" t="s">
        <v>1267</v>
      </c>
      <c r="I4" s="1094"/>
      <c r="J4" s="1094"/>
      <c r="K4" s="1094"/>
      <c r="L4" s="65" t="s">
        <v>297</v>
      </c>
      <c r="M4" s="65" t="s">
        <v>1272</v>
      </c>
    </row>
    <row r="5" spans="1:13" s="5" customFormat="1">
      <c r="A5" s="144" t="s">
        <v>408</v>
      </c>
      <c r="B5" s="66" t="s">
        <v>409</v>
      </c>
      <c r="C5" s="66" t="s">
        <v>139</v>
      </c>
      <c r="D5" s="66" t="s">
        <v>411</v>
      </c>
      <c r="E5" s="66" t="s">
        <v>7</v>
      </c>
      <c r="F5" s="66" t="s">
        <v>511</v>
      </c>
      <c r="G5" s="66" t="s">
        <v>512</v>
      </c>
      <c r="H5" s="66" t="s">
        <v>176</v>
      </c>
      <c r="I5" s="66" t="s">
        <v>177</v>
      </c>
      <c r="J5" s="66" t="s">
        <v>371</v>
      </c>
      <c r="K5" s="66" t="s">
        <v>372</v>
      </c>
      <c r="L5" s="66" t="s">
        <v>1276</v>
      </c>
      <c r="M5" s="66" t="s">
        <v>1161</v>
      </c>
    </row>
    <row r="6" spans="1:13" s="267" customFormat="1">
      <c r="A6" s="261"/>
      <c r="B6" s="262"/>
      <c r="C6" s="261"/>
      <c r="D6" s="709"/>
      <c r="E6" s="709"/>
      <c r="F6" s="709"/>
      <c r="G6" s="709"/>
      <c r="H6" s="709"/>
      <c r="I6" s="263"/>
      <c r="J6" s="264"/>
      <c r="K6" s="264"/>
      <c r="L6" s="265"/>
      <c r="M6" s="266"/>
    </row>
    <row r="7" spans="1:13" s="201" customFormat="1">
      <c r="A7" s="268"/>
      <c r="B7" s="269"/>
      <c r="C7" s="268"/>
      <c r="D7" s="268"/>
      <c r="E7" s="268"/>
      <c r="F7" s="268"/>
      <c r="G7" s="268"/>
      <c r="H7" s="268"/>
      <c r="I7" s="270"/>
      <c r="J7" s="271"/>
      <c r="K7" s="271"/>
      <c r="L7" s="268"/>
      <c r="M7" s="268"/>
    </row>
    <row r="8" spans="1:13" s="201" customFormat="1">
      <c r="A8" s="268"/>
      <c r="B8" s="272"/>
      <c r="C8" s="268"/>
      <c r="D8" s="268"/>
      <c r="E8" s="268"/>
      <c r="F8" s="268"/>
      <c r="G8" s="268"/>
      <c r="H8" s="268"/>
      <c r="I8" s="270"/>
      <c r="J8" s="271"/>
      <c r="K8" s="271"/>
      <c r="L8" s="268"/>
      <c r="M8" s="268"/>
    </row>
    <row r="9" spans="1:13" s="201" customFormat="1">
      <c r="A9" s="268"/>
      <c r="B9" s="272"/>
      <c r="C9" s="268"/>
      <c r="D9" s="268"/>
      <c r="E9" s="268"/>
      <c r="F9" s="268"/>
      <c r="G9" s="268"/>
      <c r="H9" s="268"/>
      <c r="I9" s="270"/>
      <c r="J9" s="271"/>
      <c r="K9" s="271"/>
      <c r="L9" s="268"/>
      <c r="M9" s="268"/>
    </row>
    <row r="10" spans="1:13" s="201" customFormat="1">
      <c r="A10" s="268"/>
      <c r="B10" s="269"/>
      <c r="C10" s="268"/>
      <c r="D10" s="268"/>
      <c r="E10" s="268"/>
      <c r="F10" s="268"/>
      <c r="G10" s="268"/>
      <c r="H10" s="268"/>
      <c r="I10" s="270"/>
      <c r="J10" s="271"/>
      <c r="K10" s="271"/>
      <c r="L10" s="268"/>
      <c r="M10" s="268"/>
    </row>
    <row r="11" spans="1:13" s="201" customFormat="1">
      <c r="A11" s="268"/>
      <c r="B11" s="269"/>
      <c r="C11" s="268"/>
      <c r="D11" s="268"/>
      <c r="E11" s="268"/>
      <c r="F11" s="268"/>
      <c r="G11" s="268"/>
      <c r="H11" s="268"/>
      <c r="I11" s="270"/>
      <c r="J11" s="271"/>
      <c r="K11" s="271"/>
      <c r="L11" s="268"/>
      <c r="M11" s="268"/>
    </row>
    <row r="12" spans="1:13" s="201" customFormat="1">
      <c r="A12" s="268"/>
      <c r="B12" s="269"/>
      <c r="C12" s="268"/>
      <c r="D12" s="268"/>
      <c r="E12" s="268"/>
      <c r="F12" s="268"/>
      <c r="G12" s="268"/>
      <c r="H12" s="268"/>
      <c r="I12" s="270"/>
      <c r="J12" s="271"/>
      <c r="K12" s="271"/>
      <c r="L12" s="268"/>
      <c r="M12" s="268"/>
    </row>
    <row r="13" spans="1:13" s="201" customFormat="1">
      <c r="A13" s="268"/>
      <c r="B13" s="269"/>
      <c r="C13" s="268"/>
      <c r="D13" s="268"/>
      <c r="E13" s="268"/>
      <c r="F13" s="268"/>
      <c r="G13" s="268"/>
      <c r="H13" s="268"/>
      <c r="I13" s="270"/>
      <c r="J13" s="271"/>
      <c r="K13" s="271"/>
      <c r="L13" s="268"/>
      <c r="M13" s="268"/>
    </row>
    <row r="14" spans="1:13" s="201" customFormat="1">
      <c r="A14" s="268"/>
      <c r="B14" s="269"/>
      <c r="C14" s="268"/>
      <c r="D14" s="268"/>
      <c r="E14" s="268"/>
      <c r="F14" s="268"/>
      <c r="G14" s="268"/>
      <c r="H14" s="268"/>
      <c r="I14" s="270"/>
      <c r="J14" s="271"/>
      <c r="K14" s="271"/>
      <c r="L14" s="268"/>
      <c r="M14" s="268"/>
    </row>
    <row r="15" spans="1:13" s="201" customFormat="1">
      <c r="A15" s="268"/>
      <c r="B15" s="269"/>
      <c r="C15" s="268"/>
      <c r="D15" s="268"/>
      <c r="E15" s="268"/>
      <c r="F15" s="268"/>
      <c r="G15" s="268"/>
      <c r="H15" s="268"/>
      <c r="I15" s="270"/>
      <c r="J15" s="271"/>
      <c r="K15" s="271"/>
      <c r="L15" s="268"/>
      <c r="M15" s="268"/>
    </row>
    <row r="16" spans="1:13" s="201" customFormat="1">
      <c r="A16" s="268"/>
      <c r="B16" s="269"/>
      <c r="C16" s="268"/>
      <c r="D16" s="268"/>
      <c r="E16" s="268"/>
      <c r="F16" s="268"/>
      <c r="G16" s="268"/>
      <c r="H16" s="268"/>
      <c r="I16" s="270"/>
      <c r="J16" s="271"/>
      <c r="K16" s="271"/>
      <c r="L16" s="268"/>
      <c r="M16" s="268"/>
    </row>
    <row r="17" spans="1:13" s="201" customFormat="1">
      <c r="A17" s="268"/>
      <c r="B17" s="269"/>
      <c r="C17" s="268"/>
      <c r="D17" s="268"/>
      <c r="E17" s="268"/>
      <c r="F17" s="268"/>
      <c r="G17" s="268"/>
      <c r="H17" s="268"/>
      <c r="I17" s="270"/>
      <c r="J17" s="271"/>
      <c r="K17" s="271"/>
      <c r="L17" s="268"/>
      <c r="M17" s="268"/>
    </row>
    <row r="18" spans="1:13" s="201" customFormat="1">
      <c r="A18" s="268"/>
      <c r="B18" s="269"/>
      <c r="C18" s="268"/>
      <c r="D18" s="268"/>
      <c r="E18" s="268"/>
      <c r="F18" s="268"/>
      <c r="G18" s="268"/>
      <c r="H18" s="268"/>
      <c r="I18" s="270"/>
      <c r="J18" s="271"/>
      <c r="K18" s="271"/>
      <c r="L18" s="268"/>
      <c r="M18" s="268"/>
    </row>
    <row r="19" spans="1:13" s="201" customFormat="1">
      <c r="A19" s="268"/>
      <c r="B19" s="268"/>
      <c r="C19" s="268"/>
      <c r="D19" s="268"/>
      <c r="E19" s="268"/>
      <c r="F19" s="268"/>
      <c r="G19" s="268"/>
      <c r="H19" s="268"/>
      <c r="I19" s="273"/>
      <c r="J19" s="271"/>
      <c r="K19" s="271"/>
      <c r="L19" s="268"/>
      <c r="M19" s="268"/>
    </row>
    <row r="20" spans="1:13" s="201" customFormat="1">
      <c r="A20" s="268"/>
      <c r="B20" s="268"/>
      <c r="C20" s="268"/>
      <c r="D20" s="268"/>
      <c r="E20" s="268"/>
      <c r="F20" s="268"/>
      <c r="G20" s="268"/>
      <c r="H20" s="268"/>
      <c r="I20" s="273"/>
      <c r="J20" s="271"/>
      <c r="K20" s="271"/>
      <c r="L20" s="268"/>
      <c r="M20" s="268"/>
    </row>
    <row r="21" spans="1:13" s="201" customFormat="1">
      <c r="A21" s="268"/>
      <c r="B21" s="268"/>
      <c r="C21" s="268"/>
      <c r="D21" s="268"/>
      <c r="E21" s="268"/>
      <c r="F21" s="268"/>
      <c r="G21" s="268"/>
      <c r="H21" s="268"/>
      <c r="I21" s="273"/>
      <c r="J21" s="271"/>
      <c r="K21" s="271"/>
      <c r="L21" s="268"/>
      <c r="M21" s="268"/>
    </row>
    <row r="22" spans="1:13" s="201" customFormat="1">
      <c r="A22" s="268"/>
      <c r="B22" s="268"/>
      <c r="C22" s="268"/>
      <c r="D22" s="268"/>
      <c r="E22" s="268"/>
      <c r="F22" s="268"/>
      <c r="G22" s="268"/>
      <c r="H22" s="268"/>
      <c r="I22" s="273"/>
      <c r="J22" s="271"/>
      <c r="K22" s="271"/>
      <c r="L22" s="268"/>
      <c r="M22" s="268"/>
    </row>
    <row r="23" spans="1:13" s="201" customFormat="1">
      <c r="A23" s="268"/>
      <c r="B23" s="268"/>
      <c r="C23" s="268"/>
      <c r="D23" s="268"/>
      <c r="E23" s="268"/>
      <c r="F23" s="268"/>
      <c r="G23" s="268"/>
      <c r="H23" s="268"/>
      <c r="I23" s="273"/>
      <c r="J23" s="271"/>
      <c r="K23" s="271"/>
      <c r="L23" s="268"/>
      <c r="M23" s="268"/>
    </row>
    <row r="24" spans="1:13">
      <c r="A24" s="1079" t="s">
        <v>370</v>
      </c>
      <c r="B24" s="1080"/>
      <c r="C24" s="1081"/>
      <c r="D24" s="700"/>
      <c r="E24" s="700"/>
      <c r="F24" s="700"/>
      <c r="G24" s="700"/>
      <c r="H24" s="700"/>
      <c r="I24" s="145" t="s">
        <v>104</v>
      </c>
      <c r="J24" s="61">
        <f ca="1">SUM(INDIRECT(ADDRESS(ROW(J$5)+1,COLUMN(),4,TRUE)&amp;":"&amp;ADDRESS(ROW()-1,COLUMN(),4,TRUE)))</f>
        <v>0</v>
      </c>
      <c r="K24" s="61">
        <f ca="1">SUM(INDIRECT(ADDRESS(ROW(K$5)+1,COLUMN(),4,TRUE)&amp;":"&amp;ADDRESS(ROW()-1,COLUMN(),4,TRUE)))</f>
        <v>0</v>
      </c>
      <c r="L24" s="145" t="s">
        <v>104</v>
      </c>
      <c r="M24" s="145" t="s">
        <v>104</v>
      </c>
    </row>
    <row r="25" spans="1:13">
      <c r="A25" s="64" t="s">
        <v>1273</v>
      </c>
    </row>
  </sheetData>
  <sheetProtection formatCells="0" insertRows="0" deleteRows="0"/>
  <autoFilter ref="A5:M5" xr:uid="{00000000-0009-0000-0000-000017000000}">
    <filterColumn colId="0" showButton="0"/>
  </autoFilter>
  <mergeCells count="9">
    <mergeCell ref="A24:C24"/>
    <mergeCell ref="A1:M1"/>
    <mergeCell ref="A3:A4"/>
    <mergeCell ref="B3:B4"/>
    <mergeCell ref="I3:I4"/>
    <mergeCell ref="J3:J4"/>
    <mergeCell ref="K3:K4"/>
    <mergeCell ref="L3:M3"/>
    <mergeCell ref="C3:H3"/>
  </mergeCells>
  <phoneticPr fontId="0" type="noConversion"/>
  <printOptions horizontalCentered="1"/>
  <pageMargins left="0" right="0" top="0.78740157480314965" bottom="0" header="0.59055118110236227" footer="0.19685039370078741"/>
  <pageSetup paperSize="9" scale="7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22530" r:id="rId5" name="CADRE_NEANT_T19_BOUTTON">
              <controlPr defaultSize="0" print="0" autoFill="0" autoLine="0" autoPict="0" macro="[0]!Cadre_Neant_Tab19">
                <anchor moveWithCells="1">
                  <from>
                    <xdr:col>11</xdr:col>
                    <xdr:colOff>403860</xdr:colOff>
                    <xdr:row>0</xdr:row>
                    <xdr:rowOff>7620</xdr:rowOff>
                  </from>
                  <to>
                    <xdr:col>12</xdr:col>
                    <xdr:colOff>464820</xdr:colOff>
                    <xdr:row>0</xdr:row>
                    <xdr:rowOff>228600</xdr:rowOff>
                  </to>
                </anchor>
              </controlPr>
            </control>
          </mc:Choice>
        </mc:AlternateContent>
        <mc:AlternateContent xmlns:mc="http://schemas.openxmlformats.org/markup-compatibility/2006">
          <mc:Choice Requires="x14">
            <control shapeId="22531"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20"/>
  <dimension ref="A1:I34"/>
  <sheetViews>
    <sheetView workbookViewId="0">
      <selection activeCell="C9" sqref="C9"/>
    </sheetView>
  </sheetViews>
  <sheetFormatPr baseColWidth="10" defaultColWidth="11.44140625" defaultRowHeight="13.8"/>
  <cols>
    <col min="1" max="1" width="47.109375" style="564" customWidth="1"/>
    <col min="2" max="8" width="13.6640625" style="564" customWidth="1"/>
    <col min="9" max="9" width="3.109375" style="564" customWidth="1"/>
    <col min="10" max="16384" width="11.44140625" style="564"/>
  </cols>
  <sheetData>
    <row r="1" spans="1:9" ht="18.600000000000001" thickBot="1">
      <c r="A1" s="1098" t="s">
        <v>298</v>
      </c>
      <c r="B1" s="1099"/>
      <c r="C1" s="1099"/>
      <c r="D1" s="1099"/>
      <c r="E1" s="1099"/>
      <c r="F1" s="1099"/>
      <c r="G1" s="1099"/>
      <c r="H1" s="1099"/>
      <c r="I1" s="1100"/>
    </row>
    <row r="2" spans="1:9">
      <c r="A2" s="297" t="str">
        <f>CONCATENATE(PagePrincipale!$F$9)</f>
        <v>D3 Soft SARL AU</v>
      </c>
      <c r="E2" s="13"/>
      <c r="H2" s="565"/>
      <c r="I2" s="301" t="str">
        <f ca="1">PeriodeArrete_Au()</f>
        <v>Au 31/12/2017</v>
      </c>
    </row>
    <row r="3" spans="1:9" s="566" customFormat="1">
      <c r="A3" s="1101" t="s">
        <v>299</v>
      </c>
      <c r="B3" s="1109" t="s">
        <v>300</v>
      </c>
      <c r="C3" s="1110"/>
      <c r="D3" s="1110"/>
      <c r="E3" s="1111" t="s">
        <v>301</v>
      </c>
      <c r="F3" s="1110"/>
      <c r="G3" s="1112"/>
      <c r="H3" s="1104" t="s">
        <v>302</v>
      </c>
      <c r="I3" s="1106"/>
    </row>
    <row r="4" spans="1:9" s="566" customFormat="1" ht="27.75" customHeight="1">
      <c r="A4" s="1102"/>
      <c r="B4" s="567" t="s">
        <v>85</v>
      </c>
      <c r="C4" s="567" t="s">
        <v>303</v>
      </c>
      <c r="D4" s="567" t="s">
        <v>304</v>
      </c>
      <c r="E4" s="568" t="s">
        <v>85</v>
      </c>
      <c r="F4" s="567" t="s">
        <v>303</v>
      </c>
      <c r="G4" s="569" t="s">
        <v>304</v>
      </c>
      <c r="H4" s="1105"/>
      <c r="I4" s="1107"/>
    </row>
    <row r="5" spans="1:9" s="566" customFormat="1">
      <c r="A5" s="1103"/>
      <c r="B5" s="570" t="s">
        <v>408</v>
      </c>
      <c r="C5" s="570" t="s">
        <v>409</v>
      </c>
      <c r="D5" s="570" t="s">
        <v>139</v>
      </c>
      <c r="E5" s="571" t="s">
        <v>411</v>
      </c>
      <c r="F5" s="570" t="s">
        <v>7</v>
      </c>
      <c r="G5" s="572" t="s">
        <v>511</v>
      </c>
      <c r="H5" s="573" t="s">
        <v>305</v>
      </c>
      <c r="I5" s="1108"/>
    </row>
    <row r="6" spans="1:9">
      <c r="A6" s="574" t="s">
        <v>306</v>
      </c>
      <c r="B6" s="533"/>
      <c r="C6" s="533"/>
      <c r="D6" s="534"/>
      <c r="E6" s="535"/>
      <c r="F6" s="533"/>
      <c r="G6" s="536"/>
      <c r="H6" s="537"/>
      <c r="I6" s="575"/>
    </row>
    <row r="7" spans="1:9">
      <c r="A7" s="576" t="s">
        <v>307</v>
      </c>
      <c r="B7" s="538"/>
      <c r="C7" s="539"/>
      <c r="D7" s="540"/>
      <c r="E7" s="541"/>
      <c r="F7" s="539"/>
      <c r="G7" s="542"/>
      <c r="H7" s="543"/>
      <c r="I7" s="577">
        <v>1</v>
      </c>
    </row>
    <row r="8" spans="1:9">
      <c r="A8" s="578" t="s">
        <v>308</v>
      </c>
      <c r="B8" s="539">
        <v>0</v>
      </c>
      <c r="C8" s="539">
        <v>0</v>
      </c>
      <c r="D8" s="540">
        <f t="shared" ref="D8:D17" si="0">B8-C8</f>
        <v>0</v>
      </c>
      <c r="E8" s="541">
        <v>0</v>
      </c>
      <c r="F8" s="539">
        <v>0</v>
      </c>
      <c r="G8" s="542">
        <f t="shared" ref="G8:G17" si="1">E8-F8</f>
        <v>0</v>
      </c>
      <c r="H8" s="543">
        <f t="shared" ref="H8:H17" si="2">B8-E8</f>
        <v>0</v>
      </c>
      <c r="I8" s="579"/>
    </row>
    <row r="9" spans="1:9">
      <c r="A9" s="578" t="s">
        <v>309</v>
      </c>
      <c r="B9" s="539">
        <f ca="1">SoldeN("311")</f>
        <v>0</v>
      </c>
      <c r="C9" s="539">
        <f ca="1">-SoldeN("3911")</f>
        <v>0</v>
      </c>
      <c r="D9" s="540">
        <f t="shared" ca="1" si="0"/>
        <v>0</v>
      </c>
      <c r="E9" s="541">
        <f ca="1">SoldeN_1("311")</f>
        <v>0</v>
      </c>
      <c r="F9" s="539">
        <f ca="1">-SoldeN_1("3911")</f>
        <v>0</v>
      </c>
      <c r="G9" s="542">
        <f t="shared" ca="1" si="1"/>
        <v>0</v>
      </c>
      <c r="H9" s="543">
        <f t="shared" ca="1" si="2"/>
        <v>0</v>
      </c>
      <c r="I9" s="579"/>
    </row>
    <row r="10" spans="1:9">
      <c r="A10" s="576" t="s">
        <v>184</v>
      </c>
      <c r="B10" s="538"/>
      <c r="C10" s="538"/>
      <c r="D10" s="544"/>
      <c r="E10" s="545"/>
      <c r="F10" s="538"/>
      <c r="G10" s="546"/>
      <c r="H10" s="547"/>
      <c r="I10" s="579">
        <v>2</v>
      </c>
    </row>
    <row r="11" spans="1:9">
      <c r="A11" s="578" t="s">
        <v>185</v>
      </c>
      <c r="B11" s="539">
        <f ca="1">SoldeN("3121")</f>
        <v>0</v>
      </c>
      <c r="C11" s="539">
        <f ca="1">-SoldeN("39121")</f>
        <v>0</v>
      </c>
      <c r="D11" s="540">
        <f t="shared" ca="1" si="0"/>
        <v>0</v>
      </c>
      <c r="E11" s="541">
        <f ca="1">SoldeN_1("3121")</f>
        <v>0</v>
      </c>
      <c r="F11" s="539">
        <f ca="1">-SoldeN_1("39121")</f>
        <v>0</v>
      </c>
      <c r="G11" s="542">
        <f t="shared" ca="1" si="1"/>
        <v>0</v>
      </c>
      <c r="H11" s="543">
        <f t="shared" ca="1" si="2"/>
        <v>0</v>
      </c>
      <c r="I11" s="579">
        <v>3</v>
      </c>
    </row>
    <row r="12" spans="1:9">
      <c r="A12" s="578" t="s">
        <v>186</v>
      </c>
      <c r="B12" s="539">
        <f ca="1">SoldeN("3122")+SoldeN("3126")+SoldeN("3128")</f>
        <v>0</v>
      </c>
      <c r="C12" s="539">
        <f ca="1">-SoldeN("39122")-SoldeN("39126")-SoldeN("39128")</f>
        <v>0</v>
      </c>
      <c r="D12" s="540">
        <f t="shared" ca="1" si="0"/>
        <v>0</v>
      </c>
      <c r="E12" s="541">
        <f ca="1">SoldeN_1("3122")+SoldeN_1("3126")+SoldeN_1("3128")</f>
        <v>0</v>
      </c>
      <c r="F12" s="539">
        <f ca="1">-SoldeN_1("39122")-SoldeN_1("39126")-SoldeN_1("39128")</f>
        <v>0</v>
      </c>
      <c r="G12" s="542">
        <f t="shared" ca="1" si="1"/>
        <v>0</v>
      </c>
      <c r="H12" s="543">
        <f t="shared" ca="1" si="2"/>
        <v>0</v>
      </c>
      <c r="I12" s="579">
        <v>4</v>
      </c>
    </row>
    <row r="13" spans="1:9">
      <c r="A13" s="578" t="s">
        <v>187</v>
      </c>
      <c r="B13" s="539">
        <v>0</v>
      </c>
      <c r="C13" s="539">
        <v>0</v>
      </c>
      <c r="D13" s="540">
        <f t="shared" si="0"/>
        <v>0</v>
      </c>
      <c r="E13" s="541">
        <v>0</v>
      </c>
      <c r="F13" s="539">
        <v>0</v>
      </c>
      <c r="G13" s="542">
        <f t="shared" si="1"/>
        <v>0</v>
      </c>
      <c r="H13" s="543">
        <f t="shared" si="2"/>
        <v>0</v>
      </c>
      <c r="I13" s="579">
        <v>5</v>
      </c>
    </row>
    <row r="14" spans="1:9">
      <c r="A14" s="576" t="s">
        <v>188</v>
      </c>
      <c r="B14" s="538"/>
      <c r="C14" s="538"/>
      <c r="D14" s="544"/>
      <c r="E14" s="545"/>
      <c r="F14" s="538"/>
      <c r="G14" s="546"/>
      <c r="H14" s="547"/>
      <c r="I14" s="579">
        <v>6</v>
      </c>
    </row>
    <row r="15" spans="1:9">
      <c r="A15" s="578" t="s">
        <v>189</v>
      </c>
      <c r="B15" s="539">
        <f ca="1">SoldeN("31232")</f>
        <v>0</v>
      </c>
      <c r="C15" s="539">
        <f ca="1">-SoldeN("391232")</f>
        <v>0</v>
      </c>
      <c r="D15" s="540">
        <f t="shared" ca="1" si="0"/>
        <v>0</v>
      </c>
      <c r="E15" s="541">
        <f ca="1">SoldeN_1("31232")</f>
        <v>0</v>
      </c>
      <c r="F15" s="539">
        <f ca="1">-SoldeN_1("391232")</f>
        <v>0</v>
      </c>
      <c r="G15" s="542">
        <f t="shared" ca="1" si="1"/>
        <v>0</v>
      </c>
      <c r="H15" s="543">
        <f t="shared" ca="1" si="2"/>
        <v>0</v>
      </c>
      <c r="I15" s="579">
        <v>7</v>
      </c>
    </row>
    <row r="16" spans="1:9">
      <c r="A16" s="578" t="s">
        <v>190</v>
      </c>
      <c r="B16" s="539">
        <v>0</v>
      </c>
      <c r="C16" s="539">
        <v>0</v>
      </c>
      <c r="D16" s="540">
        <f t="shared" si="0"/>
        <v>0</v>
      </c>
      <c r="E16" s="541">
        <v>0</v>
      </c>
      <c r="F16" s="539">
        <v>0</v>
      </c>
      <c r="G16" s="542">
        <f t="shared" si="1"/>
        <v>0</v>
      </c>
      <c r="H16" s="543">
        <f t="shared" si="2"/>
        <v>0</v>
      </c>
      <c r="I16" s="579">
        <v>8</v>
      </c>
    </row>
    <row r="17" spans="1:9">
      <c r="A17" s="580" t="s">
        <v>191</v>
      </c>
      <c r="B17" s="548">
        <f ca="1">SoldeN("31231")</f>
        <v>0</v>
      </c>
      <c r="C17" s="548">
        <f ca="1">-SoldeN("391231")</f>
        <v>0</v>
      </c>
      <c r="D17" s="549">
        <f t="shared" ca="1" si="0"/>
        <v>0</v>
      </c>
      <c r="E17" s="550">
        <f ca="1">SoldeN_1("31231")</f>
        <v>0</v>
      </c>
      <c r="F17" s="548">
        <f ca="1">-SoldeN_1("391231")</f>
        <v>0</v>
      </c>
      <c r="G17" s="551">
        <f t="shared" ca="1" si="1"/>
        <v>0</v>
      </c>
      <c r="H17" s="552">
        <f t="shared" ca="1" si="2"/>
        <v>0</v>
      </c>
      <c r="I17" s="581">
        <v>9</v>
      </c>
    </row>
    <row r="18" spans="1:9">
      <c r="A18" s="582" t="s">
        <v>1231</v>
      </c>
      <c r="B18" s="553">
        <f t="shared" ref="B18:H18" ca="1" si="3">SUM(B8,B9,B11,B12,B13,B15,B16,B17)</f>
        <v>0</v>
      </c>
      <c r="C18" s="553">
        <f t="shared" ca="1" si="3"/>
        <v>0</v>
      </c>
      <c r="D18" s="554">
        <f t="shared" ca="1" si="3"/>
        <v>0</v>
      </c>
      <c r="E18" s="555">
        <f t="shared" ca="1" si="3"/>
        <v>0</v>
      </c>
      <c r="F18" s="553">
        <f t="shared" ca="1" si="3"/>
        <v>0</v>
      </c>
      <c r="G18" s="556">
        <f t="shared" ca="1" si="3"/>
        <v>0</v>
      </c>
      <c r="H18" s="557">
        <f t="shared" ca="1" si="3"/>
        <v>0</v>
      </c>
      <c r="I18" s="583">
        <v>10</v>
      </c>
    </row>
    <row r="19" spans="1:9">
      <c r="A19" s="574" t="s">
        <v>1232</v>
      </c>
      <c r="B19" s="538"/>
      <c r="C19" s="538"/>
      <c r="D19" s="544"/>
      <c r="E19" s="545"/>
      <c r="F19" s="538"/>
      <c r="G19" s="546"/>
      <c r="H19" s="547"/>
      <c r="I19" s="584"/>
    </row>
    <row r="20" spans="1:9">
      <c r="A20" s="576" t="s">
        <v>192</v>
      </c>
      <c r="B20" s="539">
        <f ca="1">SoldeN("3131")+SoldeN("3138")+SoldeN("3141")+SoldeN("3148")</f>
        <v>0</v>
      </c>
      <c r="C20" s="539">
        <f ca="1">-SoldeN("39131")-SoldeN("39138")-SoldeN("39141")-SoldeN("39148")</f>
        <v>0</v>
      </c>
      <c r="D20" s="540">
        <f ca="1">B20-C20</f>
        <v>0</v>
      </c>
      <c r="E20" s="541">
        <f ca="1">SoldeN_1("3131")+SoldeN_1("3138")+SoldeN_1("3141")+SoldeN_1("3148")</f>
        <v>0</v>
      </c>
      <c r="F20" s="539">
        <f ca="1">-SoldeN_1("39131")-SoldeN_1("39138")-SoldeN_1("39141")-SoldeN_1("39148")</f>
        <v>0</v>
      </c>
      <c r="G20" s="542">
        <f ca="1">E20-F20</f>
        <v>0</v>
      </c>
      <c r="H20" s="543">
        <f ca="1">B20-E20</f>
        <v>0</v>
      </c>
      <c r="I20" s="579">
        <v>11</v>
      </c>
    </row>
    <row r="21" spans="1:9">
      <c r="A21" s="576" t="s">
        <v>193</v>
      </c>
      <c r="B21" s="539">
        <f ca="1">SoldeN("31342")</f>
        <v>0</v>
      </c>
      <c r="C21" s="539">
        <f ca="1">-SoldeN("391342")</f>
        <v>0</v>
      </c>
      <c r="D21" s="540">
        <f ca="1">B21-C21</f>
        <v>0</v>
      </c>
      <c r="E21" s="541">
        <f ca="1">SoldeN_1("31342")</f>
        <v>0</v>
      </c>
      <c r="F21" s="539">
        <f ca="1">-SoldeN_1("391342")</f>
        <v>0</v>
      </c>
      <c r="G21" s="542">
        <f ca="1">E21-F21</f>
        <v>0</v>
      </c>
      <c r="H21" s="543">
        <f ca="1">B21-E21</f>
        <v>0</v>
      </c>
      <c r="I21" s="579">
        <v>12</v>
      </c>
    </row>
    <row r="22" spans="1:9">
      <c r="A22" s="576" t="s">
        <v>131</v>
      </c>
      <c r="B22" s="539">
        <f ca="1">SoldeN("31341")</f>
        <v>0</v>
      </c>
      <c r="C22" s="539">
        <f ca="1">-SoldeN("391341")</f>
        <v>0</v>
      </c>
      <c r="D22" s="540">
        <f ca="1">B22-C22</f>
        <v>0</v>
      </c>
      <c r="E22" s="541">
        <f ca="1">SoldeN_1("31341")</f>
        <v>0</v>
      </c>
      <c r="F22" s="539">
        <f ca="1">-SoldeN_1("391341")</f>
        <v>0</v>
      </c>
      <c r="G22" s="542">
        <f ca="1">E22-F22</f>
        <v>0</v>
      </c>
      <c r="H22" s="543">
        <f ca="1">B22-E22</f>
        <v>0</v>
      </c>
      <c r="I22" s="579">
        <v>13</v>
      </c>
    </row>
    <row r="23" spans="1:9">
      <c r="A23" s="585" t="s">
        <v>132</v>
      </c>
      <c r="B23" s="558">
        <f ca="1">SoldeN("31343")</f>
        <v>0</v>
      </c>
      <c r="C23" s="548">
        <f ca="1">-SoldeN("391343")</f>
        <v>0</v>
      </c>
      <c r="D23" s="549">
        <f ca="1">B23-C23</f>
        <v>0</v>
      </c>
      <c r="E23" s="550">
        <f ca="1">SoldeN_1("31343")</f>
        <v>0</v>
      </c>
      <c r="F23" s="548">
        <f ca="1">-SoldeN_1("391343")</f>
        <v>0</v>
      </c>
      <c r="G23" s="551">
        <f ca="1">E23-F23</f>
        <v>0</v>
      </c>
      <c r="H23" s="552">
        <f ca="1">B23-E23</f>
        <v>0</v>
      </c>
      <c r="I23" s="581">
        <v>14</v>
      </c>
    </row>
    <row r="24" spans="1:9">
      <c r="A24" s="582" t="s">
        <v>1233</v>
      </c>
      <c r="B24" s="559">
        <f t="shared" ref="B24:H24" ca="1" si="4">SUM(B20:B23)</f>
        <v>0</v>
      </c>
      <c r="C24" s="553">
        <f t="shared" ca="1" si="4"/>
        <v>0</v>
      </c>
      <c r="D24" s="554">
        <f t="shared" ca="1" si="4"/>
        <v>0</v>
      </c>
      <c r="E24" s="555">
        <f t="shared" ca="1" si="4"/>
        <v>0</v>
      </c>
      <c r="F24" s="553">
        <f t="shared" ca="1" si="4"/>
        <v>0</v>
      </c>
      <c r="G24" s="556">
        <f t="shared" ca="1" si="4"/>
        <v>0</v>
      </c>
      <c r="H24" s="557">
        <f t="shared" ca="1" si="4"/>
        <v>0</v>
      </c>
      <c r="I24" s="583">
        <v>15</v>
      </c>
    </row>
    <row r="25" spans="1:9">
      <c r="A25" s="574" t="s">
        <v>1234</v>
      </c>
      <c r="B25" s="538"/>
      <c r="C25" s="538"/>
      <c r="D25" s="544"/>
      <c r="E25" s="545"/>
      <c r="F25" s="538"/>
      <c r="G25" s="546"/>
      <c r="H25" s="547"/>
      <c r="I25" s="584"/>
    </row>
    <row r="26" spans="1:9">
      <c r="A26" s="576" t="s">
        <v>133</v>
      </c>
      <c r="B26" s="539">
        <f ca="1">SoldeN("315")</f>
        <v>471035.17</v>
      </c>
      <c r="C26" s="539">
        <f ca="1">-SoldeN("3915")</f>
        <v>0</v>
      </c>
      <c r="D26" s="540">
        <f ca="1">B26-C26</f>
        <v>471035.17</v>
      </c>
      <c r="E26" s="541">
        <f ca="1">SoldeN_1("315")</f>
        <v>401035.17</v>
      </c>
      <c r="F26" s="539">
        <f ca="1">-SoldeN_1("3915")</f>
        <v>0</v>
      </c>
      <c r="G26" s="542">
        <f ca="1">E26-F26</f>
        <v>401035.17</v>
      </c>
      <c r="H26" s="543">
        <f ca="1">B26-E26</f>
        <v>70000</v>
      </c>
      <c r="I26" s="579">
        <v>16</v>
      </c>
    </row>
    <row r="27" spans="1:9">
      <c r="A27" s="585" t="s">
        <v>134</v>
      </c>
      <c r="B27" s="548">
        <v>0</v>
      </c>
      <c r="C27" s="548">
        <v>0</v>
      </c>
      <c r="D27" s="549">
        <f>B27-C27</f>
        <v>0</v>
      </c>
      <c r="E27" s="550">
        <v>0</v>
      </c>
      <c r="F27" s="548">
        <v>0</v>
      </c>
      <c r="G27" s="551">
        <f>E27-F27</f>
        <v>0</v>
      </c>
      <c r="H27" s="552">
        <f>B27-E27</f>
        <v>0</v>
      </c>
      <c r="I27" s="581">
        <v>17</v>
      </c>
    </row>
    <row r="28" spans="1:9">
      <c r="A28" s="582" t="s">
        <v>13</v>
      </c>
      <c r="B28" s="553">
        <f t="shared" ref="B28:H28" ca="1" si="5">SUM(B26:B27)</f>
        <v>471035.17</v>
      </c>
      <c r="C28" s="553">
        <f t="shared" ca="1" si="5"/>
        <v>0</v>
      </c>
      <c r="D28" s="554">
        <f t="shared" ca="1" si="5"/>
        <v>471035.17</v>
      </c>
      <c r="E28" s="555">
        <f t="shared" ca="1" si="5"/>
        <v>401035.17</v>
      </c>
      <c r="F28" s="553">
        <f t="shared" ca="1" si="5"/>
        <v>0</v>
      </c>
      <c r="G28" s="556">
        <f t="shared" ca="1" si="5"/>
        <v>401035.17</v>
      </c>
      <c r="H28" s="557">
        <f t="shared" ca="1" si="5"/>
        <v>70000</v>
      </c>
      <c r="I28" s="583">
        <v>18</v>
      </c>
    </row>
    <row r="29" spans="1:9">
      <c r="A29" s="574" t="s">
        <v>1235</v>
      </c>
      <c r="B29" s="538"/>
      <c r="C29" s="538"/>
      <c r="D29" s="544"/>
      <c r="E29" s="545"/>
      <c r="F29" s="538"/>
      <c r="G29" s="546"/>
      <c r="H29" s="547"/>
      <c r="I29" s="584"/>
    </row>
    <row r="30" spans="1:9">
      <c r="A30" s="576" t="s">
        <v>135</v>
      </c>
      <c r="B30" s="539">
        <f ca="1">SoldeN("31451")</f>
        <v>0</v>
      </c>
      <c r="C30" s="539">
        <f ca="1">-SoldeN("391451")</f>
        <v>0</v>
      </c>
      <c r="D30" s="540">
        <f ca="1">B30-C30</f>
        <v>0</v>
      </c>
      <c r="E30" s="541">
        <f ca="1">SoldeN_1("31451")</f>
        <v>0</v>
      </c>
      <c r="F30" s="539">
        <f ca="1">-SoldeN_1("391451")</f>
        <v>0</v>
      </c>
      <c r="G30" s="542">
        <f ca="1">E30-F30</f>
        <v>0</v>
      </c>
      <c r="H30" s="543">
        <f ca="1">B30-E30</f>
        <v>0</v>
      </c>
      <c r="I30" s="579">
        <v>19</v>
      </c>
    </row>
    <row r="31" spans="1:9">
      <c r="A31" s="576" t="s">
        <v>136</v>
      </c>
      <c r="B31" s="539">
        <f ca="1">SoldeN("31452")</f>
        <v>0</v>
      </c>
      <c r="C31" s="539">
        <f ca="1">-SoldeN("391452")</f>
        <v>0</v>
      </c>
      <c r="D31" s="540">
        <f ca="1">B31-C31</f>
        <v>0</v>
      </c>
      <c r="E31" s="541">
        <f ca="1">SoldeN_1("31452")</f>
        <v>0</v>
      </c>
      <c r="F31" s="539">
        <f ca="1">-SoldeN_1("391452")</f>
        <v>0</v>
      </c>
      <c r="G31" s="542">
        <f ca="1">E31-F31</f>
        <v>0</v>
      </c>
      <c r="H31" s="543">
        <f ca="1">B31-E31</f>
        <v>0</v>
      </c>
      <c r="I31" s="579">
        <v>20</v>
      </c>
    </row>
    <row r="32" spans="1:9">
      <c r="A32" s="585" t="s">
        <v>137</v>
      </c>
      <c r="B32" s="548">
        <f ca="1">SoldeN("31453")</f>
        <v>0</v>
      </c>
      <c r="C32" s="548">
        <f ca="1">-SoldeN("391453")</f>
        <v>0</v>
      </c>
      <c r="D32" s="549">
        <f ca="1">B32-C32</f>
        <v>0</v>
      </c>
      <c r="E32" s="550">
        <f ca="1">SoldeN_1("31453")</f>
        <v>0</v>
      </c>
      <c r="F32" s="548">
        <f ca="1">-SoldeN_1("391453")</f>
        <v>0</v>
      </c>
      <c r="G32" s="551">
        <f ca="1">E32-F32</f>
        <v>0</v>
      </c>
      <c r="H32" s="552">
        <f ca="1">B32-E32</f>
        <v>0</v>
      </c>
      <c r="I32" s="581">
        <v>21</v>
      </c>
    </row>
    <row r="33" spans="1:9">
      <c r="A33" s="582" t="s">
        <v>1236</v>
      </c>
      <c r="B33" s="553">
        <f ca="1">SUM(B30:B32)</f>
        <v>0</v>
      </c>
      <c r="C33" s="553">
        <f t="shared" ref="C33:H33" ca="1" si="6">SUM(C30:C32)</f>
        <v>0</v>
      </c>
      <c r="D33" s="554">
        <f t="shared" ca="1" si="6"/>
        <v>0</v>
      </c>
      <c r="E33" s="555">
        <f ca="1">SUM(E30:E32)</f>
        <v>0</v>
      </c>
      <c r="F33" s="553">
        <f ca="1">SUM(F30:F32)</f>
        <v>0</v>
      </c>
      <c r="G33" s="556">
        <f t="shared" ca="1" si="6"/>
        <v>0</v>
      </c>
      <c r="H33" s="557">
        <f t="shared" ca="1" si="6"/>
        <v>0</v>
      </c>
      <c r="I33" s="583">
        <v>22</v>
      </c>
    </row>
    <row r="34" spans="1:9">
      <c r="A34" s="586" t="s">
        <v>138</v>
      </c>
      <c r="B34" s="559">
        <f ca="1">SUM(B18,B24,B28,B33)</f>
        <v>471035.17</v>
      </c>
      <c r="C34" s="559">
        <f t="shared" ref="C34:H34" ca="1" si="7">SUM(C18,C24,C28,C33)</f>
        <v>0</v>
      </c>
      <c r="D34" s="560">
        <f t="shared" ca="1" si="7"/>
        <v>471035.17</v>
      </c>
      <c r="E34" s="561">
        <f ca="1">SUM(E18,E24,E28,E33)</f>
        <v>401035.17</v>
      </c>
      <c r="F34" s="559">
        <f ca="1">SUM(F18,F24,F28,F33)</f>
        <v>0</v>
      </c>
      <c r="G34" s="562">
        <f t="shared" ca="1" si="7"/>
        <v>401035.17</v>
      </c>
      <c r="H34" s="563">
        <f t="shared" ca="1" si="7"/>
        <v>70000</v>
      </c>
      <c r="I34" s="587">
        <v>23</v>
      </c>
    </row>
  </sheetData>
  <sheetProtection formatCells="0" formatColumns="0" formatRows="0" insertRows="0" deleteRows="0"/>
  <mergeCells count="6">
    <mergeCell ref="A1:I1"/>
    <mergeCell ref="A3:A5"/>
    <mergeCell ref="H3:H4"/>
    <mergeCell ref="I3:I5"/>
    <mergeCell ref="B3:D3"/>
    <mergeCell ref="E3:G3"/>
  </mergeCells>
  <phoneticPr fontId="0" type="noConversion"/>
  <printOptions horizontalCentered="1"/>
  <pageMargins left="0" right="0" top="0.78740157480314965" bottom="0" header="0.59055118110236227" footer="0.19685039370078741"/>
  <pageSetup paperSize="9" scale="90"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23554" r:id="rId5" name="CADRE_NEANT_T20_BOUTTON">
              <controlPr defaultSize="0" print="0" autoFill="0" autoLine="0" autoPict="0" macro="[0]!Cadre_Neant_Tab20">
                <anchor moveWithCells="1">
                  <from>
                    <xdr:col>7</xdr:col>
                    <xdr:colOff>495300</xdr:colOff>
                    <xdr:row>0</xdr:row>
                    <xdr:rowOff>7620</xdr:rowOff>
                  </from>
                  <to>
                    <xdr:col>8</xdr:col>
                    <xdr:colOff>160020</xdr:colOff>
                    <xdr:row>0</xdr:row>
                    <xdr:rowOff>228600</xdr:rowOff>
                  </to>
                </anchor>
              </controlPr>
            </control>
          </mc:Choice>
        </mc:AlternateContent>
        <mc:AlternateContent xmlns:mc="http://schemas.openxmlformats.org/markup-compatibility/2006">
          <mc:Choice Requires="x14">
            <control shapeId="2355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21"/>
  <dimension ref="A1:C13"/>
  <sheetViews>
    <sheetView workbookViewId="0">
      <selection activeCell="B4" sqref="B4"/>
    </sheetView>
  </sheetViews>
  <sheetFormatPr baseColWidth="10" defaultRowHeight="13.2"/>
  <cols>
    <col min="1" max="1" width="45.88671875" style="755" customWidth="1"/>
    <col min="2" max="3" width="16.109375" style="755" customWidth="1"/>
    <col min="4" max="250" width="11.44140625" style="755"/>
    <col min="251" max="251" width="45.88671875" style="755" customWidth="1"/>
    <col min="252" max="253" width="16.109375" style="755" customWidth="1"/>
    <col min="254" max="506" width="11.44140625" style="755"/>
    <col min="507" max="507" width="45.88671875" style="755" customWidth="1"/>
    <col min="508" max="509" width="16.109375" style="755" customWidth="1"/>
    <col min="510" max="762" width="11.44140625" style="755"/>
    <col min="763" max="763" width="45.88671875" style="755" customWidth="1"/>
    <col min="764" max="765" width="16.109375" style="755" customWidth="1"/>
    <col min="766" max="1018" width="11.44140625" style="755"/>
    <col min="1019" max="1019" width="45.88671875" style="755" customWidth="1"/>
    <col min="1020" max="1021" width="16.109375" style="755" customWidth="1"/>
    <col min="1022" max="1274" width="11.44140625" style="755"/>
    <col min="1275" max="1275" width="45.88671875" style="755" customWidth="1"/>
    <col min="1276" max="1277" width="16.109375" style="755" customWidth="1"/>
    <col min="1278" max="1530" width="11.44140625" style="755"/>
    <col min="1531" max="1531" width="45.88671875" style="755" customWidth="1"/>
    <col min="1532" max="1533" width="16.109375" style="755" customWidth="1"/>
    <col min="1534" max="1786" width="11.44140625" style="755"/>
    <col min="1787" max="1787" width="45.88671875" style="755" customWidth="1"/>
    <col min="1788" max="1789" width="16.109375" style="755" customWidth="1"/>
    <col min="1790" max="2042" width="11.44140625" style="755"/>
    <col min="2043" max="2043" width="45.88671875" style="755" customWidth="1"/>
    <col min="2044" max="2045" width="16.109375" style="755" customWidth="1"/>
    <col min="2046" max="2298" width="11.44140625" style="755"/>
    <col min="2299" max="2299" width="45.88671875" style="755" customWidth="1"/>
    <col min="2300" max="2301" width="16.109375" style="755" customWidth="1"/>
    <col min="2302" max="2554" width="11.44140625" style="755"/>
    <col min="2555" max="2555" width="45.88671875" style="755" customWidth="1"/>
    <col min="2556" max="2557" width="16.109375" style="755" customWidth="1"/>
    <col min="2558" max="2810" width="11.44140625" style="755"/>
    <col min="2811" max="2811" width="45.88671875" style="755" customWidth="1"/>
    <col min="2812" max="2813" width="16.109375" style="755" customWidth="1"/>
    <col min="2814" max="3066" width="11.44140625" style="755"/>
    <col min="3067" max="3067" width="45.88671875" style="755" customWidth="1"/>
    <col min="3068" max="3069" width="16.109375" style="755" customWidth="1"/>
    <col min="3070" max="3322" width="11.44140625" style="755"/>
    <col min="3323" max="3323" width="45.88671875" style="755" customWidth="1"/>
    <col min="3324" max="3325" width="16.109375" style="755" customWidth="1"/>
    <col min="3326" max="3578" width="11.44140625" style="755"/>
    <col min="3579" max="3579" width="45.88671875" style="755" customWidth="1"/>
    <col min="3580" max="3581" width="16.109375" style="755" customWidth="1"/>
    <col min="3582" max="3834" width="11.44140625" style="755"/>
    <col min="3835" max="3835" width="45.88671875" style="755" customWidth="1"/>
    <col min="3836" max="3837" width="16.109375" style="755" customWidth="1"/>
    <col min="3838" max="4090" width="11.44140625" style="755"/>
    <col min="4091" max="4091" width="45.88671875" style="755" customWidth="1"/>
    <col min="4092" max="4093" width="16.109375" style="755" customWidth="1"/>
    <col min="4094" max="4346" width="11.44140625" style="755"/>
    <col min="4347" max="4347" width="45.88671875" style="755" customWidth="1"/>
    <col min="4348" max="4349" width="16.109375" style="755" customWidth="1"/>
    <col min="4350" max="4602" width="11.44140625" style="755"/>
    <col min="4603" max="4603" width="45.88671875" style="755" customWidth="1"/>
    <col min="4604" max="4605" width="16.109375" style="755" customWidth="1"/>
    <col min="4606" max="4858" width="11.44140625" style="755"/>
    <col min="4859" max="4859" width="45.88671875" style="755" customWidth="1"/>
    <col min="4860" max="4861" width="16.109375" style="755" customWidth="1"/>
    <col min="4862" max="5114" width="11.44140625" style="755"/>
    <col min="5115" max="5115" width="45.88671875" style="755" customWidth="1"/>
    <col min="5116" max="5117" width="16.109375" style="755" customWidth="1"/>
    <col min="5118" max="5370" width="11.44140625" style="755"/>
    <col min="5371" max="5371" width="45.88671875" style="755" customWidth="1"/>
    <col min="5372" max="5373" width="16.109375" style="755" customWidth="1"/>
    <col min="5374" max="5626" width="11.44140625" style="755"/>
    <col min="5627" max="5627" width="45.88671875" style="755" customWidth="1"/>
    <col min="5628" max="5629" width="16.109375" style="755" customWidth="1"/>
    <col min="5630" max="5882" width="11.44140625" style="755"/>
    <col min="5883" max="5883" width="45.88671875" style="755" customWidth="1"/>
    <col min="5884" max="5885" width="16.109375" style="755" customWidth="1"/>
    <col min="5886" max="6138" width="11.44140625" style="755"/>
    <col min="6139" max="6139" width="45.88671875" style="755" customWidth="1"/>
    <col min="6140" max="6141" width="16.109375" style="755" customWidth="1"/>
    <col min="6142" max="6394" width="11.44140625" style="755"/>
    <col min="6395" max="6395" width="45.88671875" style="755" customWidth="1"/>
    <col min="6396" max="6397" width="16.109375" style="755" customWidth="1"/>
    <col min="6398" max="6650" width="11.44140625" style="755"/>
    <col min="6651" max="6651" width="45.88671875" style="755" customWidth="1"/>
    <col min="6652" max="6653" width="16.109375" style="755" customWidth="1"/>
    <col min="6654" max="6906" width="11.44140625" style="755"/>
    <col min="6907" max="6907" width="45.88671875" style="755" customWidth="1"/>
    <col min="6908" max="6909" width="16.109375" style="755" customWidth="1"/>
    <col min="6910" max="7162" width="11.44140625" style="755"/>
    <col min="7163" max="7163" width="45.88671875" style="755" customWidth="1"/>
    <col min="7164" max="7165" width="16.109375" style="755" customWidth="1"/>
    <col min="7166" max="7418" width="11.44140625" style="755"/>
    <col min="7419" max="7419" width="45.88671875" style="755" customWidth="1"/>
    <col min="7420" max="7421" width="16.109375" style="755" customWidth="1"/>
    <col min="7422" max="7674" width="11.44140625" style="755"/>
    <col min="7675" max="7675" width="45.88671875" style="755" customWidth="1"/>
    <col min="7676" max="7677" width="16.109375" style="755" customWidth="1"/>
    <col min="7678" max="7930" width="11.44140625" style="755"/>
    <col min="7931" max="7931" width="45.88671875" style="755" customWidth="1"/>
    <col min="7932" max="7933" width="16.109375" style="755" customWidth="1"/>
    <col min="7934" max="8186" width="11.44140625" style="755"/>
    <col min="8187" max="8187" width="45.88671875" style="755" customWidth="1"/>
    <col min="8188" max="8189" width="16.109375" style="755" customWidth="1"/>
    <col min="8190" max="8442" width="11.44140625" style="755"/>
    <col min="8443" max="8443" width="45.88671875" style="755" customWidth="1"/>
    <col min="8444" max="8445" width="16.109375" style="755" customWidth="1"/>
    <col min="8446" max="8698" width="11.44140625" style="755"/>
    <col min="8699" max="8699" width="45.88671875" style="755" customWidth="1"/>
    <col min="8700" max="8701" width="16.109375" style="755" customWidth="1"/>
    <col min="8702" max="8954" width="11.44140625" style="755"/>
    <col min="8955" max="8955" width="45.88671875" style="755" customWidth="1"/>
    <col min="8956" max="8957" width="16.109375" style="755" customWidth="1"/>
    <col min="8958" max="9210" width="11.44140625" style="755"/>
    <col min="9211" max="9211" width="45.88671875" style="755" customWidth="1"/>
    <col min="9212" max="9213" width="16.109375" style="755" customWidth="1"/>
    <col min="9214" max="9466" width="11.44140625" style="755"/>
    <col min="9467" max="9467" width="45.88671875" style="755" customWidth="1"/>
    <col min="9468" max="9469" width="16.109375" style="755" customWidth="1"/>
    <col min="9470" max="9722" width="11.44140625" style="755"/>
    <col min="9723" max="9723" width="45.88671875" style="755" customWidth="1"/>
    <col min="9724" max="9725" width="16.109375" style="755" customWidth="1"/>
    <col min="9726" max="9978" width="11.44140625" style="755"/>
    <col min="9979" max="9979" width="45.88671875" style="755" customWidth="1"/>
    <col min="9980" max="9981" width="16.109375" style="755" customWidth="1"/>
    <col min="9982" max="10234" width="11.44140625" style="755"/>
    <col min="10235" max="10235" width="45.88671875" style="755" customWidth="1"/>
    <col min="10236" max="10237" width="16.109375" style="755" customWidth="1"/>
    <col min="10238" max="10490" width="11.44140625" style="755"/>
    <col min="10491" max="10491" width="45.88671875" style="755" customWidth="1"/>
    <col min="10492" max="10493" width="16.109375" style="755" customWidth="1"/>
    <col min="10494" max="10746" width="11.44140625" style="755"/>
    <col min="10747" max="10747" width="45.88671875" style="755" customWidth="1"/>
    <col min="10748" max="10749" width="16.109375" style="755" customWidth="1"/>
    <col min="10750" max="11002" width="11.44140625" style="755"/>
    <col min="11003" max="11003" width="45.88671875" style="755" customWidth="1"/>
    <col min="11004" max="11005" width="16.109375" style="755" customWidth="1"/>
    <col min="11006" max="11258" width="11.44140625" style="755"/>
    <col min="11259" max="11259" width="45.88671875" style="755" customWidth="1"/>
    <col min="11260" max="11261" width="16.109375" style="755" customWidth="1"/>
    <col min="11262" max="11514" width="11.44140625" style="755"/>
    <col min="11515" max="11515" width="45.88671875" style="755" customWidth="1"/>
    <col min="11516" max="11517" width="16.109375" style="755" customWidth="1"/>
    <col min="11518" max="11770" width="11.44140625" style="755"/>
    <col min="11771" max="11771" width="45.88671875" style="755" customWidth="1"/>
    <col min="11772" max="11773" width="16.109375" style="755" customWidth="1"/>
    <col min="11774" max="12026" width="11.44140625" style="755"/>
    <col min="12027" max="12027" width="45.88671875" style="755" customWidth="1"/>
    <col min="12028" max="12029" width="16.109375" style="755" customWidth="1"/>
    <col min="12030" max="12282" width="11.44140625" style="755"/>
    <col min="12283" max="12283" width="45.88671875" style="755" customWidth="1"/>
    <col min="12284" max="12285" width="16.109375" style="755" customWidth="1"/>
    <col min="12286" max="12538" width="11.44140625" style="755"/>
    <col min="12539" max="12539" width="45.88671875" style="755" customWidth="1"/>
    <col min="12540" max="12541" width="16.109375" style="755" customWidth="1"/>
    <col min="12542" max="12794" width="11.44140625" style="755"/>
    <col min="12795" max="12795" width="45.88671875" style="755" customWidth="1"/>
    <col min="12796" max="12797" width="16.109375" style="755" customWidth="1"/>
    <col min="12798" max="13050" width="11.44140625" style="755"/>
    <col min="13051" max="13051" width="45.88671875" style="755" customWidth="1"/>
    <col min="13052" max="13053" width="16.109375" style="755" customWidth="1"/>
    <col min="13054" max="13306" width="11.44140625" style="755"/>
    <col min="13307" max="13307" width="45.88671875" style="755" customWidth="1"/>
    <col min="13308" max="13309" width="16.109375" style="755" customWidth="1"/>
    <col min="13310" max="13562" width="11.44140625" style="755"/>
    <col min="13563" max="13563" width="45.88671875" style="755" customWidth="1"/>
    <col min="13564" max="13565" width="16.109375" style="755" customWidth="1"/>
    <col min="13566" max="13818" width="11.44140625" style="755"/>
    <col min="13819" max="13819" width="45.88671875" style="755" customWidth="1"/>
    <col min="13820" max="13821" width="16.109375" style="755" customWidth="1"/>
    <col min="13822" max="14074" width="11.44140625" style="755"/>
    <col min="14075" max="14075" width="45.88671875" style="755" customWidth="1"/>
    <col min="14076" max="14077" width="16.109375" style="755" customWidth="1"/>
    <col min="14078" max="14330" width="11.44140625" style="755"/>
    <col min="14331" max="14331" width="45.88671875" style="755" customWidth="1"/>
    <col min="14332" max="14333" width="16.109375" style="755" customWidth="1"/>
    <col min="14334" max="14586" width="11.44140625" style="755"/>
    <col min="14587" max="14587" width="45.88671875" style="755" customWidth="1"/>
    <col min="14588" max="14589" width="16.109375" style="755" customWidth="1"/>
    <col min="14590" max="14842" width="11.44140625" style="755"/>
    <col min="14843" max="14843" width="45.88671875" style="755" customWidth="1"/>
    <col min="14844" max="14845" width="16.109375" style="755" customWidth="1"/>
    <col min="14846" max="15098" width="11.44140625" style="755"/>
    <col min="15099" max="15099" width="45.88671875" style="755" customWidth="1"/>
    <col min="15100" max="15101" width="16.109375" style="755" customWidth="1"/>
    <col min="15102" max="15354" width="11.44140625" style="755"/>
    <col min="15355" max="15355" width="45.88671875" style="755" customWidth="1"/>
    <col min="15356" max="15357" width="16.109375" style="755" customWidth="1"/>
    <col min="15358" max="15610" width="11.44140625" style="755"/>
    <col min="15611" max="15611" width="45.88671875" style="755" customWidth="1"/>
    <col min="15612" max="15613" width="16.109375" style="755" customWidth="1"/>
    <col min="15614" max="15866" width="11.44140625" style="755"/>
    <col min="15867" max="15867" width="45.88671875" style="755" customWidth="1"/>
    <col min="15868" max="15869" width="16.109375" style="755" customWidth="1"/>
    <col min="15870" max="16122" width="11.44140625" style="755"/>
    <col min="16123" max="16123" width="45.88671875" style="755" customWidth="1"/>
    <col min="16124" max="16125" width="16.109375" style="755" customWidth="1"/>
    <col min="16126" max="16384" width="11.44140625" style="755"/>
  </cols>
  <sheetData>
    <row r="1" spans="1:3" ht="36.75" customHeight="1" thickBot="1">
      <c r="A1" s="1113" t="s">
        <v>1357</v>
      </c>
      <c r="B1" s="1114"/>
      <c r="C1" s="1115"/>
    </row>
    <row r="2" spans="1:3">
      <c r="A2" s="297" t="str">
        <f>CONCATENATE(PagePrincipale!$F$9)</f>
        <v>D3 Soft SARL AU</v>
      </c>
      <c r="B2" s="756"/>
      <c r="C2" s="2" t="str">
        <f ca="1">PeriodeArrete_DuAu()</f>
        <v>Du 1/1/2017 Au 31/12/2017</v>
      </c>
    </row>
    <row r="3" spans="1:3" ht="41.4">
      <c r="A3" s="757" t="s">
        <v>460</v>
      </c>
      <c r="B3" s="757" t="s">
        <v>1346</v>
      </c>
      <c r="C3" s="757" t="s">
        <v>1347</v>
      </c>
    </row>
    <row r="4" spans="1:3" ht="13.8">
      <c r="A4" s="768" t="s">
        <v>1352</v>
      </c>
      <c r="B4" s="796"/>
      <c r="C4" s="796"/>
    </row>
    <row r="5" spans="1:3" ht="13.8">
      <c r="A5" s="768" t="s">
        <v>1353</v>
      </c>
      <c r="B5" s="796"/>
      <c r="C5" s="796"/>
    </row>
    <row r="6" spans="1:3" ht="13.8">
      <c r="A6" s="768" t="s">
        <v>1354</v>
      </c>
      <c r="B6" s="796"/>
      <c r="C6" s="796"/>
    </row>
    <row r="7" spans="1:3" ht="13.8">
      <c r="A7" s="768" t="s">
        <v>1355</v>
      </c>
      <c r="B7" s="796"/>
      <c r="C7" s="796"/>
    </row>
    <row r="8" spans="1:3" ht="13.8">
      <c r="A8" s="768" t="s">
        <v>1356</v>
      </c>
      <c r="B8" s="796"/>
      <c r="C8" s="796"/>
    </row>
    <row r="9" spans="1:3" ht="13.8">
      <c r="A9" s="768" t="s">
        <v>1351</v>
      </c>
      <c r="B9" s="796"/>
      <c r="C9" s="796"/>
    </row>
    <row r="10" spans="1:3" ht="13.8">
      <c r="A10" s="775" t="s">
        <v>1348</v>
      </c>
      <c r="B10" s="758">
        <f>SUM(B4:B9)</f>
        <v>0</v>
      </c>
      <c r="C10" s="759"/>
    </row>
    <row r="11" spans="1:3" ht="13.8">
      <c r="A11" s="775" t="s">
        <v>1349</v>
      </c>
      <c r="B11" s="758"/>
      <c r="C11" s="758">
        <f>SUM(C4:C9)</f>
        <v>0</v>
      </c>
    </row>
    <row r="12" spans="1:3" ht="13.8">
      <c r="A12" s="775" t="s">
        <v>1350</v>
      </c>
      <c r="B12" s="758">
        <f>IF(B10&lt;C11,C11-B10,0)</f>
        <v>0</v>
      </c>
      <c r="C12" s="758">
        <f>IF(B10&gt;C11,B10-C11,0)</f>
        <v>0</v>
      </c>
    </row>
    <row r="13" spans="1:3" ht="13.8">
      <c r="A13" s="775" t="s">
        <v>370</v>
      </c>
      <c r="B13" s="758">
        <f>SUM(B10:B12)</f>
        <v>0</v>
      </c>
      <c r="C13" s="758">
        <f>SUM(C10:C12)</f>
        <v>0</v>
      </c>
    </row>
  </sheetData>
  <sheetProtection formatCells="0" formatColumns="0" format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ADRE_NEANT_T21_BOUTTON">
              <controlPr defaultSize="0" print="0" autoFill="0" autoLine="0" autoPict="0" macro="[0]!Cadre_Neant_Tab21">
                <anchor moveWithCells="1">
                  <from>
                    <xdr:col>2</xdr:col>
                    <xdr:colOff>487680</xdr:colOff>
                    <xdr:row>0</xdr:row>
                    <xdr:rowOff>7620</xdr:rowOff>
                  </from>
                  <to>
                    <xdr:col>2</xdr:col>
                    <xdr:colOff>1066800</xdr:colOff>
                    <xdr:row>0</xdr:row>
                    <xdr:rowOff>228600</xdr:rowOff>
                  </to>
                </anchor>
              </controlPr>
            </control>
          </mc:Choice>
        </mc:AlternateContent>
        <mc:AlternateContent xmlns:mc="http://schemas.openxmlformats.org/markup-compatibility/2006">
          <mc:Choice Requires="x14">
            <control shapeId="125954"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25955"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22"/>
  <dimension ref="A1:F49"/>
  <sheetViews>
    <sheetView workbookViewId="0">
      <selection activeCell="F48" sqref="F48"/>
    </sheetView>
  </sheetViews>
  <sheetFormatPr baseColWidth="10" defaultRowHeight="13.8"/>
  <cols>
    <col min="1" max="1" width="2.6640625" style="710" customWidth="1"/>
    <col min="2" max="2" width="46" style="728" customWidth="1"/>
    <col min="3" max="6" width="14.88671875" style="710" customWidth="1"/>
    <col min="7" max="247" width="11.44140625" style="710"/>
    <col min="248" max="248" width="2.6640625" style="710" customWidth="1"/>
    <col min="249" max="249" width="46" style="710" customWidth="1"/>
    <col min="250" max="250" width="13.109375" style="710" customWidth="1"/>
    <col min="251" max="251" width="13.6640625" style="710" customWidth="1"/>
    <col min="252" max="252" width="1" style="710" customWidth="1"/>
    <col min="253" max="254" width="13.109375" style="710" customWidth="1"/>
    <col min="255" max="503" width="11.44140625" style="710"/>
    <col min="504" max="504" width="2.6640625" style="710" customWidth="1"/>
    <col min="505" max="505" width="46" style="710" customWidth="1"/>
    <col min="506" max="506" width="13.109375" style="710" customWidth="1"/>
    <col min="507" max="507" width="13.6640625" style="710" customWidth="1"/>
    <col min="508" max="508" width="1" style="710" customWidth="1"/>
    <col min="509" max="510" width="13.109375" style="710" customWidth="1"/>
    <col min="511" max="759" width="11.44140625" style="710"/>
    <col min="760" max="760" width="2.6640625" style="710" customWidth="1"/>
    <col min="761" max="761" width="46" style="710" customWidth="1"/>
    <col min="762" max="762" width="13.109375" style="710" customWidth="1"/>
    <col min="763" max="763" width="13.6640625" style="710" customWidth="1"/>
    <col min="764" max="764" width="1" style="710" customWidth="1"/>
    <col min="765" max="766" width="13.109375" style="710" customWidth="1"/>
    <col min="767" max="1015" width="11.44140625" style="710"/>
    <col min="1016" max="1016" width="2.6640625" style="710" customWidth="1"/>
    <col min="1017" max="1017" width="46" style="710" customWidth="1"/>
    <col min="1018" max="1018" width="13.109375" style="710" customWidth="1"/>
    <col min="1019" max="1019" width="13.6640625" style="710" customWidth="1"/>
    <col min="1020" max="1020" width="1" style="710" customWidth="1"/>
    <col min="1021" max="1022" width="13.109375" style="710" customWidth="1"/>
    <col min="1023" max="1271" width="11.44140625" style="710"/>
    <col min="1272" max="1272" width="2.6640625" style="710" customWidth="1"/>
    <col min="1273" max="1273" width="46" style="710" customWidth="1"/>
    <col min="1274" max="1274" width="13.109375" style="710" customWidth="1"/>
    <col min="1275" max="1275" width="13.6640625" style="710" customWidth="1"/>
    <col min="1276" max="1276" width="1" style="710" customWidth="1"/>
    <col min="1277" max="1278" width="13.109375" style="710" customWidth="1"/>
    <col min="1279" max="1527" width="11.44140625" style="710"/>
    <col min="1528" max="1528" width="2.6640625" style="710" customWidth="1"/>
    <col min="1529" max="1529" width="46" style="710" customWidth="1"/>
    <col min="1530" max="1530" width="13.109375" style="710" customWidth="1"/>
    <col min="1531" max="1531" width="13.6640625" style="710" customWidth="1"/>
    <col min="1532" max="1532" width="1" style="710" customWidth="1"/>
    <col min="1533" max="1534" width="13.109375" style="710" customWidth="1"/>
    <col min="1535" max="1783" width="11.44140625" style="710"/>
    <col min="1784" max="1784" width="2.6640625" style="710" customWidth="1"/>
    <col min="1785" max="1785" width="46" style="710" customWidth="1"/>
    <col min="1786" max="1786" width="13.109375" style="710" customWidth="1"/>
    <col min="1787" max="1787" width="13.6640625" style="710" customWidth="1"/>
    <col min="1788" max="1788" width="1" style="710" customWidth="1"/>
    <col min="1789" max="1790" width="13.109375" style="710" customWidth="1"/>
    <col min="1791" max="2039" width="11.44140625" style="710"/>
    <col min="2040" max="2040" width="2.6640625" style="710" customWidth="1"/>
    <col min="2041" max="2041" width="46" style="710" customWidth="1"/>
    <col min="2042" max="2042" width="13.109375" style="710" customWidth="1"/>
    <col min="2043" max="2043" width="13.6640625" style="710" customWidth="1"/>
    <col min="2044" max="2044" width="1" style="710" customWidth="1"/>
    <col min="2045" max="2046" width="13.109375" style="710" customWidth="1"/>
    <col min="2047" max="2295" width="11.44140625" style="710"/>
    <col min="2296" max="2296" width="2.6640625" style="710" customWidth="1"/>
    <col min="2297" max="2297" width="46" style="710" customWidth="1"/>
    <col min="2298" max="2298" width="13.109375" style="710" customWidth="1"/>
    <col min="2299" max="2299" width="13.6640625" style="710" customWidth="1"/>
    <col min="2300" max="2300" width="1" style="710" customWidth="1"/>
    <col min="2301" max="2302" width="13.109375" style="710" customWidth="1"/>
    <col min="2303" max="2551" width="11.44140625" style="710"/>
    <col min="2552" max="2552" width="2.6640625" style="710" customWidth="1"/>
    <col min="2553" max="2553" width="46" style="710" customWidth="1"/>
    <col min="2554" max="2554" width="13.109375" style="710" customWidth="1"/>
    <col min="2555" max="2555" width="13.6640625" style="710" customWidth="1"/>
    <col min="2556" max="2556" width="1" style="710" customWidth="1"/>
    <col min="2557" max="2558" width="13.109375" style="710" customWidth="1"/>
    <col min="2559" max="2807" width="11.44140625" style="710"/>
    <col min="2808" max="2808" width="2.6640625" style="710" customWidth="1"/>
    <col min="2809" max="2809" width="46" style="710" customWidth="1"/>
    <col min="2810" max="2810" width="13.109375" style="710" customWidth="1"/>
    <col min="2811" max="2811" width="13.6640625" style="710" customWidth="1"/>
    <col min="2812" max="2812" width="1" style="710" customWidth="1"/>
    <col min="2813" max="2814" width="13.109375" style="710" customWidth="1"/>
    <col min="2815" max="3063" width="11.44140625" style="710"/>
    <col min="3064" max="3064" width="2.6640625" style="710" customWidth="1"/>
    <col min="3065" max="3065" width="46" style="710" customWidth="1"/>
    <col min="3066" max="3066" width="13.109375" style="710" customWidth="1"/>
    <col min="3067" max="3067" width="13.6640625" style="710" customWidth="1"/>
    <col min="3068" max="3068" width="1" style="710" customWidth="1"/>
    <col min="3069" max="3070" width="13.109375" style="710" customWidth="1"/>
    <col min="3071" max="3319" width="11.44140625" style="710"/>
    <col min="3320" max="3320" width="2.6640625" style="710" customWidth="1"/>
    <col min="3321" max="3321" width="46" style="710" customWidth="1"/>
    <col min="3322" max="3322" width="13.109375" style="710" customWidth="1"/>
    <col min="3323" max="3323" width="13.6640625" style="710" customWidth="1"/>
    <col min="3324" max="3324" width="1" style="710" customWidth="1"/>
    <col min="3325" max="3326" width="13.109375" style="710" customWidth="1"/>
    <col min="3327" max="3575" width="11.44140625" style="710"/>
    <col min="3576" max="3576" width="2.6640625" style="710" customWidth="1"/>
    <col min="3577" max="3577" width="46" style="710" customWidth="1"/>
    <col min="3578" max="3578" width="13.109375" style="710" customWidth="1"/>
    <col min="3579" max="3579" width="13.6640625" style="710" customWidth="1"/>
    <col min="3580" max="3580" width="1" style="710" customWidth="1"/>
    <col min="3581" max="3582" width="13.109375" style="710" customWidth="1"/>
    <col min="3583" max="3831" width="11.44140625" style="710"/>
    <col min="3832" max="3832" width="2.6640625" style="710" customWidth="1"/>
    <col min="3833" max="3833" width="46" style="710" customWidth="1"/>
    <col min="3834" max="3834" width="13.109375" style="710" customWidth="1"/>
    <col min="3835" max="3835" width="13.6640625" style="710" customWidth="1"/>
    <col min="3836" max="3836" width="1" style="710" customWidth="1"/>
    <col min="3837" max="3838" width="13.109375" style="710" customWidth="1"/>
    <col min="3839" max="4087" width="11.44140625" style="710"/>
    <col min="4088" max="4088" width="2.6640625" style="710" customWidth="1"/>
    <col min="4089" max="4089" width="46" style="710" customWidth="1"/>
    <col min="4090" max="4090" width="13.109375" style="710" customWidth="1"/>
    <col min="4091" max="4091" width="13.6640625" style="710" customWidth="1"/>
    <col min="4092" max="4092" width="1" style="710" customWidth="1"/>
    <col min="4093" max="4094" width="13.109375" style="710" customWidth="1"/>
    <col min="4095" max="4343" width="11.44140625" style="710"/>
    <col min="4344" max="4344" width="2.6640625" style="710" customWidth="1"/>
    <col min="4345" max="4345" width="46" style="710" customWidth="1"/>
    <col min="4346" max="4346" width="13.109375" style="710" customWidth="1"/>
    <col min="4347" max="4347" width="13.6640625" style="710" customWidth="1"/>
    <col min="4348" max="4348" width="1" style="710" customWidth="1"/>
    <col min="4349" max="4350" width="13.109375" style="710" customWidth="1"/>
    <col min="4351" max="4599" width="11.44140625" style="710"/>
    <col min="4600" max="4600" width="2.6640625" style="710" customWidth="1"/>
    <col min="4601" max="4601" width="46" style="710" customWidth="1"/>
    <col min="4602" max="4602" width="13.109375" style="710" customWidth="1"/>
    <col min="4603" max="4603" width="13.6640625" style="710" customWidth="1"/>
    <col min="4604" max="4604" width="1" style="710" customWidth="1"/>
    <col min="4605" max="4606" width="13.109375" style="710" customWidth="1"/>
    <col min="4607" max="4855" width="11.44140625" style="710"/>
    <col min="4856" max="4856" width="2.6640625" style="710" customWidth="1"/>
    <col min="4857" max="4857" width="46" style="710" customWidth="1"/>
    <col min="4858" max="4858" width="13.109375" style="710" customWidth="1"/>
    <col min="4859" max="4859" width="13.6640625" style="710" customWidth="1"/>
    <col min="4860" max="4860" width="1" style="710" customWidth="1"/>
    <col min="4861" max="4862" width="13.109375" style="710" customWidth="1"/>
    <col min="4863" max="5111" width="11.44140625" style="710"/>
    <col min="5112" max="5112" width="2.6640625" style="710" customWidth="1"/>
    <col min="5113" max="5113" width="46" style="710" customWidth="1"/>
    <col min="5114" max="5114" width="13.109375" style="710" customWidth="1"/>
    <col min="5115" max="5115" width="13.6640625" style="710" customWidth="1"/>
    <col min="5116" max="5116" width="1" style="710" customWidth="1"/>
    <col min="5117" max="5118" width="13.109375" style="710" customWidth="1"/>
    <col min="5119" max="5367" width="11.44140625" style="710"/>
    <col min="5368" max="5368" width="2.6640625" style="710" customWidth="1"/>
    <col min="5369" max="5369" width="46" style="710" customWidth="1"/>
    <col min="5370" max="5370" width="13.109375" style="710" customWidth="1"/>
    <col min="5371" max="5371" width="13.6640625" style="710" customWidth="1"/>
    <col min="5372" max="5372" width="1" style="710" customWidth="1"/>
    <col min="5373" max="5374" width="13.109375" style="710" customWidth="1"/>
    <col min="5375" max="5623" width="11.44140625" style="710"/>
    <col min="5624" max="5624" width="2.6640625" style="710" customWidth="1"/>
    <col min="5625" max="5625" width="46" style="710" customWidth="1"/>
    <col min="5626" max="5626" width="13.109375" style="710" customWidth="1"/>
    <col min="5627" max="5627" width="13.6640625" style="710" customWidth="1"/>
    <col min="5628" max="5628" width="1" style="710" customWidth="1"/>
    <col min="5629" max="5630" width="13.109375" style="710" customWidth="1"/>
    <col min="5631" max="5879" width="11.44140625" style="710"/>
    <col min="5880" max="5880" width="2.6640625" style="710" customWidth="1"/>
    <col min="5881" max="5881" width="46" style="710" customWidth="1"/>
    <col min="5882" max="5882" width="13.109375" style="710" customWidth="1"/>
    <col min="5883" max="5883" width="13.6640625" style="710" customWidth="1"/>
    <col min="5884" max="5884" width="1" style="710" customWidth="1"/>
    <col min="5885" max="5886" width="13.109375" style="710" customWidth="1"/>
    <col min="5887" max="6135" width="11.44140625" style="710"/>
    <col min="6136" max="6136" width="2.6640625" style="710" customWidth="1"/>
    <col min="6137" max="6137" width="46" style="710" customWidth="1"/>
    <col min="6138" max="6138" width="13.109375" style="710" customWidth="1"/>
    <col min="6139" max="6139" width="13.6640625" style="710" customWidth="1"/>
    <col min="6140" max="6140" width="1" style="710" customWidth="1"/>
    <col min="6141" max="6142" width="13.109375" style="710" customWidth="1"/>
    <col min="6143" max="6391" width="11.44140625" style="710"/>
    <col min="6392" max="6392" width="2.6640625" style="710" customWidth="1"/>
    <col min="6393" max="6393" width="46" style="710" customWidth="1"/>
    <col min="6394" max="6394" width="13.109375" style="710" customWidth="1"/>
    <col min="6395" max="6395" width="13.6640625" style="710" customWidth="1"/>
    <col min="6396" max="6396" width="1" style="710" customWidth="1"/>
    <col min="6397" max="6398" width="13.109375" style="710" customWidth="1"/>
    <col min="6399" max="6647" width="11.44140625" style="710"/>
    <col min="6648" max="6648" width="2.6640625" style="710" customWidth="1"/>
    <col min="6649" max="6649" width="46" style="710" customWidth="1"/>
    <col min="6650" max="6650" width="13.109375" style="710" customWidth="1"/>
    <col min="6651" max="6651" width="13.6640625" style="710" customWidth="1"/>
    <col min="6652" max="6652" width="1" style="710" customWidth="1"/>
    <col min="6653" max="6654" width="13.109375" style="710" customWidth="1"/>
    <col min="6655" max="6903" width="11.44140625" style="710"/>
    <col min="6904" max="6904" width="2.6640625" style="710" customWidth="1"/>
    <col min="6905" max="6905" width="46" style="710" customWidth="1"/>
    <col min="6906" max="6906" width="13.109375" style="710" customWidth="1"/>
    <col min="6907" max="6907" width="13.6640625" style="710" customWidth="1"/>
    <col min="6908" max="6908" width="1" style="710" customWidth="1"/>
    <col min="6909" max="6910" width="13.109375" style="710" customWidth="1"/>
    <col min="6911" max="7159" width="11.44140625" style="710"/>
    <col min="7160" max="7160" width="2.6640625" style="710" customWidth="1"/>
    <col min="7161" max="7161" width="46" style="710" customWidth="1"/>
    <col min="7162" max="7162" width="13.109375" style="710" customWidth="1"/>
    <col min="7163" max="7163" width="13.6640625" style="710" customWidth="1"/>
    <col min="7164" max="7164" width="1" style="710" customWidth="1"/>
    <col min="7165" max="7166" width="13.109375" style="710" customWidth="1"/>
    <col min="7167" max="7415" width="11.44140625" style="710"/>
    <col min="7416" max="7416" width="2.6640625" style="710" customWidth="1"/>
    <col min="7417" max="7417" width="46" style="710" customWidth="1"/>
    <col min="7418" max="7418" width="13.109375" style="710" customWidth="1"/>
    <col min="7419" max="7419" width="13.6640625" style="710" customWidth="1"/>
    <col min="7420" max="7420" width="1" style="710" customWidth="1"/>
    <col min="7421" max="7422" width="13.109375" style="710" customWidth="1"/>
    <col min="7423" max="7671" width="11.44140625" style="710"/>
    <col min="7672" max="7672" width="2.6640625" style="710" customWidth="1"/>
    <col min="7673" max="7673" width="46" style="710" customWidth="1"/>
    <col min="7674" max="7674" width="13.109375" style="710" customWidth="1"/>
    <col min="7675" max="7675" width="13.6640625" style="710" customWidth="1"/>
    <col min="7676" max="7676" width="1" style="710" customWidth="1"/>
    <col min="7677" max="7678" width="13.109375" style="710" customWidth="1"/>
    <col min="7679" max="7927" width="11.44140625" style="710"/>
    <col min="7928" max="7928" width="2.6640625" style="710" customWidth="1"/>
    <col min="7929" max="7929" width="46" style="710" customWidth="1"/>
    <col min="7930" max="7930" width="13.109375" style="710" customWidth="1"/>
    <col min="7931" max="7931" width="13.6640625" style="710" customWidth="1"/>
    <col min="7932" max="7932" width="1" style="710" customWidth="1"/>
    <col min="7933" max="7934" width="13.109375" style="710" customWidth="1"/>
    <col min="7935" max="8183" width="11.44140625" style="710"/>
    <col min="8184" max="8184" width="2.6640625" style="710" customWidth="1"/>
    <col min="8185" max="8185" width="46" style="710" customWidth="1"/>
    <col min="8186" max="8186" width="13.109375" style="710" customWidth="1"/>
    <col min="8187" max="8187" width="13.6640625" style="710" customWidth="1"/>
    <col min="8188" max="8188" width="1" style="710" customWidth="1"/>
    <col min="8189" max="8190" width="13.109375" style="710" customWidth="1"/>
    <col min="8191" max="8439" width="11.44140625" style="710"/>
    <col min="8440" max="8440" width="2.6640625" style="710" customWidth="1"/>
    <col min="8441" max="8441" width="46" style="710" customWidth="1"/>
    <col min="8442" max="8442" width="13.109375" style="710" customWidth="1"/>
    <col min="8443" max="8443" width="13.6640625" style="710" customWidth="1"/>
    <col min="8444" max="8444" width="1" style="710" customWidth="1"/>
    <col min="8445" max="8446" width="13.109375" style="710" customWidth="1"/>
    <col min="8447" max="8695" width="11.44140625" style="710"/>
    <col min="8696" max="8696" width="2.6640625" style="710" customWidth="1"/>
    <col min="8697" max="8697" width="46" style="710" customWidth="1"/>
    <col min="8698" max="8698" width="13.109375" style="710" customWidth="1"/>
    <col min="8699" max="8699" width="13.6640625" style="710" customWidth="1"/>
    <col min="8700" max="8700" width="1" style="710" customWidth="1"/>
    <col min="8701" max="8702" width="13.109375" style="710" customWidth="1"/>
    <col min="8703" max="8951" width="11.44140625" style="710"/>
    <col min="8952" max="8952" width="2.6640625" style="710" customWidth="1"/>
    <col min="8953" max="8953" width="46" style="710" customWidth="1"/>
    <col min="8954" max="8954" width="13.109375" style="710" customWidth="1"/>
    <col min="8955" max="8955" width="13.6640625" style="710" customWidth="1"/>
    <col min="8956" max="8956" width="1" style="710" customWidth="1"/>
    <col min="8957" max="8958" width="13.109375" style="710" customWidth="1"/>
    <col min="8959" max="9207" width="11.44140625" style="710"/>
    <col min="9208" max="9208" width="2.6640625" style="710" customWidth="1"/>
    <col min="9209" max="9209" width="46" style="710" customWidth="1"/>
    <col min="9210" max="9210" width="13.109375" style="710" customWidth="1"/>
    <col min="9211" max="9211" width="13.6640625" style="710" customWidth="1"/>
    <col min="9212" max="9212" width="1" style="710" customWidth="1"/>
    <col min="9213" max="9214" width="13.109375" style="710" customWidth="1"/>
    <col min="9215" max="9463" width="11.44140625" style="710"/>
    <col min="9464" max="9464" width="2.6640625" style="710" customWidth="1"/>
    <col min="9465" max="9465" width="46" style="710" customWidth="1"/>
    <col min="9466" max="9466" width="13.109375" style="710" customWidth="1"/>
    <col min="9467" max="9467" width="13.6640625" style="710" customWidth="1"/>
    <col min="9468" max="9468" width="1" style="710" customWidth="1"/>
    <col min="9469" max="9470" width="13.109375" style="710" customWidth="1"/>
    <col min="9471" max="9719" width="11.44140625" style="710"/>
    <col min="9720" max="9720" width="2.6640625" style="710" customWidth="1"/>
    <col min="9721" max="9721" width="46" style="710" customWidth="1"/>
    <col min="9722" max="9722" width="13.109375" style="710" customWidth="1"/>
    <col min="9723" max="9723" width="13.6640625" style="710" customWidth="1"/>
    <col min="9724" max="9724" width="1" style="710" customWidth="1"/>
    <col min="9725" max="9726" width="13.109375" style="710" customWidth="1"/>
    <col min="9727" max="9975" width="11.44140625" style="710"/>
    <col min="9976" max="9976" width="2.6640625" style="710" customWidth="1"/>
    <col min="9977" max="9977" width="46" style="710" customWidth="1"/>
    <col min="9978" max="9978" width="13.109375" style="710" customWidth="1"/>
    <col min="9979" max="9979" width="13.6640625" style="710" customWidth="1"/>
    <col min="9980" max="9980" width="1" style="710" customWidth="1"/>
    <col min="9981" max="9982" width="13.109375" style="710" customWidth="1"/>
    <col min="9983" max="10231" width="11.44140625" style="710"/>
    <col min="10232" max="10232" width="2.6640625" style="710" customWidth="1"/>
    <col min="10233" max="10233" width="46" style="710" customWidth="1"/>
    <col min="10234" max="10234" width="13.109375" style="710" customWidth="1"/>
    <col min="10235" max="10235" width="13.6640625" style="710" customWidth="1"/>
    <col min="10236" max="10236" width="1" style="710" customWidth="1"/>
    <col min="10237" max="10238" width="13.109375" style="710" customWidth="1"/>
    <col min="10239" max="10487" width="11.44140625" style="710"/>
    <col min="10488" max="10488" width="2.6640625" style="710" customWidth="1"/>
    <col min="10489" max="10489" width="46" style="710" customWidth="1"/>
    <col min="10490" max="10490" width="13.109375" style="710" customWidth="1"/>
    <col min="10491" max="10491" width="13.6640625" style="710" customWidth="1"/>
    <col min="10492" max="10492" width="1" style="710" customWidth="1"/>
    <col min="10493" max="10494" width="13.109375" style="710" customWidth="1"/>
    <col min="10495" max="10743" width="11.44140625" style="710"/>
    <col min="10744" max="10744" width="2.6640625" style="710" customWidth="1"/>
    <col min="10745" max="10745" width="46" style="710" customWidth="1"/>
    <col min="10746" max="10746" width="13.109375" style="710" customWidth="1"/>
    <col min="10747" max="10747" width="13.6640625" style="710" customWidth="1"/>
    <col min="10748" max="10748" width="1" style="710" customWidth="1"/>
    <col min="10749" max="10750" width="13.109375" style="710" customWidth="1"/>
    <col min="10751" max="10999" width="11.44140625" style="710"/>
    <col min="11000" max="11000" width="2.6640625" style="710" customWidth="1"/>
    <col min="11001" max="11001" width="46" style="710" customWidth="1"/>
    <col min="11002" max="11002" width="13.109375" style="710" customWidth="1"/>
    <col min="11003" max="11003" width="13.6640625" style="710" customWidth="1"/>
    <col min="11004" max="11004" width="1" style="710" customWidth="1"/>
    <col min="11005" max="11006" width="13.109375" style="710" customWidth="1"/>
    <col min="11007" max="11255" width="11.44140625" style="710"/>
    <col min="11256" max="11256" width="2.6640625" style="710" customWidth="1"/>
    <col min="11257" max="11257" width="46" style="710" customWidth="1"/>
    <col min="11258" max="11258" width="13.109375" style="710" customWidth="1"/>
    <col min="11259" max="11259" width="13.6640625" style="710" customWidth="1"/>
    <col min="11260" max="11260" width="1" style="710" customWidth="1"/>
    <col min="11261" max="11262" width="13.109375" style="710" customWidth="1"/>
    <col min="11263" max="11511" width="11.44140625" style="710"/>
    <col min="11512" max="11512" width="2.6640625" style="710" customWidth="1"/>
    <col min="11513" max="11513" width="46" style="710" customWidth="1"/>
    <col min="11514" max="11514" width="13.109375" style="710" customWidth="1"/>
    <col min="11515" max="11515" width="13.6640625" style="710" customWidth="1"/>
    <col min="11516" max="11516" width="1" style="710" customWidth="1"/>
    <col min="11517" max="11518" width="13.109375" style="710" customWidth="1"/>
    <col min="11519" max="11767" width="11.44140625" style="710"/>
    <col min="11768" max="11768" width="2.6640625" style="710" customWidth="1"/>
    <col min="11769" max="11769" width="46" style="710" customWidth="1"/>
    <col min="11770" max="11770" width="13.109375" style="710" customWidth="1"/>
    <col min="11771" max="11771" width="13.6640625" style="710" customWidth="1"/>
    <col min="11772" max="11772" width="1" style="710" customWidth="1"/>
    <col min="11773" max="11774" width="13.109375" style="710" customWidth="1"/>
    <col min="11775" max="12023" width="11.44140625" style="710"/>
    <col min="12024" max="12024" width="2.6640625" style="710" customWidth="1"/>
    <col min="12025" max="12025" width="46" style="710" customWidth="1"/>
    <col min="12026" max="12026" width="13.109375" style="710" customWidth="1"/>
    <col min="12027" max="12027" width="13.6640625" style="710" customWidth="1"/>
    <col min="12028" max="12028" width="1" style="710" customWidth="1"/>
    <col min="12029" max="12030" width="13.109375" style="710" customWidth="1"/>
    <col min="12031" max="12279" width="11.44140625" style="710"/>
    <col min="12280" max="12280" width="2.6640625" style="710" customWidth="1"/>
    <col min="12281" max="12281" width="46" style="710" customWidth="1"/>
    <col min="12282" max="12282" width="13.109375" style="710" customWidth="1"/>
    <col min="12283" max="12283" width="13.6640625" style="710" customWidth="1"/>
    <col min="12284" max="12284" width="1" style="710" customWidth="1"/>
    <col min="12285" max="12286" width="13.109375" style="710" customWidth="1"/>
    <col min="12287" max="12535" width="11.44140625" style="710"/>
    <col min="12536" max="12536" width="2.6640625" style="710" customWidth="1"/>
    <col min="12537" max="12537" width="46" style="710" customWidth="1"/>
    <col min="12538" max="12538" width="13.109375" style="710" customWidth="1"/>
    <col min="12539" max="12539" width="13.6640625" style="710" customWidth="1"/>
    <col min="12540" max="12540" width="1" style="710" customWidth="1"/>
    <col min="12541" max="12542" width="13.109375" style="710" customWidth="1"/>
    <col min="12543" max="12791" width="11.44140625" style="710"/>
    <col min="12792" max="12792" width="2.6640625" style="710" customWidth="1"/>
    <col min="12793" max="12793" width="46" style="710" customWidth="1"/>
    <col min="12794" max="12794" width="13.109375" style="710" customWidth="1"/>
    <col min="12795" max="12795" width="13.6640625" style="710" customWidth="1"/>
    <col min="12796" max="12796" width="1" style="710" customWidth="1"/>
    <col min="12797" max="12798" width="13.109375" style="710" customWidth="1"/>
    <col min="12799" max="13047" width="11.44140625" style="710"/>
    <col min="13048" max="13048" width="2.6640625" style="710" customWidth="1"/>
    <col min="13049" max="13049" width="46" style="710" customWidth="1"/>
    <col min="13050" max="13050" width="13.109375" style="710" customWidth="1"/>
    <col min="13051" max="13051" width="13.6640625" style="710" customWidth="1"/>
    <col min="13052" max="13052" width="1" style="710" customWidth="1"/>
    <col min="13053" max="13054" width="13.109375" style="710" customWidth="1"/>
    <col min="13055" max="13303" width="11.44140625" style="710"/>
    <col min="13304" max="13304" width="2.6640625" style="710" customWidth="1"/>
    <col min="13305" max="13305" width="46" style="710" customWidth="1"/>
    <col min="13306" max="13306" width="13.109375" style="710" customWidth="1"/>
    <col min="13307" max="13307" width="13.6640625" style="710" customWidth="1"/>
    <col min="13308" max="13308" width="1" style="710" customWidth="1"/>
    <col min="13309" max="13310" width="13.109375" style="710" customWidth="1"/>
    <col min="13311" max="13559" width="11.44140625" style="710"/>
    <col min="13560" max="13560" width="2.6640625" style="710" customWidth="1"/>
    <col min="13561" max="13561" width="46" style="710" customWidth="1"/>
    <col min="13562" max="13562" width="13.109375" style="710" customWidth="1"/>
    <col min="13563" max="13563" width="13.6640625" style="710" customWidth="1"/>
    <col min="13564" max="13564" width="1" style="710" customWidth="1"/>
    <col min="13565" max="13566" width="13.109375" style="710" customWidth="1"/>
    <col min="13567" max="13815" width="11.44140625" style="710"/>
    <col min="13816" max="13816" width="2.6640625" style="710" customWidth="1"/>
    <col min="13817" max="13817" width="46" style="710" customWidth="1"/>
    <col min="13818" max="13818" width="13.109375" style="710" customWidth="1"/>
    <col min="13819" max="13819" width="13.6640625" style="710" customWidth="1"/>
    <col min="13820" max="13820" width="1" style="710" customWidth="1"/>
    <col min="13821" max="13822" width="13.109375" style="710" customWidth="1"/>
    <col min="13823" max="14071" width="11.44140625" style="710"/>
    <col min="14072" max="14072" width="2.6640625" style="710" customWidth="1"/>
    <col min="14073" max="14073" width="46" style="710" customWidth="1"/>
    <col min="14074" max="14074" width="13.109375" style="710" customWidth="1"/>
    <col min="14075" max="14075" width="13.6640625" style="710" customWidth="1"/>
    <col min="14076" max="14076" width="1" style="710" customWidth="1"/>
    <col min="14077" max="14078" width="13.109375" style="710" customWidth="1"/>
    <col min="14079" max="14327" width="11.44140625" style="710"/>
    <col min="14328" max="14328" width="2.6640625" style="710" customWidth="1"/>
    <col min="14329" max="14329" width="46" style="710" customWidth="1"/>
    <col min="14330" max="14330" width="13.109375" style="710" customWidth="1"/>
    <col min="14331" max="14331" width="13.6640625" style="710" customWidth="1"/>
    <col min="14332" max="14332" width="1" style="710" customWidth="1"/>
    <col min="14333" max="14334" width="13.109375" style="710" customWidth="1"/>
    <col min="14335" max="14583" width="11.44140625" style="710"/>
    <col min="14584" max="14584" width="2.6640625" style="710" customWidth="1"/>
    <col min="14585" max="14585" width="46" style="710" customWidth="1"/>
    <col min="14586" max="14586" width="13.109375" style="710" customWidth="1"/>
    <col min="14587" max="14587" width="13.6640625" style="710" customWidth="1"/>
    <col min="14588" max="14588" width="1" style="710" customWidth="1"/>
    <col min="14589" max="14590" width="13.109375" style="710" customWidth="1"/>
    <col min="14591" max="14839" width="11.44140625" style="710"/>
    <col min="14840" max="14840" width="2.6640625" style="710" customWidth="1"/>
    <col min="14841" max="14841" width="46" style="710" customWidth="1"/>
    <col min="14842" max="14842" width="13.109375" style="710" customWidth="1"/>
    <col min="14843" max="14843" width="13.6640625" style="710" customWidth="1"/>
    <col min="14844" max="14844" width="1" style="710" customWidth="1"/>
    <col min="14845" max="14846" width="13.109375" style="710" customWidth="1"/>
    <col min="14847" max="15095" width="11.44140625" style="710"/>
    <col min="15096" max="15096" width="2.6640625" style="710" customWidth="1"/>
    <col min="15097" max="15097" width="46" style="710" customWidth="1"/>
    <col min="15098" max="15098" width="13.109375" style="710" customWidth="1"/>
    <col min="15099" max="15099" width="13.6640625" style="710" customWidth="1"/>
    <col min="15100" max="15100" width="1" style="710" customWidth="1"/>
    <col min="15101" max="15102" width="13.109375" style="710" customWidth="1"/>
    <col min="15103" max="15351" width="11.44140625" style="710"/>
    <col min="15352" max="15352" width="2.6640625" style="710" customWidth="1"/>
    <col min="15353" max="15353" width="46" style="710" customWidth="1"/>
    <col min="15354" max="15354" width="13.109375" style="710" customWidth="1"/>
    <col min="15355" max="15355" width="13.6640625" style="710" customWidth="1"/>
    <col min="15356" max="15356" width="1" style="710" customWidth="1"/>
    <col min="15357" max="15358" width="13.109375" style="710" customWidth="1"/>
    <col min="15359" max="15607" width="11.44140625" style="710"/>
    <col min="15608" max="15608" width="2.6640625" style="710" customWidth="1"/>
    <col min="15609" max="15609" width="46" style="710" customWidth="1"/>
    <col min="15610" max="15610" width="13.109375" style="710" customWidth="1"/>
    <col min="15611" max="15611" width="13.6640625" style="710" customWidth="1"/>
    <col min="15612" max="15612" width="1" style="710" customWidth="1"/>
    <col min="15613" max="15614" width="13.109375" style="710" customWidth="1"/>
    <col min="15615" max="15863" width="11.44140625" style="710"/>
    <col min="15864" max="15864" width="2.6640625" style="710" customWidth="1"/>
    <col min="15865" max="15865" width="46" style="710" customWidth="1"/>
    <col min="15866" max="15866" width="13.109375" style="710" customWidth="1"/>
    <col min="15867" max="15867" width="13.6640625" style="710" customWidth="1"/>
    <col min="15868" max="15868" width="1" style="710" customWidth="1"/>
    <col min="15869" max="15870" width="13.109375" style="710" customWidth="1"/>
    <col min="15871" max="16119" width="11.44140625" style="710"/>
    <col min="16120" max="16120" width="2.6640625" style="710" customWidth="1"/>
    <col min="16121" max="16121" width="46" style="710" customWidth="1"/>
    <col min="16122" max="16122" width="13.109375" style="710" customWidth="1"/>
    <col min="16123" max="16123" width="13.6640625" style="710" customWidth="1"/>
    <col min="16124" max="16124" width="1" style="710" customWidth="1"/>
    <col min="16125" max="16126" width="13.109375" style="710" customWidth="1"/>
    <col min="16127" max="16384" width="11.44140625" style="710"/>
  </cols>
  <sheetData>
    <row r="1" spans="1:6" ht="18.600000000000001" thickBot="1">
      <c r="A1" s="1118" t="s">
        <v>1264</v>
      </c>
      <c r="B1" s="1119"/>
      <c r="C1" s="1119"/>
      <c r="D1" s="1119"/>
      <c r="E1" s="1119"/>
      <c r="F1" s="1120"/>
    </row>
    <row r="2" spans="1:6" ht="13.2">
      <c r="A2" s="1" t="str">
        <f>CONCATENATE(PagePrincipale!$F$9)</f>
        <v>D3 Soft SARL AU</v>
      </c>
      <c r="B2" s="710"/>
      <c r="C2" s="711"/>
      <c r="F2" s="2" t="str">
        <f ca="1">PeriodeArrete_DuAu()</f>
        <v>Du 1/1/2017 Au 31/12/2017</v>
      </c>
    </row>
    <row r="3" spans="1:6" ht="13.2">
      <c r="A3" s="1"/>
      <c r="B3" s="710"/>
      <c r="C3" s="711"/>
    </row>
    <row r="4" spans="1:6">
      <c r="A4" s="712" t="s">
        <v>1277</v>
      </c>
      <c r="B4" s="710"/>
      <c r="D4" s="713"/>
      <c r="E4" s="714"/>
    </row>
    <row r="5" spans="1:6" s="711" customFormat="1">
      <c r="A5" s="1121" t="s">
        <v>1278</v>
      </c>
      <c r="B5" s="1122"/>
      <c r="C5" s="1127" t="s">
        <v>429</v>
      </c>
      <c r="D5" s="1127" t="s">
        <v>414</v>
      </c>
      <c r="E5" s="1129" t="s">
        <v>1279</v>
      </c>
      <c r="F5" s="1129"/>
    </row>
    <row r="6" spans="1:6" s="711" customFormat="1">
      <c r="A6" s="1123"/>
      <c r="B6" s="1124"/>
      <c r="C6" s="1128"/>
      <c r="D6" s="1128"/>
      <c r="E6" s="716" t="s">
        <v>1280</v>
      </c>
      <c r="F6" s="716" t="s">
        <v>1281</v>
      </c>
    </row>
    <row r="7" spans="1:6" s="711" customFormat="1">
      <c r="A7" s="1125"/>
      <c r="B7" s="1126"/>
      <c r="C7" s="717" t="s">
        <v>1282</v>
      </c>
      <c r="D7" s="717" t="s">
        <v>1283</v>
      </c>
      <c r="E7" s="717" t="s">
        <v>1284</v>
      </c>
      <c r="F7" s="717" t="s">
        <v>1285</v>
      </c>
    </row>
    <row r="8" spans="1:6">
      <c r="A8" s="718">
        <v>1</v>
      </c>
      <c r="B8" s="719" t="s">
        <v>1286</v>
      </c>
      <c r="C8" s="720">
        <f ca="1">'T01'!D83</f>
        <v>-114310.29999999999</v>
      </c>
      <c r="D8" s="720">
        <f ca="1">'T01'!E83</f>
        <v>-104158.41999999993</v>
      </c>
      <c r="E8" s="720">
        <f ca="1">IF(C8&gt;D8,0,D8-C8)</f>
        <v>10151.880000000063</v>
      </c>
      <c r="F8" s="720">
        <f ca="1">IF(C8&gt;D8,C8-D8,0)</f>
        <v>0</v>
      </c>
    </row>
    <row r="9" spans="1:6">
      <c r="A9" s="721">
        <v>2</v>
      </c>
      <c r="B9" s="722" t="s">
        <v>1287</v>
      </c>
      <c r="C9" s="723">
        <f ca="1">'T01'!E30</f>
        <v>10565.710000000014</v>
      </c>
      <c r="D9" s="723">
        <f ca="1">'T01'!F30</f>
        <v>13381.180000000015</v>
      </c>
      <c r="E9" s="723">
        <f ca="1">IF(C9&gt;D9,C9-D9,0)</f>
        <v>0</v>
      </c>
      <c r="F9" s="723">
        <f ca="1">IF(C9&gt;D9,0,D9-C9)</f>
        <v>2815.4700000000012</v>
      </c>
    </row>
    <row r="10" spans="1:6">
      <c r="A10" s="724">
        <v>3</v>
      </c>
      <c r="B10" s="725" t="s">
        <v>1373</v>
      </c>
      <c r="C10" s="726">
        <f ca="1">+C8-C9</f>
        <v>-124876.01000000001</v>
      </c>
      <c r="D10" s="726">
        <f ca="1">+D8-D9</f>
        <v>-117539.59999999995</v>
      </c>
      <c r="E10" s="727">
        <f ca="1">IF(C10&gt;D10,0,D10-C10)</f>
        <v>7336.4100000000617</v>
      </c>
      <c r="F10" s="727">
        <f ca="1">IF(C10&gt;D10,C10-D10,0)</f>
        <v>0</v>
      </c>
    </row>
    <row r="11" spans="1:6">
      <c r="A11" s="718">
        <v>4</v>
      </c>
      <c r="B11" s="719" t="s">
        <v>1288</v>
      </c>
      <c r="C11" s="720">
        <f ca="1">'T01'!E47</f>
        <v>1186040.6299999999</v>
      </c>
      <c r="D11" s="720">
        <f ca="1">'T01'!F47</f>
        <v>1044540.0900000001</v>
      </c>
      <c r="E11" s="720">
        <f ca="1">IF(C11&gt;D11,C11-D11,0)</f>
        <v>141500.5399999998</v>
      </c>
      <c r="F11" s="720">
        <f ca="1">IF(C11&gt;D11,0,D11-C11)</f>
        <v>0</v>
      </c>
    </row>
    <row r="12" spans="1:6">
      <c r="A12" s="721">
        <v>5</v>
      </c>
      <c r="B12" s="722" t="s">
        <v>1289</v>
      </c>
      <c r="C12" s="723">
        <f ca="1">'T01'!D95</f>
        <v>1322311.44</v>
      </c>
      <c r="D12" s="723">
        <f ca="1">'T01'!E95</f>
        <v>1172335.01</v>
      </c>
      <c r="E12" s="723">
        <f ca="1">IF(C12&gt;D12,0,D12-C12)</f>
        <v>0</v>
      </c>
      <c r="F12" s="723">
        <f ca="1">IF(C12&gt;D12,C12-D12,0)</f>
        <v>149976.42999999993</v>
      </c>
    </row>
    <row r="13" spans="1:6">
      <c r="A13" s="724">
        <v>6</v>
      </c>
      <c r="B13" s="725" t="s">
        <v>1372</v>
      </c>
      <c r="C13" s="727">
        <f ca="1">+C11-C12</f>
        <v>-136270.81000000006</v>
      </c>
      <c r="D13" s="727">
        <f ca="1">+D11-D12</f>
        <v>-127794.91999999993</v>
      </c>
      <c r="E13" s="727">
        <f ca="1">IF(C13&gt;D13,C13-D13,0)</f>
        <v>0</v>
      </c>
      <c r="F13" s="727">
        <f ca="1">IF(C13&gt;D13,0,D13-C13)</f>
        <v>8475.8900000001304</v>
      </c>
    </row>
    <row r="14" spans="1:6">
      <c r="A14" s="724">
        <v>7</v>
      </c>
      <c r="B14" s="725" t="s">
        <v>1290</v>
      </c>
      <c r="C14" s="727">
        <f ca="1">+C10-C13</f>
        <v>11394.800000000047</v>
      </c>
      <c r="D14" s="727">
        <f ca="1">+D10-D13</f>
        <v>10255.319999999978</v>
      </c>
      <c r="E14" s="727">
        <f ca="1">IF(C14&gt;D14,C14-D14,0)</f>
        <v>1139.4800000000687</v>
      </c>
      <c r="F14" s="727">
        <f ca="1">IF(C14&gt;D14,0,D14-C14)</f>
        <v>0</v>
      </c>
    </row>
    <row r="15" spans="1:6">
      <c r="C15" s="729"/>
      <c r="D15" s="729"/>
      <c r="E15" s="729"/>
      <c r="F15" s="729"/>
    </row>
    <row r="16" spans="1:6">
      <c r="A16" s="712" t="s">
        <v>1291</v>
      </c>
      <c r="B16" s="710"/>
      <c r="C16" s="729"/>
      <c r="D16" s="729"/>
      <c r="E16" s="729"/>
      <c r="F16" s="715"/>
    </row>
    <row r="17" spans="1:6" s="728" customFormat="1" ht="13.5" customHeight="1">
      <c r="A17" s="730"/>
      <c r="B17" s="731"/>
      <c r="C17" s="1130" t="s">
        <v>429</v>
      </c>
      <c r="D17" s="1131"/>
      <c r="E17" s="1132" t="s">
        <v>414</v>
      </c>
      <c r="F17" s="1130"/>
    </row>
    <row r="18" spans="1:6" s="728" customFormat="1">
      <c r="A18" s="732"/>
      <c r="B18" s="733"/>
      <c r="C18" s="734" t="s">
        <v>1280</v>
      </c>
      <c r="D18" s="789" t="s">
        <v>1281</v>
      </c>
      <c r="E18" s="790" t="s">
        <v>1280</v>
      </c>
      <c r="F18" s="734" t="s">
        <v>1281</v>
      </c>
    </row>
    <row r="19" spans="1:6" ht="6" customHeight="1">
      <c r="A19" s="712"/>
      <c r="B19" s="712"/>
      <c r="C19" s="735"/>
      <c r="D19" s="735"/>
      <c r="E19" s="735"/>
      <c r="F19" s="735"/>
    </row>
    <row r="20" spans="1:6">
      <c r="A20" s="736" t="s">
        <v>1292</v>
      </c>
      <c r="B20" s="737"/>
      <c r="C20" s="738"/>
      <c r="D20" s="738"/>
      <c r="E20" s="791"/>
      <c r="F20" s="739"/>
    </row>
    <row r="21" spans="1:6">
      <c r="A21" s="740"/>
      <c r="B21" s="741" t="s">
        <v>1293</v>
      </c>
      <c r="C21" s="797"/>
      <c r="D21" s="798">
        <f ca="1">+D22-D23</f>
        <v>5149.8499999999894</v>
      </c>
      <c r="E21" s="799"/>
      <c r="F21" s="800">
        <f ca="1">+F22-F23</f>
        <v>14286.260000000017</v>
      </c>
    </row>
    <row r="22" spans="1:6">
      <c r="A22" s="742"/>
      <c r="B22" s="743" t="s">
        <v>1294</v>
      </c>
      <c r="C22" s="801"/>
      <c r="D22" s="802">
        <f ca="1">'T05'!E44</f>
        <v>5149.8499999999894</v>
      </c>
      <c r="E22" s="803"/>
      <c r="F22" s="801">
        <f ca="1">'T05'!F44</f>
        <v>14286.260000000017</v>
      </c>
    </row>
    <row r="23" spans="1:6">
      <c r="A23" s="744"/>
      <c r="B23" s="745" t="s">
        <v>1295</v>
      </c>
      <c r="C23" s="804"/>
      <c r="D23" s="805">
        <f>'T05'!E45</f>
        <v>0</v>
      </c>
      <c r="E23" s="806"/>
      <c r="F23" s="804">
        <f>'T05'!F45</f>
        <v>0</v>
      </c>
    </row>
    <row r="24" spans="1:6">
      <c r="A24" s="740"/>
      <c r="B24" s="741" t="s">
        <v>1366</v>
      </c>
      <c r="C24" s="797"/>
      <c r="D24" s="798">
        <f ca="1">SUM(D25:D28)</f>
        <v>0</v>
      </c>
      <c r="E24" s="799"/>
      <c r="F24" s="800">
        <f ca="1">SUM(F25:F28)</f>
        <v>0</v>
      </c>
    </row>
    <row r="25" spans="1:6">
      <c r="A25" s="742"/>
      <c r="B25" s="743" t="s">
        <v>1296</v>
      </c>
      <c r="C25" s="801"/>
      <c r="D25" s="802">
        <f ca="1">-SoldeN("7512")</f>
        <v>0</v>
      </c>
      <c r="E25" s="803"/>
      <c r="F25" s="801">
        <f ca="1">-SoldeN_1("7512")</f>
        <v>0</v>
      </c>
    </row>
    <row r="26" spans="1:6">
      <c r="A26" s="746"/>
      <c r="B26" s="747" t="s">
        <v>1297</v>
      </c>
      <c r="C26" s="807"/>
      <c r="D26" s="808">
        <f ca="1">-SoldeN("7513")</f>
        <v>0</v>
      </c>
      <c r="E26" s="809"/>
      <c r="F26" s="807">
        <f ca="1">-SoldeN_1("7513")</f>
        <v>0</v>
      </c>
    </row>
    <row r="27" spans="1:6">
      <c r="A27" s="746"/>
      <c r="B27" s="747" t="s">
        <v>1298</v>
      </c>
      <c r="C27" s="807"/>
      <c r="D27" s="808">
        <f ca="1">-SoldeN("7514")</f>
        <v>0</v>
      </c>
      <c r="E27" s="809"/>
      <c r="F27" s="807">
        <f ca="1">-SoldeN_1("7514")</f>
        <v>0</v>
      </c>
    </row>
    <row r="28" spans="1:6">
      <c r="A28" s="744"/>
      <c r="B28" s="745" t="s">
        <v>1299</v>
      </c>
      <c r="C28" s="804"/>
      <c r="D28" s="810"/>
      <c r="E28" s="806"/>
      <c r="F28" s="811"/>
    </row>
    <row r="29" spans="1:6">
      <c r="A29" s="740"/>
      <c r="B29" s="741" t="s">
        <v>1367</v>
      </c>
      <c r="C29" s="797"/>
      <c r="D29" s="798">
        <f>SUM(D30:D31)</f>
        <v>0</v>
      </c>
      <c r="E29" s="799"/>
      <c r="F29" s="800">
        <f>SUM(F30:F31)</f>
        <v>0</v>
      </c>
    </row>
    <row r="30" spans="1:6">
      <c r="A30" s="742"/>
      <c r="B30" s="743" t="s">
        <v>1300</v>
      </c>
      <c r="C30" s="801"/>
      <c r="D30" s="802"/>
      <c r="E30" s="803"/>
      <c r="F30" s="812"/>
    </row>
    <row r="31" spans="1:6">
      <c r="A31" s="744"/>
      <c r="B31" s="745" t="s">
        <v>1301</v>
      </c>
      <c r="C31" s="804"/>
      <c r="D31" s="805"/>
      <c r="E31" s="806"/>
      <c r="F31" s="811"/>
    </row>
    <row r="32" spans="1:6">
      <c r="A32" s="748"/>
      <c r="B32" s="741" t="s">
        <v>1368</v>
      </c>
      <c r="C32" s="800"/>
      <c r="D32" s="813"/>
      <c r="E32" s="814"/>
      <c r="F32" s="815"/>
    </row>
    <row r="33" spans="1:6">
      <c r="A33" s="725" t="s">
        <v>1302</v>
      </c>
      <c r="B33" s="741"/>
      <c r="C33" s="800">
        <f>C32+C29+C24+C21</f>
        <v>0</v>
      </c>
      <c r="D33" s="798">
        <f ca="1">+D32+D29+D24+D21</f>
        <v>5149.8499999999894</v>
      </c>
      <c r="E33" s="814">
        <f>E32+E29+E24+E21</f>
        <v>0</v>
      </c>
      <c r="F33" s="800">
        <f ca="1">+F32+F29+F24+F21</f>
        <v>14286.260000000017</v>
      </c>
    </row>
    <row r="34" spans="1:6" ht="6" customHeight="1">
      <c r="A34" s="712"/>
      <c r="B34" s="712"/>
      <c r="C34" s="735"/>
      <c r="D34" s="735"/>
      <c r="E34" s="735"/>
      <c r="F34" s="735"/>
    </row>
    <row r="35" spans="1:6">
      <c r="A35" s="737" t="s">
        <v>1303</v>
      </c>
      <c r="B35" s="749"/>
      <c r="C35" s="738"/>
      <c r="D35" s="738"/>
      <c r="E35" s="791"/>
      <c r="F35" s="739"/>
    </row>
    <row r="36" spans="1:6">
      <c r="A36" s="748"/>
      <c r="B36" s="741" t="s">
        <v>1365</v>
      </c>
      <c r="C36" s="800">
        <f ca="1">SUM(C37:C40)</f>
        <v>5000</v>
      </c>
      <c r="D36" s="798"/>
      <c r="E36" s="814">
        <f>SUM(E37:E40)</f>
        <v>0</v>
      </c>
      <c r="F36" s="800"/>
    </row>
    <row r="37" spans="1:6">
      <c r="A37" s="742"/>
      <c r="B37" s="743" t="s">
        <v>1363</v>
      </c>
      <c r="C37" s="801">
        <f ca="1">'T04'!C12</f>
        <v>0</v>
      </c>
      <c r="D37" s="802"/>
      <c r="E37" s="816"/>
      <c r="F37" s="801"/>
    </row>
    <row r="38" spans="1:6">
      <c r="A38" s="746"/>
      <c r="B38" s="747" t="s">
        <v>1304</v>
      </c>
      <c r="C38" s="807">
        <f ca="1">'T04'!C17</f>
        <v>5000</v>
      </c>
      <c r="D38" s="808"/>
      <c r="E38" s="817"/>
      <c r="F38" s="807"/>
    </row>
    <row r="39" spans="1:6">
      <c r="A39" s="746"/>
      <c r="B39" s="747" t="s">
        <v>1305</v>
      </c>
      <c r="C39" s="818"/>
      <c r="D39" s="808"/>
      <c r="E39" s="817"/>
      <c r="F39" s="807"/>
    </row>
    <row r="40" spans="1:6">
      <c r="A40" s="744"/>
      <c r="B40" s="745" t="s">
        <v>1364</v>
      </c>
      <c r="C40" s="811"/>
      <c r="D40" s="805"/>
      <c r="E40" s="819"/>
      <c r="F40" s="804"/>
    </row>
    <row r="41" spans="1:6">
      <c r="A41" s="748"/>
      <c r="B41" s="741" t="s">
        <v>1369</v>
      </c>
      <c r="C41" s="800"/>
      <c r="D41" s="798"/>
      <c r="E41" s="814"/>
      <c r="F41" s="800"/>
    </row>
    <row r="42" spans="1:6">
      <c r="A42" s="748"/>
      <c r="B42" s="741" t="s">
        <v>1370</v>
      </c>
      <c r="C42" s="815"/>
      <c r="D42" s="798"/>
      <c r="E42" s="820"/>
      <c r="F42" s="800"/>
    </row>
    <row r="43" spans="1:6">
      <c r="A43" s="748"/>
      <c r="B43" s="741" t="s">
        <v>1371</v>
      </c>
      <c r="C43" s="800">
        <f ca="1">'T04'!C5</f>
        <v>0</v>
      </c>
      <c r="D43" s="798"/>
      <c r="E43" s="820"/>
      <c r="F43" s="800"/>
    </row>
    <row r="44" spans="1:6">
      <c r="A44" s="725" t="s">
        <v>1306</v>
      </c>
      <c r="B44" s="741"/>
      <c r="C44" s="800">
        <f ca="1">+C36+C41+C42+C43</f>
        <v>5000</v>
      </c>
      <c r="D44" s="798"/>
      <c r="E44" s="814">
        <f>+E36+E41+E42+E43</f>
        <v>0</v>
      </c>
      <c r="F44" s="800"/>
    </row>
    <row r="45" spans="1:6" ht="6" customHeight="1">
      <c r="A45" s="712"/>
      <c r="B45" s="712"/>
      <c r="C45" s="735"/>
      <c r="D45" s="735"/>
      <c r="E45" s="735"/>
      <c r="F45" s="735"/>
    </row>
    <row r="46" spans="1:6">
      <c r="A46" s="725" t="s">
        <v>1307</v>
      </c>
      <c r="B46" s="741"/>
      <c r="C46" s="800">
        <f ca="1">E13</f>
        <v>0</v>
      </c>
      <c r="D46" s="798">
        <f ca="1">F13</f>
        <v>8475.8900000001304</v>
      </c>
      <c r="E46" s="820"/>
      <c r="F46" s="815"/>
    </row>
    <row r="47" spans="1:6">
      <c r="A47" s="725" t="s">
        <v>1308</v>
      </c>
      <c r="B47" s="741"/>
      <c r="C47" s="800">
        <f ca="1">E14</f>
        <v>1139.4800000000687</v>
      </c>
      <c r="D47" s="798">
        <f ca="1">F14</f>
        <v>0</v>
      </c>
      <c r="E47" s="820"/>
      <c r="F47" s="815"/>
    </row>
    <row r="48" spans="1:6">
      <c r="A48" s="1116" t="s">
        <v>1309</v>
      </c>
      <c r="B48" s="1117"/>
      <c r="C48" s="800">
        <f ca="1">+C47+C46+C44</f>
        <v>6139.4800000000687</v>
      </c>
      <c r="D48" s="798">
        <f ca="1">+D47+D46+D33</f>
        <v>13625.74000000012</v>
      </c>
      <c r="E48" s="814">
        <f>+E47+E46+E44</f>
        <v>0</v>
      </c>
      <c r="F48" s="800">
        <f ca="1">+F47+F46+F33</f>
        <v>14286.260000000017</v>
      </c>
    </row>
    <row r="49" spans="1:1">
      <c r="A49" s="710" t="s">
        <v>1362</v>
      </c>
    </row>
  </sheetData>
  <sheetProtection formatCells="0" formatColumns="0" formatRows="0"/>
  <mergeCells count="8">
    <mergeCell ref="A48:B48"/>
    <mergeCell ref="A1:F1"/>
    <mergeCell ref="A5:B7"/>
    <mergeCell ref="C5:C6"/>
    <mergeCell ref="D5:D6"/>
    <mergeCell ref="E5:F5"/>
    <mergeCell ref="C17:D17"/>
    <mergeCell ref="E17:F17"/>
  </mergeCells>
  <printOptions horizontalCentered="1"/>
  <pageMargins left="0" right="0" top="0.78740157480314965" bottom="0" header="0.59055118110236227" footer="0.19685039370078741"/>
  <pageSetup paperSize="9" scale="95"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ADRE_NEANT_T22_BOUTTON">
              <controlPr defaultSize="0" print="0" autoFill="0" autoLine="0" autoPict="0" macro="[0]!Cadre_Neant_Tab22">
                <anchor moveWithCells="1">
                  <from>
                    <xdr:col>5</xdr:col>
                    <xdr:colOff>274320</xdr:colOff>
                    <xdr:row>0</xdr:row>
                    <xdr:rowOff>0</xdr:rowOff>
                  </from>
                  <to>
                    <xdr:col>5</xdr:col>
                    <xdr:colOff>861060</xdr:colOff>
                    <xdr:row>0</xdr:row>
                    <xdr:rowOff>220980</xdr:rowOff>
                  </to>
                </anchor>
              </controlPr>
            </control>
          </mc:Choice>
        </mc:AlternateContent>
        <mc:AlternateContent xmlns:mc="http://schemas.openxmlformats.org/markup-compatibility/2006">
          <mc:Choice Requires="x14">
            <control shapeId="138242" r:id="rId5" name="GoToMain">
              <controlPr defaultSize="0" print="0" autoFill="0" autoPict="0" macro="[0]!GoToMain">
                <anchor>
                  <from>
                    <xdr:col>0</xdr:col>
                    <xdr:colOff>0</xdr:colOff>
                    <xdr:row>0</xdr:row>
                    <xdr:rowOff>0</xdr:rowOff>
                  </from>
                  <to>
                    <xdr:col>1</xdr:col>
                    <xdr:colOff>182880</xdr:colOff>
                    <xdr:row>0</xdr:row>
                    <xdr:rowOff>228600</xdr:rowOff>
                  </to>
                </anchor>
              </controlPr>
            </control>
          </mc:Choice>
        </mc:AlternateContent>
        <mc:AlternateContent xmlns:mc="http://schemas.openxmlformats.org/markup-compatibility/2006">
          <mc:Choice Requires="x14">
            <control shapeId="138243" r:id="rId6" name="GoToLast">
              <controlPr defaultSize="0" print="0" autoFill="0" autoPict="0" macro="[0]!GoToLastSelection">
                <anchor moveWithCells="1" sizeWithCells="1">
                  <from>
                    <xdr:col>1</xdr:col>
                    <xdr:colOff>190500</xdr:colOff>
                    <xdr:row>0</xdr:row>
                    <xdr:rowOff>0</xdr:rowOff>
                  </from>
                  <to>
                    <xdr:col>1</xdr:col>
                    <xdr:colOff>556260</xdr:colOff>
                    <xdr:row>0</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23"/>
  <dimension ref="A1:B34"/>
  <sheetViews>
    <sheetView workbookViewId="0">
      <selection activeCell="B5" sqref="B5"/>
    </sheetView>
  </sheetViews>
  <sheetFormatPr baseColWidth="10" defaultRowHeight="13.8"/>
  <cols>
    <col min="1" max="1" width="58.5546875" style="750" bestFit="1" customWidth="1"/>
    <col min="2" max="2" width="40.33203125" style="750" customWidth="1"/>
    <col min="3" max="252" width="11.44140625" style="750"/>
    <col min="253" max="253" width="61.44140625" style="750" customWidth="1"/>
    <col min="254" max="254" width="40.33203125" style="750" customWidth="1"/>
    <col min="255" max="508" width="11.44140625" style="750"/>
    <col min="509" max="509" width="61.44140625" style="750" customWidth="1"/>
    <col min="510" max="510" width="40.33203125" style="750" customWidth="1"/>
    <col min="511" max="764" width="11.44140625" style="750"/>
    <col min="765" max="765" width="61.44140625" style="750" customWidth="1"/>
    <col min="766" max="766" width="40.33203125" style="750" customWidth="1"/>
    <col min="767" max="1020" width="11.44140625" style="750"/>
    <col min="1021" max="1021" width="61.44140625" style="750" customWidth="1"/>
    <col min="1022" max="1022" width="40.33203125" style="750" customWidth="1"/>
    <col min="1023" max="1276" width="11.44140625" style="750"/>
    <col min="1277" max="1277" width="61.44140625" style="750" customWidth="1"/>
    <col min="1278" max="1278" width="40.33203125" style="750" customWidth="1"/>
    <col min="1279" max="1532" width="11.44140625" style="750"/>
    <col min="1533" max="1533" width="61.44140625" style="750" customWidth="1"/>
    <col min="1534" max="1534" width="40.33203125" style="750" customWidth="1"/>
    <col min="1535" max="1788" width="11.44140625" style="750"/>
    <col min="1789" max="1789" width="61.44140625" style="750" customWidth="1"/>
    <col min="1790" max="1790" width="40.33203125" style="750" customWidth="1"/>
    <col min="1791" max="2044" width="11.44140625" style="750"/>
    <col min="2045" max="2045" width="61.44140625" style="750" customWidth="1"/>
    <col min="2046" max="2046" width="40.33203125" style="750" customWidth="1"/>
    <col min="2047" max="2300" width="11.44140625" style="750"/>
    <col min="2301" max="2301" width="61.44140625" style="750" customWidth="1"/>
    <col min="2302" max="2302" width="40.33203125" style="750" customWidth="1"/>
    <col min="2303" max="2556" width="11.44140625" style="750"/>
    <col min="2557" max="2557" width="61.44140625" style="750" customWidth="1"/>
    <col min="2558" max="2558" width="40.33203125" style="750" customWidth="1"/>
    <col min="2559" max="2812" width="11.44140625" style="750"/>
    <col min="2813" max="2813" width="61.44140625" style="750" customWidth="1"/>
    <col min="2814" max="2814" width="40.33203125" style="750" customWidth="1"/>
    <col min="2815" max="3068" width="11.44140625" style="750"/>
    <col min="3069" max="3069" width="61.44140625" style="750" customWidth="1"/>
    <col min="3070" max="3070" width="40.33203125" style="750" customWidth="1"/>
    <col min="3071" max="3324" width="11.44140625" style="750"/>
    <col min="3325" max="3325" width="61.44140625" style="750" customWidth="1"/>
    <col min="3326" max="3326" width="40.33203125" style="750" customWidth="1"/>
    <col min="3327" max="3580" width="11.44140625" style="750"/>
    <col min="3581" max="3581" width="61.44140625" style="750" customWidth="1"/>
    <col min="3582" max="3582" width="40.33203125" style="750" customWidth="1"/>
    <col min="3583" max="3836" width="11.44140625" style="750"/>
    <col min="3837" max="3837" width="61.44140625" style="750" customWidth="1"/>
    <col min="3838" max="3838" width="40.33203125" style="750" customWidth="1"/>
    <col min="3839" max="4092" width="11.44140625" style="750"/>
    <col min="4093" max="4093" width="61.44140625" style="750" customWidth="1"/>
    <col min="4094" max="4094" width="40.33203125" style="750" customWidth="1"/>
    <col min="4095" max="4348" width="11.44140625" style="750"/>
    <col min="4349" max="4349" width="61.44140625" style="750" customWidth="1"/>
    <col min="4350" max="4350" width="40.33203125" style="750" customWidth="1"/>
    <col min="4351" max="4604" width="11.44140625" style="750"/>
    <col min="4605" max="4605" width="61.44140625" style="750" customWidth="1"/>
    <col min="4606" max="4606" width="40.33203125" style="750" customWidth="1"/>
    <col min="4607" max="4860" width="11.44140625" style="750"/>
    <col min="4861" max="4861" width="61.44140625" style="750" customWidth="1"/>
    <col min="4862" max="4862" width="40.33203125" style="750" customWidth="1"/>
    <col min="4863" max="5116" width="11.44140625" style="750"/>
    <col min="5117" max="5117" width="61.44140625" style="750" customWidth="1"/>
    <col min="5118" max="5118" width="40.33203125" style="750" customWidth="1"/>
    <col min="5119" max="5372" width="11.44140625" style="750"/>
    <col min="5373" max="5373" width="61.44140625" style="750" customWidth="1"/>
    <col min="5374" max="5374" width="40.33203125" style="750" customWidth="1"/>
    <col min="5375" max="5628" width="11.44140625" style="750"/>
    <col min="5629" max="5629" width="61.44140625" style="750" customWidth="1"/>
    <col min="5630" max="5630" width="40.33203125" style="750" customWidth="1"/>
    <col min="5631" max="5884" width="11.44140625" style="750"/>
    <col min="5885" max="5885" width="61.44140625" style="750" customWidth="1"/>
    <col min="5886" max="5886" width="40.33203125" style="750" customWidth="1"/>
    <col min="5887" max="6140" width="11.44140625" style="750"/>
    <col min="6141" max="6141" width="61.44140625" style="750" customWidth="1"/>
    <col min="6142" max="6142" width="40.33203125" style="750" customWidth="1"/>
    <col min="6143" max="6396" width="11.44140625" style="750"/>
    <col min="6397" max="6397" width="61.44140625" style="750" customWidth="1"/>
    <col min="6398" max="6398" width="40.33203125" style="750" customWidth="1"/>
    <col min="6399" max="6652" width="11.44140625" style="750"/>
    <col min="6653" max="6653" width="61.44140625" style="750" customWidth="1"/>
    <col min="6654" max="6654" width="40.33203125" style="750" customWidth="1"/>
    <col min="6655" max="6908" width="11.44140625" style="750"/>
    <col min="6909" max="6909" width="61.44140625" style="750" customWidth="1"/>
    <col min="6910" max="6910" width="40.33203125" style="750" customWidth="1"/>
    <col min="6911" max="7164" width="11.44140625" style="750"/>
    <col min="7165" max="7165" width="61.44140625" style="750" customWidth="1"/>
    <col min="7166" max="7166" width="40.33203125" style="750" customWidth="1"/>
    <col min="7167" max="7420" width="11.44140625" style="750"/>
    <col min="7421" max="7421" width="61.44140625" style="750" customWidth="1"/>
    <col min="7422" max="7422" width="40.33203125" style="750" customWidth="1"/>
    <col min="7423" max="7676" width="11.44140625" style="750"/>
    <col min="7677" max="7677" width="61.44140625" style="750" customWidth="1"/>
    <col min="7678" max="7678" width="40.33203125" style="750" customWidth="1"/>
    <col min="7679" max="7932" width="11.44140625" style="750"/>
    <col min="7933" max="7933" width="61.44140625" style="750" customWidth="1"/>
    <col min="7934" max="7934" width="40.33203125" style="750" customWidth="1"/>
    <col min="7935" max="8188" width="11.44140625" style="750"/>
    <col min="8189" max="8189" width="61.44140625" style="750" customWidth="1"/>
    <col min="8190" max="8190" width="40.33203125" style="750" customWidth="1"/>
    <col min="8191" max="8444" width="11.44140625" style="750"/>
    <col min="8445" max="8445" width="61.44140625" style="750" customWidth="1"/>
    <col min="8446" max="8446" width="40.33203125" style="750" customWidth="1"/>
    <col min="8447" max="8700" width="11.44140625" style="750"/>
    <col min="8701" max="8701" width="61.44140625" style="750" customWidth="1"/>
    <col min="8702" max="8702" width="40.33203125" style="750" customWidth="1"/>
    <col min="8703" max="8956" width="11.44140625" style="750"/>
    <col min="8957" max="8957" width="61.44140625" style="750" customWidth="1"/>
    <col min="8958" max="8958" width="40.33203125" style="750" customWidth="1"/>
    <col min="8959" max="9212" width="11.44140625" style="750"/>
    <col min="9213" max="9213" width="61.44140625" style="750" customWidth="1"/>
    <col min="9214" max="9214" width="40.33203125" style="750" customWidth="1"/>
    <col min="9215" max="9468" width="11.44140625" style="750"/>
    <col min="9469" max="9469" width="61.44140625" style="750" customWidth="1"/>
    <col min="9470" max="9470" width="40.33203125" style="750" customWidth="1"/>
    <col min="9471" max="9724" width="11.44140625" style="750"/>
    <col min="9725" max="9725" width="61.44140625" style="750" customWidth="1"/>
    <col min="9726" max="9726" width="40.33203125" style="750" customWidth="1"/>
    <col min="9727" max="9980" width="11.44140625" style="750"/>
    <col min="9981" max="9981" width="61.44140625" style="750" customWidth="1"/>
    <col min="9982" max="9982" width="40.33203125" style="750" customWidth="1"/>
    <col min="9983" max="10236" width="11.44140625" style="750"/>
    <col min="10237" max="10237" width="61.44140625" style="750" customWidth="1"/>
    <col min="10238" max="10238" width="40.33203125" style="750" customWidth="1"/>
    <col min="10239" max="10492" width="11.44140625" style="750"/>
    <col min="10493" max="10493" width="61.44140625" style="750" customWidth="1"/>
    <col min="10494" max="10494" width="40.33203125" style="750" customWidth="1"/>
    <col min="10495" max="10748" width="11.44140625" style="750"/>
    <col min="10749" max="10749" width="61.44140625" style="750" customWidth="1"/>
    <col min="10750" max="10750" width="40.33203125" style="750" customWidth="1"/>
    <col min="10751" max="11004" width="11.44140625" style="750"/>
    <col min="11005" max="11005" width="61.44140625" style="750" customWidth="1"/>
    <col min="11006" max="11006" width="40.33203125" style="750" customWidth="1"/>
    <col min="11007" max="11260" width="11.44140625" style="750"/>
    <col min="11261" max="11261" width="61.44140625" style="750" customWidth="1"/>
    <col min="11262" max="11262" width="40.33203125" style="750" customWidth="1"/>
    <col min="11263" max="11516" width="11.44140625" style="750"/>
    <col min="11517" max="11517" width="61.44140625" style="750" customWidth="1"/>
    <col min="11518" max="11518" width="40.33203125" style="750" customWidth="1"/>
    <col min="11519" max="11772" width="11.44140625" style="750"/>
    <col min="11773" max="11773" width="61.44140625" style="750" customWidth="1"/>
    <col min="11774" max="11774" width="40.33203125" style="750" customWidth="1"/>
    <col min="11775" max="12028" width="11.44140625" style="750"/>
    <col min="12029" max="12029" width="61.44140625" style="750" customWidth="1"/>
    <col min="12030" max="12030" width="40.33203125" style="750" customWidth="1"/>
    <col min="12031" max="12284" width="11.44140625" style="750"/>
    <col min="12285" max="12285" width="61.44140625" style="750" customWidth="1"/>
    <col min="12286" max="12286" width="40.33203125" style="750" customWidth="1"/>
    <col min="12287" max="12540" width="11.44140625" style="750"/>
    <col min="12541" max="12541" width="61.44140625" style="750" customWidth="1"/>
    <col min="12542" max="12542" width="40.33203125" style="750" customWidth="1"/>
    <col min="12543" max="12796" width="11.44140625" style="750"/>
    <col min="12797" max="12797" width="61.44140625" style="750" customWidth="1"/>
    <col min="12798" max="12798" width="40.33203125" style="750" customWidth="1"/>
    <col min="12799" max="13052" width="11.44140625" style="750"/>
    <col min="13053" max="13053" width="61.44140625" style="750" customWidth="1"/>
    <col min="13054" max="13054" width="40.33203125" style="750" customWidth="1"/>
    <col min="13055" max="13308" width="11.44140625" style="750"/>
    <col min="13309" max="13309" width="61.44140625" style="750" customWidth="1"/>
    <col min="13310" max="13310" width="40.33203125" style="750" customWidth="1"/>
    <col min="13311" max="13564" width="11.44140625" style="750"/>
    <col min="13565" max="13565" width="61.44140625" style="750" customWidth="1"/>
    <col min="13566" max="13566" width="40.33203125" style="750" customWidth="1"/>
    <col min="13567" max="13820" width="11.44140625" style="750"/>
    <col min="13821" max="13821" width="61.44140625" style="750" customWidth="1"/>
    <col min="13822" max="13822" width="40.33203125" style="750" customWidth="1"/>
    <col min="13823" max="14076" width="11.44140625" style="750"/>
    <col min="14077" max="14077" width="61.44140625" style="750" customWidth="1"/>
    <col min="14078" max="14078" width="40.33203125" style="750" customWidth="1"/>
    <col min="14079" max="14332" width="11.44140625" style="750"/>
    <col min="14333" max="14333" width="61.44140625" style="750" customWidth="1"/>
    <col min="14334" max="14334" width="40.33203125" style="750" customWidth="1"/>
    <col min="14335" max="14588" width="11.44140625" style="750"/>
    <col min="14589" max="14589" width="61.44140625" style="750" customWidth="1"/>
    <col min="14590" max="14590" width="40.33203125" style="750" customWidth="1"/>
    <col min="14591" max="14844" width="11.44140625" style="750"/>
    <col min="14845" max="14845" width="61.44140625" style="750" customWidth="1"/>
    <col min="14846" max="14846" width="40.33203125" style="750" customWidth="1"/>
    <col min="14847" max="15100" width="11.44140625" style="750"/>
    <col min="15101" max="15101" width="61.44140625" style="750" customWidth="1"/>
    <col min="15102" max="15102" width="40.33203125" style="750" customWidth="1"/>
    <col min="15103" max="15356" width="11.44140625" style="750"/>
    <col min="15357" max="15357" width="61.44140625" style="750" customWidth="1"/>
    <col min="15358" max="15358" width="40.33203125" style="750" customWidth="1"/>
    <col min="15359" max="15612" width="11.44140625" style="750"/>
    <col min="15613" max="15613" width="61.44140625" style="750" customWidth="1"/>
    <col min="15614" max="15614" width="40.33203125" style="750" customWidth="1"/>
    <col min="15615" max="15868" width="11.44140625" style="750"/>
    <col min="15869" max="15869" width="61.44140625" style="750" customWidth="1"/>
    <col min="15870" max="15870" width="40.33203125" style="750" customWidth="1"/>
    <col min="15871" max="16124" width="11.44140625" style="750"/>
    <col min="16125" max="16125" width="61.44140625" style="750" customWidth="1"/>
    <col min="16126" max="16126" width="40.33203125" style="750" customWidth="1"/>
    <col min="16127" max="16384" width="11.44140625" style="750"/>
  </cols>
  <sheetData>
    <row r="1" spans="1:2" ht="18.600000000000001" thickBot="1">
      <c r="A1" s="1133" t="s">
        <v>1265</v>
      </c>
      <c r="B1" s="1134"/>
    </row>
    <row r="2" spans="1:2">
      <c r="A2" s="1" t="str">
        <f>CONCATENATE(PagePrincipale!$F$9)</f>
        <v>D3 Soft SARL AU</v>
      </c>
      <c r="B2" s="715" t="str">
        <f ca="1">PeriodeArrete_DuAu()</f>
        <v>Du 1/1/2017 Au 31/12/2017</v>
      </c>
    </row>
    <row r="3" spans="1:2" ht="15.6">
      <c r="A3" s="773" t="s">
        <v>1310</v>
      </c>
      <c r="B3" s="774"/>
    </row>
    <row r="4" spans="1:2" ht="13.5" customHeight="1">
      <c r="A4" s="772" t="s">
        <v>1311</v>
      </c>
      <c r="B4" s="769"/>
    </row>
    <row r="5" spans="1:2" ht="13.5" customHeight="1">
      <c r="A5" s="842" t="s">
        <v>1312</v>
      </c>
      <c r="B5" s="821"/>
    </row>
    <row r="6" spans="1:2" ht="13.5" customHeight="1">
      <c r="A6" s="842" t="s">
        <v>1313</v>
      </c>
      <c r="B6" s="821"/>
    </row>
    <row r="7" spans="1:2" ht="13.5" customHeight="1">
      <c r="A7" s="842" t="s">
        <v>1314</v>
      </c>
      <c r="B7" s="821"/>
    </row>
    <row r="8" spans="1:2" ht="13.5" customHeight="1">
      <c r="A8" s="842" t="s">
        <v>1315</v>
      </c>
      <c r="B8" s="821"/>
    </row>
    <row r="9" spans="1:2" ht="13.5" customHeight="1">
      <c r="A9" s="772" t="s">
        <v>1316</v>
      </c>
      <c r="B9" s="769"/>
    </row>
    <row r="10" spans="1:2" ht="13.5" customHeight="1">
      <c r="A10" s="842" t="s">
        <v>1317</v>
      </c>
      <c r="B10" s="821"/>
    </row>
    <row r="11" spans="1:2" ht="13.5" customHeight="1">
      <c r="A11" s="842" t="s">
        <v>1318</v>
      </c>
      <c r="B11" s="821"/>
    </row>
    <row r="12" spans="1:2" ht="13.5" customHeight="1">
      <c r="A12" s="843" t="s">
        <v>1374</v>
      </c>
      <c r="B12" s="822"/>
    </row>
    <row r="13" spans="1:2" ht="15.6">
      <c r="A13" s="773" t="s">
        <v>1319</v>
      </c>
      <c r="B13" s="774"/>
    </row>
    <row r="14" spans="1:2" ht="13.5" customHeight="1">
      <c r="A14" s="772" t="s">
        <v>1311</v>
      </c>
      <c r="B14" s="769"/>
    </row>
    <row r="15" spans="1:2" ht="13.5" customHeight="1">
      <c r="A15" s="842" t="s">
        <v>1320</v>
      </c>
      <c r="B15" s="821"/>
    </row>
    <row r="16" spans="1:2" ht="13.5" customHeight="1">
      <c r="A16" s="842" t="s">
        <v>1321</v>
      </c>
      <c r="B16" s="821"/>
    </row>
    <row r="17" spans="1:2" ht="13.5" customHeight="1">
      <c r="A17" s="842" t="s">
        <v>1322</v>
      </c>
      <c r="B17" s="821"/>
    </row>
    <row r="18" spans="1:2" s="751" customFormat="1" ht="13.5" customHeight="1">
      <c r="A18" s="772" t="s">
        <v>1316</v>
      </c>
      <c r="B18" s="771"/>
    </row>
    <row r="19" spans="1:2" ht="13.5" customHeight="1">
      <c r="A19" s="842" t="s">
        <v>1323</v>
      </c>
      <c r="B19" s="821"/>
    </row>
    <row r="20" spans="1:2" ht="13.5" customHeight="1">
      <c r="A20" s="843" t="s">
        <v>1324</v>
      </c>
      <c r="B20" s="822"/>
    </row>
    <row r="21" spans="1:2" ht="15.6">
      <c r="A21" s="773" t="s">
        <v>1325</v>
      </c>
      <c r="B21" s="774"/>
    </row>
    <row r="22" spans="1:2" ht="13.5" customHeight="1">
      <c r="A22" s="842" t="s">
        <v>1326</v>
      </c>
      <c r="B22" s="821"/>
    </row>
    <row r="23" spans="1:2" ht="13.5" customHeight="1">
      <c r="A23" s="842" t="s">
        <v>1327</v>
      </c>
      <c r="B23" s="821"/>
    </row>
    <row r="24" spans="1:2" ht="13.5" customHeight="1">
      <c r="A24" s="842" t="s">
        <v>1328</v>
      </c>
      <c r="B24" s="821"/>
    </row>
    <row r="25" spans="1:2" ht="13.5" customHeight="1">
      <c r="A25" s="842" t="s">
        <v>1329</v>
      </c>
      <c r="B25" s="821"/>
    </row>
    <row r="26" spans="1:2" ht="13.5" customHeight="1">
      <c r="A26" s="843" t="s">
        <v>1330</v>
      </c>
      <c r="B26" s="822"/>
    </row>
    <row r="27" spans="1:2" ht="15.6">
      <c r="A27" s="773" t="s">
        <v>1331</v>
      </c>
      <c r="B27" s="774"/>
    </row>
    <row r="28" spans="1:2" ht="13.5" customHeight="1">
      <c r="A28" s="842" t="s">
        <v>1332</v>
      </c>
      <c r="B28" s="821"/>
    </row>
    <row r="29" spans="1:2" ht="13.5" customHeight="1">
      <c r="A29" s="842" t="s">
        <v>1333</v>
      </c>
      <c r="B29" s="821"/>
    </row>
    <row r="30" spans="1:2" ht="13.5" customHeight="1">
      <c r="A30" s="843" t="s">
        <v>1334</v>
      </c>
      <c r="B30" s="822"/>
    </row>
    <row r="31" spans="1:2" ht="15.6">
      <c r="A31" s="770" t="s">
        <v>1335</v>
      </c>
      <c r="B31" s="769"/>
    </row>
    <row r="32" spans="1:2" ht="13.5" customHeight="1">
      <c r="A32" s="842" t="s">
        <v>1336</v>
      </c>
      <c r="B32" s="821"/>
    </row>
    <row r="33" spans="1:2" ht="13.5" customHeight="1">
      <c r="A33" s="842" t="s">
        <v>1337</v>
      </c>
      <c r="B33" s="821"/>
    </row>
    <row r="34" spans="1:2" ht="13.5" customHeight="1">
      <c r="A34" s="843" t="s">
        <v>1338</v>
      </c>
      <c r="B34" s="822"/>
    </row>
  </sheetData>
  <sheetProtection formatCells="0" formatColumns="0" formatRows="0"/>
  <mergeCells count="1">
    <mergeCell ref="A1:B1"/>
  </mergeCells>
  <printOptions horizontalCentered="1"/>
  <pageMargins left="0" right="0" top="0.78740157480314965" bottom="0" header="0.59055118110236227" footer="0.19685039370078741"/>
  <pageSetup paperSize="9" scale="90"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CADRE_NEANT_T23_BOUTTON">
              <controlPr defaultSize="0" print="0" autoFill="0" autoLine="0" autoPict="0" macro="[0]!Cadre_Neant_Tab23">
                <anchor moveWithCells="1">
                  <from>
                    <xdr:col>1</xdr:col>
                    <xdr:colOff>2095500</xdr:colOff>
                    <xdr:row>0</xdr:row>
                    <xdr:rowOff>0</xdr:rowOff>
                  </from>
                  <to>
                    <xdr:col>1</xdr:col>
                    <xdr:colOff>2674620</xdr:colOff>
                    <xdr:row>0</xdr:row>
                    <xdr:rowOff>220980</xdr:rowOff>
                  </to>
                </anchor>
              </controlPr>
            </control>
          </mc:Choice>
        </mc:AlternateContent>
        <mc:AlternateContent xmlns:mc="http://schemas.openxmlformats.org/markup-compatibility/2006">
          <mc:Choice Requires="x14">
            <control shapeId="139266"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39267"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24"/>
  <dimension ref="A1:C6"/>
  <sheetViews>
    <sheetView zoomScaleNormal="100" workbookViewId="0">
      <selection activeCell="B6" sqref="B6"/>
    </sheetView>
  </sheetViews>
  <sheetFormatPr baseColWidth="10" defaultRowHeight="13.8"/>
  <cols>
    <col min="1" max="1" width="38.44140625" style="753" customWidth="1"/>
    <col min="2" max="2" width="27.5546875" style="753" customWidth="1"/>
    <col min="3" max="3" width="28" style="753" customWidth="1"/>
    <col min="4" max="254" width="11.44140625" style="753"/>
    <col min="255" max="255" width="38.44140625" style="753" customWidth="1"/>
    <col min="256" max="256" width="27.5546875" style="753" customWidth="1"/>
    <col min="257" max="257" width="28" style="753" customWidth="1"/>
    <col min="258" max="510" width="11.44140625" style="753"/>
    <col min="511" max="511" width="38.44140625" style="753" customWidth="1"/>
    <col min="512" max="512" width="27.5546875" style="753" customWidth="1"/>
    <col min="513" max="513" width="28" style="753" customWidth="1"/>
    <col min="514" max="766" width="11.44140625" style="753"/>
    <col min="767" max="767" width="38.44140625" style="753" customWidth="1"/>
    <col min="768" max="768" width="27.5546875" style="753" customWidth="1"/>
    <col min="769" max="769" width="28" style="753" customWidth="1"/>
    <col min="770" max="1022" width="11.44140625" style="753"/>
    <col min="1023" max="1023" width="38.44140625" style="753" customWidth="1"/>
    <col min="1024" max="1024" width="27.5546875" style="753" customWidth="1"/>
    <col min="1025" max="1025" width="28" style="753" customWidth="1"/>
    <col min="1026" max="1278" width="11.44140625" style="753"/>
    <col min="1279" max="1279" width="38.44140625" style="753" customWidth="1"/>
    <col min="1280" max="1280" width="27.5546875" style="753" customWidth="1"/>
    <col min="1281" max="1281" width="28" style="753" customWidth="1"/>
    <col min="1282" max="1534" width="11.44140625" style="753"/>
    <col min="1535" max="1535" width="38.44140625" style="753" customWidth="1"/>
    <col min="1536" max="1536" width="27.5546875" style="753" customWidth="1"/>
    <col min="1537" max="1537" width="28" style="753" customWidth="1"/>
    <col min="1538" max="1790" width="11.44140625" style="753"/>
    <col min="1791" max="1791" width="38.44140625" style="753" customWidth="1"/>
    <col min="1792" max="1792" width="27.5546875" style="753" customWidth="1"/>
    <col min="1793" max="1793" width="28" style="753" customWidth="1"/>
    <col min="1794" max="2046" width="11.44140625" style="753"/>
    <col min="2047" max="2047" width="38.44140625" style="753" customWidth="1"/>
    <col min="2048" max="2048" width="27.5546875" style="753" customWidth="1"/>
    <col min="2049" max="2049" width="28" style="753" customWidth="1"/>
    <col min="2050" max="2302" width="11.44140625" style="753"/>
    <col min="2303" max="2303" width="38.44140625" style="753" customWidth="1"/>
    <col min="2304" max="2304" width="27.5546875" style="753" customWidth="1"/>
    <col min="2305" max="2305" width="28" style="753" customWidth="1"/>
    <col min="2306" max="2558" width="11.44140625" style="753"/>
    <col min="2559" max="2559" width="38.44140625" style="753" customWidth="1"/>
    <col min="2560" max="2560" width="27.5546875" style="753" customWidth="1"/>
    <col min="2561" max="2561" width="28" style="753" customWidth="1"/>
    <col min="2562" max="2814" width="11.44140625" style="753"/>
    <col min="2815" max="2815" width="38.44140625" style="753" customWidth="1"/>
    <col min="2816" max="2816" width="27.5546875" style="753" customWidth="1"/>
    <col min="2817" max="2817" width="28" style="753" customWidth="1"/>
    <col min="2818" max="3070" width="11.44140625" style="753"/>
    <col min="3071" max="3071" width="38.44140625" style="753" customWidth="1"/>
    <col min="3072" max="3072" width="27.5546875" style="753" customWidth="1"/>
    <col min="3073" max="3073" width="28" style="753" customWidth="1"/>
    <col min="3074" max="3326" width="11.44140625" style="753"/>
    <col min="3327" max="3327" width="38.44140625" style="753" customWidth="1"/>
    <col min="3328" max="3328" width="27.5546875" style="753" customWidth="1"/>
    <col min="3329" max="3329" width="28" style="753" customWidth="1"/>
    <col min="3330" max="3582" width="11.44140625" style="753"/>
    <col min="3583" max="3583" width="38.44140625" style="753" customWidth="1"/>
    <col min="3584" max="3584" width="27.5546875" style="753" customWidth="1"/>
    <col min="3585" max="3585" width="28" style="753" customWidth="1"/>
    <col min="3586" max="3838" width="11.44140625" style="753"/>
    <col min="3839" max="3839" width="38.44140625" style="753" customWidth="1"/>
    <col min="3840" max="3840" width="27.5546875" style="753" customWidth="1"/>
    <col min="3841" max="3841" width="28" style="753" customWidth="1"/>
    <col min="3842" max="4094" width="11.44140625" style="753"/>
    <col min="4095" max="4095" width="38.44140625" style="753" customWidth="1"/>
    <col min="4096" max="4096" width="27.5546875" style="753" customWidth="1"/>
    <col min="4097" max="4097" width="28" style="753" customWidth="1"/>
    <col min="4098" max="4350" width="11.44140625" style="753"/>
    <col min="4351" max="4351" width="38.44140625" style="753" customWidth="1"/>
    <col min="4352" max="4352" width="27.5546875" style="753" customWidth="1"/>
    <col min="4353" max="4353" width="28" style="753" customWidth="1"/>
    <col min="4354" max="4606" width="11.44140625" style="753"/>
    <col min="4607" max="4607" width="38.44140625" style="753" customWidth="1"/>
    <col min="4608" max="4608" width="27.5546875" style="753" customWidth="1"/>
    <col min="4609" max="4609" width="28" style="753" customWidth="1"/>
    <col min="4610" max="4862" width="11.44140625" style="753"/>
    <col min="4863" max="4863" width="38.44140625" style="753" customWidth="1"/>
    <col min="4864" max="4864" width="27.5546875" style="753" customWidth="1"/>
    <col min="4865" max="4865" width="28" style="753" customWidth="1"/>
    <col min="4866" max="5118" width="11.44140625" style="753"/>
    <col min="5119" max="5119" width="38.44140625" style="753" customWidth="1"/>
    <col min="5120" max="5120" width="27.5546875" style="753" customWidth="1"/>
    <col min="5121" max="5121" width="28" style="753" customWidth="1"/>
    <col min="5122" max="5374" width="11.44140625" style="753"/>
    <col min="5375" max="5375" width="38.44140625" style="753" customWidth="1"/>
    <col min="5376" max="5376" width="27.5546875" style="753" customWidth="1"/>
    <col min="5377" max="5377" width="28" style="753" customWidth="1"/>
    <col min="5378" max="5630" width="11.44140625" style="753"/>
    <col min="5631" max="5631" width="38.44140625" style="753" customWidth="1"/>
    <col min="5632" max="5632" width="27.5546875" style="753" customWidth="1"/>
    <col min="5633" max="5633" width="28" style="753" customWidth="1"/>
    <col min="5634" max="5886" width="11.44140625" style="753"/>
    <col min="5887" max="5887" width="38.44140625" style="753" customWidth="1"/>
    <col min="5888" max="5888" width="27.5546875" style="753" customWidth="1"/>
    <col min="5889" max="5889" width="28" style="753" customWidth="1"/>
    <col min="5890" max="6142" width="11.44140625" style="753"/>
    <col min="6143" max="6143" width="38.44140625" style="753" customWidth="1"/>
    <col min="6144" max="6144" width="27.5546875" style="753" customWidth="1"/>
    <col min="6145" max="6145" width="28" style="753" customWidth="1"/>
    <col min="6146" max="6398" width="11.44140625" style="753"/>
    <col min="6399" max="6399" width="38.44140625" style="753" customWidth="1"/>
    <col min="6400" max="6400" width="27.5546875" style="753" customWidth="1"/>
    <col min="6401" max="6401" width="28" style="753" customWidth="1"/>
    <col min="6402" max="6654" width="11.44140625" style="753"/>
    <col min="6655" max="6655" width="38.44140625" style="753" customWidth="1"/>
    <col min="6656" max="6656" width="27.5546875" style="753" customWidth="1"/>
    <col min="6657" max="6657" width="28" style="753" customWidth="1"/>
    <col min="6658" max="6910" width="11.44140625" style="753"/>
    <col min="6911" max="6911" width="38.44140625" style="753" customWidth="1"/>
    <col min="6912" max="6912" width="27.5546875" style="753" customWidth="1"/>
    <col min="6913" max="6913" width="28" style="753" customWidth="1"/>
    <col min="6914" max="7166" width="11.44140625" style="753"/>
    <col min="7167" max="7167" width="38.44140625" style="753" customWidth="1"/>
    <col min="7168" max="7168" width="27.5546875" style="753" customWidth="1"/>
    <col min="7169" max="7169" width="28" style="753" customWidth="1"/>
    <col min="7170" max="7422" width="11.44140625" style="753"/>
    <col min="7423" max="7423" width="38.44140625" style="753" customWidth="1"/>
    <col min="7424" max="7424" width="27.5546875" style="753" customWidth="1"/>
    <col min="7425" max="7425" width="28" style="753" customWidth="1"/>
    <col min="7426" max="7678" width="11.44140625" style="753"/>
    <col min="7679" max="7679" width="38.44140625" style="753" customWidth="1"/>
    <col min="7680" max="7680" width="27.5546875" style="753" customWidth="1"/>
    <col min="7681" max="7681" width="28" style="753" customWidth="1"/>
    <col min="7682" max="7934" width="11.44140625" style="753"/>
    <col min="7935" max="7935" width="38.44140625" style="753" customWidth="1"/>
    <col min="7936" max="7936" width="27.5546875" style="753" customWidth="1"/>
    <col min="7937" max="7937" width="28" style="753" customWidth="1"/>
    <col min="7938" max="8190" width="11.44140625" style="753"/>
    <col min="8191" max="8191" width="38.44140625" style="753" customWidth="1"/>
    <col min="8192" max="8192" width="27.5546875" style="753" customWidth="1"/>
    <col min="8193" max="8193" width="28" style="753" customWidth="1"/>
    <col min="8194" max="8446" width="11.44140625" style="753"/>
    <col min="8447" max="8447" width="38.44140625" style="753" customWidth="1"/>
    <col min="8448" max="8448" width="27.5546875" style="753" customWidth="1"/>
    <col min="8449" max="8449" width="28" style="753" customWidth="1"/>
    <col min="8450" max="8702" width="11.44140625" style="753"/>
    <col min="8703" max="8703" width="38.44140625" style="753" customWidth="1"/>
    <col min="8704" max="8704" width="27.5546875" style="753" customWidth="1"/>
    <col min="8705" max="8705" width="28" style="753" customWidth="1"/>
    <col min="8706" max="8958" width="11.44140625" style="753"/>
    <col min="8959" max="8959" width="38.44140625" style="753" customWidth="1"/>
    <col min="8960" max="8960" width="27.5546875" style="753" customWidth="1"/>
    <col min="8961" max="8961" width="28" style="753" customWidth="1"/>
    <col min="8962" max="9214" width="11.44140625" style="753"/>
    <col min="9215" max="9215" width="38.44140625" style="753" customWidth="1"/>
    <col min="9216" max="9216" width="27.5546875" style="753" customWidth="1"/>
    <col min="9217" max="9217" width="28" style="753" customWidth="1"/>
    <col min="9218" max="9470" width="11.44140625" style="753"/>
    <col min="9471" max="9471" width="38.44140625" style="753" customWidth="1"/>
    <col min="9472" max="9472" width="27.5546875" style="753" customWidth="1"/>
    <col min="9473" max="9473" width="28" style="753" customWidth="1"/>
    <col min="9474" max="9726" width="11.44140625" style="753"/>
    <col min="9727" max="9727" width="38.44140625" style="753" customWidth="1"/>
    <col min="9728" max="9728" width="27.5546875" style="753" customWidth="1"/>
    <col min="9729" max="9729" width="28" style="753" customWidth="1"/>
    <col min="9730" max="9982" width="11.44140625" style="753"/>
    <col min="9983" max="9983" width="38.44140625" style="753" customWidth="1"/>
    <col min="9984" max="9984" width="27.5546875" style="753" customWidth="1"/>
    <col min="9985" max="9985" width="28" style="753" customWidth="1"/>
    <col min="9986" max="10238" width="11.44140625" style="753"/>
    <col min="10239" max="10239" width="38.44140625" style="753" customWidth="1"/>
    <col min="10240" max="10240" width="27.5546875" style="753" customWidth="1"/>
    <col min="10241" max="10241" width="28" style="753" customWidth="1"/>
    <col min="10242" max="10494" width="11.44140625" style="753"/>
    <col min="10495" max="10495" width="38.44140625" style="753" customWidth="1"/>
    <col min="10496" max="10496" width="27.5546875" style="753" customWidth="1"/>
    <col min="10497" max="10497" width="28" style="753" customWidth="1"/>
    <col min="10498" max="10750" width="11.44140625" style="753"/>
    <col min="10751" max="10751" width="38.44140625" style="753" customWidth="1"/>
    <col min="10752" max="10752" width="27.5546875" style="753" customWidth="1"/>
    <col min="10753" max="10753" width="28" style="753" customWidth="1"/>
    <col min="10754" max="11006" width="11.44140625" style="753"/>
    <col min="11007" max="11007" width="38.44140625" style="753" customWidth="1"/>
    <col min="11008" max="11008" width="27.5546875" style="753" customWidth="1"/>
    <col min="11009" max="11009" width="28" style="753" customWidth="1"/>
    <col min="11010" max="11262" width="11.44140625" style="753"/>
    <col min="11263" max="11263" width="38.44140625" style="753" customWidth="1"/>
    <col min="11264" max="11264" width="27.5546875" style="753" customWidth="1"/>
    <col min="11265" max="11265" width="28" style="753" customWidth="1"/>
    <col min="11266" max="11518" width="11.44140625" style="753"/>
    <col min="11519" max="11519" width="38.44140625" style="753" customWidth="1"/>
    <col min="11520" max="11520" width="27.5546875" style="753" customWidth="1"/>
    <col min="11521" max="11521" width="28" style="753" customWidth="1"/>
    <col min="11522" max="11774" width="11.44140625" style="753"/>
    <col min="11775" max="11775" width="38.44140625" style="753" customWidth="1"/>
    <col min="11776" max="11776" width="27.5546875" style="753" customWidth="1"/>
    <col min="11777" max="11777" width="28" style="753" customWidth="1"/>
    <col min="11778" max="12030" width="11.44140625" style="753"/>
    <col min="12031" max="12031" width="38.44140625" style="753" customWidth="1"/>
    <col min="12032" max="12032" width="27.5546875" style="753" customWidth="1"/>
    <col min="12033" max="12033" width="28" style="753" customWidth="1"/>
    <col min="12034" max="12286" width="11.44140625" style="753"/>
    <col min="12287" max="12287" width="38.44140625" style="753" customWidth="1"/>
    <col min="12288" max="12288" width="27.5546875" style="753" customWidth="1"/>
    <col min="12289" max="12289" width="28" style="753" customWidth="1"/>
    <col min="12290" max="12542" width="11.44140625" style="753"/>
    <col min="12543" max="12543" width="38.44140625" style="753" customWidth="1"/>
    <col min="12544" max="12544" width="27.5546875" style="753" customWidth="1"/>
    <col min="12545" max="12545" width="28" style="753" customWidth="1"/>
    <col min="12546" max="12798" width="11.44140625" style="753"/>
    <col min="12799" max="12799" width="38.44140625" style="753" customWidth="1"/>
    <col min="12800" max="12800" width="27.5546875" style="753" customWidth="1"/>
    <col min="12801" max="12801" width="28" style="753" customWidth="1"/>
    <col min="12802" max="13054" width="11.44140625" style="753"/>
    <col min="13055" max="13055" width="38.44140625" style="753" customWidth="1"/>
    <col min="13056" max="13056" width="27.5546875" style="753" customWidth="1"/>
    <col min="13057" max="13057" width="28" style="753" customWidth="1"/>
    <col min="13058" max="13310" width="11.44140625" style="753"/>
    <col min="13311" max="13311" width="38.44140625" style="753" customWidth="1"/>
    <col min="13312" max="13312" width="27.5546875" style="753" customWidth="1"/>
    <col min="13313" max="13313" width="28" style="753" customWidth="1"/>
    <col min="13314" max="13566" width="11.44140625" style="753"/>
    <col min="13567" max="13567" width="38.44140625" style="753" customWidth="1"/>
    <col min="13568" max="13568" width="27.5546875" style="753" customWidth="1"/>
    <col min="13569" max="13569" width="28" style="753" customWidth="1"/>
    <col min="13570" max="13822" width="11.44140625" style="753"/>
    <col min="13823" max="13823" width="38.44140625" style="753" customWidth="1"/>
    <col min="13824" max="13824" width="27.5546875" style="753" customWidth="1"/>
    <col min="13825" max="13825" width="28" style="753" customWidth="1"/>
    <col min="13826" max="14078" width="11.44140625" style="753"/>
    <col min="14079" max="14079" width="38.44140625" style="753" customWidth="1"/>
    <col min="14080" max="14080" width="27.5546875" style="753" customWidth="1"/>
    <col min="14081" max="14081" width="28" style="753" customWidth="1"/>
    <col min="14082" max="14334" width="11.44140625" style="753"/>
    <col min="14335" max="14335" width="38.44140625" style="753" customWidth="1"/>
    <col min="14336" max="14336" width="27.5546875" style="753" customWidth="1"/>
    <col min="14337" max="14337" width="28" style="753" customWidth="1"/>
    <col min="14338" max="14590" width="11.44140625" style="753"/>
    <col min="14591" max="14591" width="38.44140625" style="753" customWidth="1"/>
    <col min="14592" max="14592" width="27.5546875" style="753" customWidth="1"/>
    <col min="14593" max="14593" width="28" style="753" customWidth="1"/>
    <col min="14594" max="14846" width="11.44140625" style="753"/>
    <col min="14847" max="14847" width="38.44140625" style="753" customWidth="1"/>
    <col min="14848" max="14848" width="27.5546875" style="753" customWidth="1"/>
    <col min="14849" max="14849" width="28" style="753" customWidth="1"/>
    <col min="14850" max="15102" width="11.44140625" style="753"/>
    <col min="15103" max="15103" width="38.44140625" style="753" customWidth="1"/>
    <col min="15104" max="15104" width="27.5546875" style="753" customWidth="1"/>
    <col min="15105" max="15105" width="28" style="753" customWidth="1"/>
    <col min="15106" max="15358" width="11.44140625" style="753"/>
    <col min="15359" max="15359" width="38.44140625" style="753" customWidth="1"/>
    <col min="15360" max="15360" width="27.5546875" style="753" customWidth="1"/>
    <col min="15361" max="15361" width="28" style="753" customWidth="1"/>
    <col min="15362" max="15614" width="11.44140625" style="753"/>
    <col min="15615" max="15615" width="38.44140625" style="753" customWidth="1"/>
    <col min="15616" max="15616" width="27.5546875" style="753" customWidth="1"/>
    <col min="15617" max="15617" width="28" style="753" customWidth="1"/>
    <col min="15618" max="15870" width="11.44140625" style="753"/>
    <col min="15871" max="15871" width="38.44140625" style="753" customWidth="1"/>
    <col min="15872" max="15872" width="27.5546875" style="753" customWidth="1"/>
    <col min="15873" max="15873" width="28" style="753" customWidth="1"/>
    <col min="15874" max="16126" width="11.44140625" style="753"/>
    <col min="16127" max="16127" width="38.44140625" style="753" customWidth="1"/>
    <col min="16128" max="16128" width="27.5546875" style="753" customWidth="1"/>
    <col min="16129" max="16129" width="28" style="753" customWidth="1"/>
    <col min="16130" max="16384" width="11.44140625" style="753"/>
  </cols>
  <sheetData>
    <row r="1" spans="1:3" s="752" customFormat="1" ht="18.600000000000001" thickBot="1">
      <c r="A1" s="1135" t="s">
        <v>1263</v>
      </c>
      <c r="B1" s="1136"/>
      <c r="C1" s="1137"/>
    </row>
    <row r="2" spans="1:3">
      <c r="A2" s="1" t="str">
        <f>CONCATENATE(PagePrincipale!$F$9)</f>
        <v>D3 Soft SARL AU</v>
      </c>
      <c r="C2" s="715" t="str">
        <f ca="1">PeriodeArrete_DuAu()</f>
        <v>Du 1/1/2017 Au 31/12/2017</v>
      </c>
    </row>
    <row r="3" spans="1:3" ht="40.5" customHeight="1">
      <c r="A3" s="754" t="s">
        <v>1339</v>
      </c>
      <c r="B3" s="754" t="s">
        <v>1340</v>
      </c>
      <c r="C3" s="754" t="s">
        <v>1361</v>
      </c>
    </row>
    <row r="4" spans="1:3" ht="52.5" customHeight="1">
      <c r="A4" s="776" t="s">
        <v>1341</v>
      </c>
      <c r="B4" s="823"/>
      <c r="C4" s="823"/>
    </row>
    <row r="5" spans="1:3" ht="52.5" customHeight="1">
      <c r="A5" s="777" t="s">
        <v>1342</v>
      </c>
      <c r="B5" s="824"/>
      <c r="C5" s="824"/>
    </row>
    <row r="6" spans="1:3" ht="52.5" customHeight="1">
      <c r="A6" s="778" t="s">
        <v>1343</v>
      </c>
      <c r="B6" s="825"/>
      <c r="C6" s="825"/>
    </row>
  </sheetData>
  <sheetProtection formatCells="0" formatColumns="0" format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CADRE_NEANT_T24_BOUTTON">
              <controlPr defaultSize="0" print="0" autoFill="0" autoLine="0" autoPict="0" macro="[0]!Cadre_Neant_Tab24">
                <anchor moveWithCells="1">
                  <from>
                    <xdr:col>2</xdr:col>
                    <xdr:colOff>1264920</xdr:colOff>
                    <xdr:row>0</xdr:row>
                    <xdr:rowOff>0</xdr:rowOff>
                  </from>
                  <to>
                    <xdr:col>2</xdr:col>
                    <xdr:colOff>1851660</xdr:colOff>
                    <xdr:row>0</xdr:row>
                    <xdr:rowOff>220980</xdr:rowOff>
                  </to>
                </anchor>
              </controlPr>
            </control>
          </mc:Choice>
        </mc:AlternateContent>
        <mc:AlternateContent xmlns:mc="http://schemas.openxmlformats.org/markup-compatibility/2006">
          <mc:Choice Requires="x14">
            <control shapeId="132098"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32099"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25">
    <outlinePr summaryBelow="0"/>
  </sheetPr>
  <dimension ref="A1:C23"/>
  <sheetViews>
    <sheetView workbookViewId="0">
      <selection activeCell="C14" sqref="C14"/>
    </sheetView>
  </sheetViews>
  <sheetFormatPr baseColWidth="10" defaultRowHeight="13.8" outlineLevelRow="1"/>
  <cols>
    <col min="1" max="1" width="46.6640625" style="753" customWidth="1"/>
    <col min="2" max="3" width="23.6640625" style="753" customWidth="1"/>
    <col min="4" max="252" width="11.44140625" style="753"/>
    <col min="253" max="253" width="47.33203125" style="753" customWidth="1"/>
    <col min="254" max="254" width="21.5546875" style="753" customWidth="1"/>
    <col min="255" max="255" width="23.5546875" style="753" customWidth="1"/>
    <col min="256" max="508" width="11.44140625" style="753"/>
    <col min="509" max="509" width="47.33203125" style="753" customWidth="1"/>
    <col min="510" max="510" width="21.5546875" style="753" customWidth="1"/>
    <col min="511" max="511" width="23.5546875" style="753" customWidth="1"/>
    <col min="512" max="764" width="11.44140625" style="753"/>
    <col min="765" max="765" width="47.33203125" style="753" customWidth="1"/>
    <col min="766" max="766" width="21.5546875" style="753" customWidth="1"/>
    <col min="767" max="767" width="23.5546875" style="753" customWidth="1"/>
    <col min="768" max="1020" width="11.44140625" style="753"/>
    <col min="1021" max="1021" width="47.33203125" style="753" customWidth="1"/>
    <col min="1022" max="1022" width="21.5546875" style="753" customWidth="1"/>
    <col min="1023" max="1023" width="23.5546875" style="753" customWidth="1"/>
    <col min="1024" max="1276" width="11.44140625" style="753"/>
    <col min="1277" max="1277" width="47.33203125" style="753" customWidth="1"/>
    <col min="1278" max="1278" width="21.5546875" style="753" customWidth="1"/>
    <col min="1279" max="1279" width="23.5546875" style="753" customWidth="1"/>
    <col min="1280" max="1532" width="11.44140625" style="753"/>
    <col min="1533" max="1533" width="47.33203125" style="753" customWidth="1"/>
    <col min="1534" max="1534" width="21.5546875" style="753" customWidth="1"/>
    <col min="1535" max="1535" width="23.5546875" style="753" customWidth="1"/>
    <col min="1536" max="1788" width="11.44140625" style="753"/>
    <col min="1789" max="1789" width="47.33203125" style="753" customWidth="1"/>
    <col min="1790" max="1790" width="21.5546875" style="753" customWidth="1"/>
    <col min="1791" max="1791" width="23.5546875" style="753" customWidth="1"/>
    <col min="1792" max="2044" width="11.44140625" style="753"/>
    <col min="2045" max="2045" width="47.33203125" style="753" customWidth="1"/>
    <col min="2046" max="2046" width="21.5546875" style="753" customWidth="1"/>
    <col min="2047" max="2047" width="23.5546875" style="753" customWidth="1"/>
    <col min="2048" max="2300" width="11.44140625" style="753"/>
    <col min="2301" max="2301" width="47.33203125" style="753" customWidth="1"/>
    <col min="2302" max="2302" width="21.5546875" style="753" customWidth="1"/>
    <col min="2303" max="2303" width="23.5546875" style="753" customWidth="1"/>
    <col min="2304" max="2556" width="11.44140625" style="753"/>
    <col min="2557" max="2557" width="47.33203125" style="753" customWidth="1"/>
    <col min="2558" max="2558" width="21.5546875" style="753" customWidth="1"/>
    <col min="2559" max="2559" width="23.5546875" style="753" customWidth="1"/>
    <col min="2560" max="2812" width="11.44140625" style="753"/>
    <col min="2813" max="2813" width="47.33203125" style="753" customWidth="1"/>
    <col min="2814" max="2814" width="21.5546875" style="753" customWidth="1"/>
    <col min="2815" max="2815" width="23.5546875" style="753" customWidth="1"/>
    <col min="2816" max="3068" width="11.44140625" style="753"/>
    <col min="3069" max="3069" width="47.33203125" style="753" customWidth="1"/>
    <col min="3070" max="3070" width="21.5546875" style="753" customWidth="1"/>
    <col min="3071" max="3071" width="23.5546875" style="753" customWidth="1"/>
    <col min="3072" max="3324" width="11.44140625" style="753"/>
    <col min="3325" max="3325" width="47.33203125" style="753" customWidth="1"/>
    <col min="3326" max="3326" width="21.5546875" style="753" customWidth="1"/>
    <col min="3327" max="3327" width="23.5546875" style="753" customWidth="1"/>
    <col min="3328" max="3580" width="11.44140625" style="753"/>
    <col min="3581" max="3581" width="47.33203125" style="753" customWidth="1"/>
    <col min="3582" max="3582" width="21.5546875" style="753" customWidth="1"/>
    <col min="3583" max="3583" width="23.5546875" style="753" customWidth="1"/>
    <col min="3584" max="3836" width="11.44140625" style="753"/>
    <col min="3837" max="3837" width="47.33203125" style="753" customWidth="1"/>
    <col min="3838" max="3838" width="21.5546875" style="753" customWidth="1"/>
    <col min="3839" max="3839" width="23.5546875" style="753" customWidth="1"/>
    <col min="3840" max="4092" width="11.44140625" style="753"/>
    <col min="4093" max="4093" width="47.33203125" style="753" customWidth="1"/>
    <col min="4094" max="4094" width="21.5546875" style="753" customWidth="1"/>
    <col min="4095" max="4095" width="23.5546875" style="753" customWidth="1"/>
    <col min="4096" max="4348" width="11.44140625" style="753"/>
    <col min="4349" max="4349" width="47.33203125" style="753" customWidth="1"/>
    <col min="4350" max="4350" width="21.5546875" style="753" customWidth="1"/>
    <col min="4351" max="4351" width="23.5546875" style="753" customWidth="1"/>
    <col min="4352" max="4604" width="11.44140625" style="753"/>
    <col min="4605" max="4605" width="47.33203125" style="753" customWidth="1"/>
    <col min="4606" max="4606" width="21.5546875" style="753" customWidth="1"/>
    <col min="4607" max="4607" width="23.5546875" style="753" customWidth="1"/>
    <col min="4608" max="4860" width="11.44140625" style="753"/>
    <col min="4861" max="4861" width="47.33203125" style="753" customWidth="1"/>
    <col min="4862" max="4862" width="21.5546875" style="753" customWidth="1"/>
    <col min="4863" max="4863" width="23.5546875" style="753" customWidth="1"/>
    <col min="4864" max="5116" width="11.44140625" style="753"/>
    <col min="5117" max="5117" width="47.33203125" style="753" customWidth="1"/>
    <col min="5118" max="5118" width="21.5546875" style="753" customWidth="1"/>
    <col min="5119" max="5119" width="23.5546875" style="753" customWidth="1"/>
    <col min="5120" max="5372" width="11.44140625" style="753"/>
    <col min="5373" max="5373" width="47.33203125" style="753" customWidth="1"/>
    <col min="5374" max="5374" width="21.5546875" style="753" customWidth="1"/>
    <col min="5375" max="5375" width="23.5546875" style="753" customWidth="1"/>
    <col min="5376" max="5628" width="11.44140625" style="753"/>
    <col min="5629" max="5629" width="47.33203125" style="753" customWidth="1"/>
    <col min="5630" max="5630" width="21.5546875" style="753" customWidth="1"/>
    <col min="5631" max="5631" width="23.5546875" style="753" customWidth="1"/>
    <col min="5632" max="5884" width="11.44140625" style="753"/>
    <col min="5885" max="5885" width="47.33203125" style="753" customWidth="1"/>
    <col min="5886" max="5886" width="21.5546875" style="753" customWidth="1"/>
    <col min="5887" max="5887" width="23.5546875" style="753" customWidth="1"/>
    <col min="5888" max="6140" width="11.44140625" style="753"/>
    <col min="6141" max="6141" width="47.33203125" style="753" customWidth="1"/>
    <col min="6142" max="6142" width="21.5546875" style="753" customWidth="1"/>
    <col min="6143" max="6143" width="23.5546875" style="753" customWidth="1"/>
    <col min="6144" max="6396" width="11.44140625" style="753"/>
    <col min="6397" max="6397" width="47.33203125" style="753" customWidth="1"/>
    <col min="6398" max="6398" width="21.5546875" style="753" customWidth="1"/>
    <col min="6399" max="6399" width="23.5546875" style="753" customWidth="1"/>
    <col min="6400" max="6652" width="11.44140625" style="753"/>
    <col min="6653" max="6653" width="47.33203125" style="753" customWidth="1"/>
    <col min="6654" max="6654" width="21.5546875" style="753" customWidth="1"/>
    <col min="6655" max="6655" width="23.5546875" style="753" customWidth="1"/>
    <col min="6656" max="6908" width="11.44140625" style="753"/>
    <col min="6909" max="6909" width="47.33203125" style="753" customWidth="1"/>
    <col min="6910" max="6910" width="21.5546875" style="753" customWidth="1"/>
    <col min="6911" max="6911" width="23.5546875" style="753" customWidth="1"/>
    <col min="6912" max="7164" width="11.44140625" style="753"/>
    <col min="7165" max="7165" width="47.33203125" style="753" customWidth="1"/>
    <col min="7166" max="7166" width="21.5546875" style="753" customWidth="1"/>
    <col min="7167" max="7167" width="23.5546875" style="753" customWidth="1"/>
    <col min="7168" max="7420" width="11.44140625" style="753"/>
    <col min="7421" max="7421" width="47.33203125" style="753" customWidth="1"/>
    <col min="7422" max="7422" width="21.5546875" style="753" customWidth="1"/>
    <col min="7423" max="7423" width="23.5546875" style="753" customWidth="1"/>
    <col min="7424" max="7676" width="11.44140625" style="753"/>
    <col min="7677" max="7677" width="47.33203125" style="753" customWidth="1"/>
    <col min="7678" max="7678" width="21.5546875" style="753" customWidth="1"/>
    <col min="7679" max="7679" width="23.5546875" style="753" customWidth="1"/>
    <col min="7680" max="7932" width="11.44140625" style="753"/>
    <col min="7933" max="7933" width="47.33203125" style="753" customWidth="1"/>
    <col min="7934" max="7934" width="21.5546875" style="753" customWidth="1"/>
    <col min="7935" max="7935" width="23.5546875" style="753" customWidth="1"/>
    <col min="7936" max="8188" width="11.44140625" style="753"/>
    <col min="8189" max="8189" width="47.33203125" style="753" customWidth="1"/>
    <col min="8190" max="8190" width="21.5546875" style="753" customWidth="1"/>
    <col min="8191" max="8191" width="23.5546875" style="753" customWidth="1"/>
    <col min="8192" max="8444" width="11.44140625" style="753"/>
    <col min="8445" max="8445" width="47.33203125" style="753" customWidth="1"/>
    <col min="8446" max="8446" width="21.5546875" style="753" customWidth="1"/>
    <col min="8447" max="8447" width="23.5546875" style="753" customWidth="1"/>
    <col min="8448" max="8700" width="11.44140625" style="753"/>
    <col min="8701" max="8701" width="47.33203125" style="753" customWidth="1"/>
    <col min="8702" max="8702" width="21.5546875" style="753" customWidth="1"/>
    <col min="8703" max="8703" width="23.5546875" style="753" customWidth="1"/>
    <col min="8704" max="8956" width="11.44140625" style="753"/>
    <col min="8957" max="8957" width="47.33203125" style="753" customWidth="1"/>
    <col min="8958" max="8958" width="21.5546875" style="753" customWidth="1"/>
    <col min="8959" max="8959" width="23.5546875" style="753" customWidth="1"/>
    <col min="8960" max="9212" width="11.44140625" style="753"/>
    <col min="9213" max="9213" width="47.33203125" style="753" customWidth="1"/>
    <col min="9214" max="9214" width="21.5546875" style="753" customWidth="1"/>
    <col min="9215" max="9215" width="23.5546875" style="753" customWidth="1"/>
    <col min="9216" max="9468" width="11.44140625" style="753"/>
    <col min="9469" max="9469" width="47.33203125" style="753" customWidth="1"/>
    <col min="9470" max="9470" width="21.5546875" style="753" customWidth="1"/>
    <col min="9471" max="9471" width="23.5546875" style="753" customWidth="1"/>
    <col min="9472" max="9724" width="11.44140625" style="753"/>
    <col min="9725" max="9725" width="47.33203125" style="753" customWidth="1"/>
    <col min="9726" max="9726" width="21.5546875" style="753" customWidth="1"/>
    <col min="9727" max="9727" width="23.5546875" style="753" customWidth="1"/>
    <col min="9728" max="9980" width="11.44140625" style="753"/>
    <col min="9981" max="9981" width="47.33203125" style="753" customWidth="1"/>
    <col min="9982" max="9982" width="21.5546875" style="753" customWidth="1"/>
    <col min="9983" max="9983" width="23.5546875" style="753" customWidth="1"/>
    <col min="9984" max="10236" width="11.44140625" style="753"/>
    <col min="10237" max="10237" width="47.33203125" style="753" customWidth="1"/>
    <col min="10238" max="10238" width="21.5546875" style="753" customWidth="1"/>
    <col min="10239" max="10239" width="23.5546875" style="753" customWidth="1"/>
    <col min="10240" max="10492" width="11.44140625" style="753"/>
    <col min="10493" max="10493" width="47.33203125" style="753" customWidth="1"/>
    <col min="10494" max="10494" width="21.5546875" style="753" customWidth="1"/>
    <col min="10495" max="10495" width="23.5546875" style="753" customWidth="1"/>
    <col min="10496" max="10748" width="11.44140625" style="753"/>
    <col min="10749" max="10749" width="47.33203125" style="753" customWidth="1"/>
    <col min="10750" max="10750" width="21.5546875" style="753" customWidth="1"/>
    <col min="10751" max="10751" width="23.5546875" style="753" customWidth="1"/>
    <col min="10752" max="11004" width="11.44140625" style="753"/>
    <col min="11005" max="11005" width="47.33203125" style="753" customWidth="1"/>
    <col min="11006" max="11006" width="21.5546875" style="753" customWidth="1"/>
    <col min="11007" max="11007" width="23.5546875" style="753" customWidth="1"/>
    <col min="11008" max="11260" width="11.44140625" style="753"/>
    <col min="11261" max="11261" width="47.33203125" style="753" customWidth="1"/>
    <col min="11262" max="11262" width="21.5546875" style="753" customWidth="1"/>
    <col min="11263" max="11263" width="23.5546875" style="753" customWidth="1"/>
    <col min="11264" max="11516" width="11.44140625" style="753"/>
    <col min="11517" max="11517" width="47.33203125" style="753" customWidth="1"/>
    <col min="11518" max="11518" width="21.5546875" style="753" customWidth="1"/>
    <col min="11519" max="11519" width="23.5546875" style="753" customWidth="1"/>
    <col min="11520" max="11772" width="11.44140625" style="753"/>
    <col min="11773" max="11773" width="47.33203125" style="753" customWidth="1"/>
    <col min="11774" max="11774" width="21.5546875" style="753" customWidth="1"/>
    <col min="11775" max="11775" width="23.5546875" style="753" customWidth="1"/>
    <col min="11776" max="12028" width="11.44140625" style="753"/>
    <col min="12029" max="12029" width="47.33203125" style="753" customWidth="1"/>
    <col min="12030" max="12030" width="21.5546875" style="753" customWidth="1"/>
    <col min="12031" max="12031" width="23.5546875" style="753" customWidth="1"/>
    <col min="12032" max="12284" width="11.44140625" style="753"/>
    <col min="12285" max="12285" width="47.33203125" style="753" customWidth="1"/>
    <col min="12286" max="12286" width="21.5546875" style="753" customWidth="1"/>
    <col min="12287" max="12287" width="23.5546875" style="753" customWidth="1"/>
    <col min="12288" max="12540" width="11.44140625" style="753"/>
    <col min="12541" max="12541" width="47.33203125" style="753" customWidth="1"/>
    <col min="12542" max="12542" width="21.5546875" style="753" customWidth="1"/>
    <col min="12543" max="12543" width="23.5546875" style="753" customWidth="1"/>
    <col min="12544" max="12796" width="11.44140625" style="753"/>
    <col min="12797" max="12797" width="47.33203125" style="753" customWidth="1"/>
    <col min="12798" max="12798" width="21.5546875" style="753" customWidth="1"/>
    <col min="12799" max="12799" width="23.5546875" style="753" customWidth="1"/>
    <col min="12800" max="13052" width="11.44140625" style="753"/>
    <col min="13053" max="13053" width="47.33203125" style="753" customWidth="1"/>
    <col min="13054" max="13054" width="21.5546875" style="753" customWidth="1"/>
    <col min="13055" max="13055" width="23.5546875" style="753" customWidth="1"/>
    <col min="13056" max="13308" width="11.44140625" style="753"/>
    <col min="13309" max="13309" width="47.33203125" style="753" customWidth="1"/>
    <col min="13310" max="13310" width="21.5546875" style="753" customWidth="1"/>
    <col min="13311" max="13311" width="23.5546875" style="753" customWidth="1"/>
    <col min="13312" max="13564" width="11.44140625" style="753"/>
    <col min="13565" max="13565" width="47.33203125" style="753" customWidth="1"/>
    <col min="13566" max="13566" width="21.5546875" style="753" customWidth="1"/>
    <col min="13567" max="13567" width="23.5546875" style="753" customWidth="1"/>
    <col min="13568" max="13820" width="11.44140625" style="753"/>
    <col min="13821" max="13821" width="47.33203125" style="753" customWidth="1"/>
    <col min="13822" max="13822" width="21.5546875" style="753" customWidth="1"/>
    <col min="13823" max="13823" width="23.5546875" style="753" customWidth="1"/>
    <col min="13824" max="14076" width="11.44140625" style="753"/>
    <col min="14077" max="14077" width="47.33203125" style="753" customWidth="1"/>
    <col min="14078" max="14078" width="21.5546875" style="753" customWidth="1"/>
    <col min="14079" max="14079" width="23.5546875" style="753" customWidth="1"/>
    <col min="14080" max="14332" width="11.44140625" style="753"/>
    <col min="14333" max="14333" width="47.33203125" style="753" customWidth="1"/>
    <col min="14334" max="14334" width="21.5546875" style="753" customWidth="1"/>
    <col min="14335" max="14335" width="23.5546875" style="753" customWidth="1"/>
    <col min="14336" max="14588" width="11.44140625" style="753"/>
    <col min="14589" max="14589" width="47.33203125" style="753" customWidth="1"/>
    <col min="14590" max="14590" width="21.5546875" style="753" customWidth="1"/>
    <col min="14591" max="14591" width="23.5546875" style="753" customWidth="1"/>
    <col min="14592" max="14844" width="11.44140625" style="753"/>
    <col min="14845" max="14845" width="47.33203125" style="753" customWidth="1"/>
    <col min="14846" max="14846" width="21.5546875" style="753" customWidth="1"/>
    <col min="14847" max="14847" width="23.5546875" style="753" customWidth="1"/>
    <col min="14848" max="15100" width="11.44140625" style="753"/>
    <col min="15101" max="15101" width="47.33203125" style="753" customWidth="1"/>
    <col min="15102" max="15102" width="21.5546875" style="753" customWidth="1"/>
    <col min="15103" max="15103" width="23.5546875" style="753" customWidth="1"/>
    <col min="15104" max="15356" width="11.44140625" style="753"/>
    <col min="15357" max="15357" width="47.33203125" style="753" customWidth="1"/>
    <col min="15358" max="15358" width="21.5546875" style="753" customWidth="1"/>
    <col min="15359" max="15359" width="23.5546875" style="753" customWidth="1"/>
    <col min="15360" max="15612" width="11.44140625" style="753"/>
    <col min="15613" max="15613" width="47.33203125" style="753" customWidth="1"/>
    <col min="15614" max="15614" width="21.5546875" style="753" customWidth="1"/>
    <col min="15615" max="15615" width="23.5546875" style="753" customWidth="1"/>
    <col min="15616" max="15868" width="11.44140625" style="753"/>
    <col min="15869" max="15869" width="47.33203125" style="753" customWidth="1"/>
    <col min="15870" max="15870" width="21.5546875" style="753" customWidth="1"/>
    <col min="15871" max="15871" width="23.5546875" style="753" customWidth="1"/>
    <col min="15872" max="16124" width="11.44140625" style="753"/>
    <col min="16125" max="16125" width="47.33203125" style="753" customWidth="1"/>
    <col min="16126" max="16126" width="21.5546875" style="753" customWidth="1"/>
    <col min="16127" max="16127" width="23.5546875" style="753" customWidth="1"/>
    <col min="16128" max="16384" width="11.44140625" style="753"/>
  </cols>
  <sheetData>
    <row r="1" spans="1:3" s="752" customFormat="1" ht="18.600000000000001" thickBot="1">
      <c r="A1" s="1135" t="s">
        <v>1262</v>
      </c>
      <c r="B1" s="1136"/>
      <c r="C1" s="1137"/>
    </row>
    <row r="2" spans="1:3">
      <c r="A2" s="1" t="str">
        <f>CONCATENATE(PagePrincipale!$F$9)</f>
        <v>D3 Soft SARL AU</v>
      </c>
      <c r="C2" s="715" t="str">
        <f ca="1">PeriodeArrete_DuAu()</f>
        <v>Du 1/1/2017 Au 31/12/2017</v>
      </c>
    </row>
    <row r="3" spans="1:3" ht="41.25" customHeight="1">
      <c r="A3" s="754" t="s">
        <v>1344</v>
      </c>
      <c r="B3" s="754" t="s">
        <v>1345</v>
      </c>
      <c r="C3" s="754" t="s">
        <v>1360</v>
      </c>
    </row>
    <row r="4" spans="1:3">
      <c r="A4" s="779" t="s">
        <v>1358</v>
      </c>
      <c r="B4" s="780"/>
      <c r="C4" s="780"/>
    </row>
    <row r="5" spans="1:3" s="828" customFormat="1">
      <c r="A5" s="826"/>
      <c r="B5" s="827"/>
      <c r="C5" s="827"/>
    </row>
    <row r="6" spans="1:3" s="828" customFormat="1">
      <c r="A6" s="826"/>
      <c r="B6" s="827"/>
      <c r="C6" s="827"/>
    </row>
    <row r="7" spans="1:3" s="828" customFormat="1" outlineLevel="1">
      <c r="A7" s="826"/>
      <c r="B7" s="827"/>
      <c r="C7" s="827"/>
    </row>
    <row r="8" spans="1:3" s="828" customFormat="1" outlineLevel="1">
      <c r="A8" s="826"/>
      <c r="B8" s="827"/>
      <c r="C8" s="827"/>
    </row>
    <row r="9" spans="1:3" s="828" customFormat="1" outlineLevel="1">
      <c r="A9" s="826"/>
      <c r="B9" s="827"/>
      <c r="C9" s="827"/>
    </row>
    <row r="10" spans="1:3" s="828" customFormat="1" outlineLevel="1">
      <c r="A10" s="826"/>
      <c r="B10" s="827"/>
      <c r="C10" s="827"/>
    </row>
    <row r="11" spans="1:3" s="828" customFormat="1" outlineLevel="1">
      <c r="A11" s="826"/>
      <c r="B11" s="827"/>
      <c r="C11" s="827"/>
    </row>
    <row r="12" spans="1:3" s="828" customFormat="1" outlineLevel="1">
      <c r="A12" s="826"/>
      <c r="B12" s="827"/>
      <c r="C12" s="827"/>
    </row>
    <row r="13" spans="1:3" s="828" customFormat="1" outlineLevel="1">
      <c r="A13" s="826"/>
      <c r="B13" s="827"/>
      <c r="C13" s="827"/>
    </row>
    <row r="14" spans="1:3" ht="26.4">
      <c r="A14" s="781" t="s">
        <v>1359</v>
      </c>
      <c r="B14" s="782"/>
      <c r="C14" s="782"/>
    </row>
    <row r="15" spans="1:3" s="828" customFormat="1">
      <c r="A15" s="829"/>
      <c r="B15" s="827"/>
      <c r="C15" s="827"/>
    </row>
    <row r="16" spans="1:3" s="828" customFormat="1">
      <c r="A16" s="829"/>
      <c r="B16" s="827"/>
      <c r="C16" s="827"/>
    </row>
    <row r="17" spans="1:3" s="828" customFormat="1" outlineLevel="1">
      <c r="A17" s="829"/>
      <c r="B17" s="827"/>
      <c r="C17" s="827"/>
    </row>
    <row r="18" spans="1:3" s="828" customFormat="1" outlineLevel="1">
      <c r="A18" s="829"/>
      <c r="B18" s="827"/>
      <c r="C18" s="827"/>
    </row>
    <row r="19" spans="1:3" s="828" customFormat="1" outlineLevel="1">
      <c r="A19" s="829"/>
      <c r="B19" s="827"/>
      <c r="C19" s="827"/>
    </row>
    <row r="20" spans="1:3" s="828" customFormat="1" outlineLevel="1">
      <c r="A20" s="829"/>
      <c r="B20" s="827"/>
      <c r="C20" s="827"/>
    </row>
    <row r="21" spans="1:3" s="828" customFormat="1" outlineLevel="1">
      <c r="A21" s="829"/>
      <c r="B21" s="827"/>
      <c r="C21" s="827"/>
    </row>
    <row r="22" spans="1:3" s="828" customFormat="1" outlineLevel="1">
      <c r="A22" s="829"/>
      <c r="B22" s="827"/>
      <c r="C22" s="827"/>
    </row>
    <row r="23" spans="1:3" s="828" customFormat="1" outlineLevel="1">
      <c r="A23" s="830"/>
      <c r="B23" s="831"/>
      <c r="C23" s="831"/>
    </row>
  </sheetData>
  <sheetProtection formatCells="0" formatColumns="0" formatRows="0" insertRows="0" deleteRows="0"/>
  <mergeCells count="1">
    <mergeCell ref="A1:C1"/>
  </mergeCells>
  <printOptions horizontalCentered="1"/>
  <pageMargins left="0" right="0" top="0.78740157480314965" bottom="0" header="0.59055118110236227" footer="0.19685039370078741"/>
  <pageSetup paperSize="9" orientation="portrait"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ADRE_NEANT_T25_BOUTTON">
              <controlPr defaultSize="0" print="0" autoFill="0" autoLine="0" autoPict="0" macro="[0]!Cadre_Neant_Tab25">
                <anchor moveWithCells="1">
                  <from>
                    <xdr:col>2</xdr:col>
                    <xdr:colOff>990600</xdr:colOff>
                    <xdr:row>0</xdr:row>
                    <xdr:rowOff>0</xdr:rowOff>
                  </from>
                  <to>
                    <xdr:col>2</xdr:col>
                    <xdr:colOff>1569720</xdr:colOff>
                    <xdr:row>0</xdr:row>
                    <xdr:rowOff>220980</xdr:rowOff>
                  </to>
                </anchor>
              </controlPr>
            </control>
          </mc:Choice>
        </mc:AlternateContent>
        <mc:AlternateContent xmlns:mc="http://schemas.openxmlformats.org/markup-compatibility/2006">
          <mc:Choice Requires="x14">
            <control shapeId="123906" r:id="rId5"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123907" r:id="rId6"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26">
    <outlinePr summaryBelow="0"/>
  </sheetPr>
  <dimension ref="A1:D38"/>
  <sheetViews>
    <sheetView workbookViewId="0">
      <selection activeCell="C8" sqref="C8"/>
    </sheetView>
  </sheetViews>
  <sheetFormatPr baseColWidth="10" defaultColWidth="11.44140625" defaultRowHeight="13.8" outlineLevelRow="1"/>
  <cols>
    <col min="1" max="1" width="4.5546875" style="833" customWidth="1"/>
    <col min="2" max="2" width="61.33203125" style="833" customWidth="1"/>
    <col min="3" max="3" width="7.6640625" style="833" customWidth="1"/>
    <col min="4" max="4" width="15.6640625" style="833" customWidth="1"/>
    <col min="5" max="16384" width="11.44140625" style="3"/>
  </cols>
  <sheetData>
    <row r="1" spans="1:4" s="832" customFormat="1" ht="36" customHeight="1" thickBot="1">
      <c r="A1" s="1051" t="s">
        <v>1238</v>
      </c>
      <c r="B1" s="1052"/>
      <c r="C1" s="1052"/>
      <c r="D1" s="1053"/>
    </row>
    <row r="2" spans="1:4">
      <c r="A2" s="1" t="str">
        <f>CONCATENATE(PagePrincipale!$F$9)</f>
        <v>D3 Soft SARL AU</v>
      </c>
      <c r="D2" s="2" t="str">
        <f ca="1">PeriodeArrete_DuAu()</f>
        <v>Du 1/1/2017 Au 31/12/2017</v>
      </c>
    </row>
    <row r="3" spans="1:4">
      <c r="A3" s="1054" t="s">
        <v>1239</v>
      </c>
      <c r="B3" s="1055"/>
      <c r="C3" s="834" t="s">
        <v>251</v>
      </c>
      <c r="D3" s="835" t="s">
        <v>386</v>
      </c>
    </row>
    <row r="4" spans="1:4">
      <c r="A4" s="1056" t="s">
        <v>408</v>
      </c>
      <c r="B4" s="1057"/>
      <c r="C4" s="836" t="s">
        <v>409</v>
      </c>
      <c r="D4" s="836" t="s">
        <v>139</v>
      </c>
    </row>
    <row r="5" spans="1:4">
      <c r="A5" s="704">
        <v>1</v>
      </c>
      <c r="B5" s="783" t="s">
        <v>1246</v>
      </c>
      <c r="C5" s="760" t="s">
        <v>104</v>
      </c>
      <c r="D5" s="761"/>
    </row>
    <row r="6" spans="1:4">
      <c r="A6" s="704">
        <v>2</v>
      </c>
      <c r="B6" s="783" t="s">
        <v>1247</v>
      </c>
      <c r="C6" s="760" t="s">
        <v>104</v>
      </c>
      <c r="D6" s="761"/>
    </row>
    <row r="7" spans="1:4">
      <c r="A7" s="705">
        <v>3</v>
      </c>
      <c r="B7" s="784" t="s">
        <v>1248</v>
      </c>
      <c r="C7" s="839">
        <v>0</v>
      </c>
      <c r="D7" s="839">
        <f ca="1">SUM(INDIRECT(ADDRESS(ROW()+1,COLUMN(),4,TRUE)&amp;":"&amp;ADDRESS(ROW(D$17)-1,COLUMN(),4,TRUE)))</f>
        <v>0</v>
      </c>
    </row>
    <row r="8" spans="1:4" s="201" customFormat="1">
      <c r="A8" s="837"/>
      <c r="B8" s="840"/>
      <c r="C8" s="762"/>
      <c r="D8" s="275"/>
    </row>
    <row r="9" spans="1:4" s="201" customFormat="1">
      <c r="A9" s="837"/>
      <c r="B9" s="840"/>
      <c r="C9" s="762"/>
      <c r="D9" s="275"/>
    </row>
    <row r="10" spans="1:4" s="201" customFormat="1" outlineLevel="1">
      <c r="A10" s="837"/>
      <c r="B10" s="840"/>
      <c r="C10" s="762"/>
      <c r="D10" s="275"/>
    </row>
    <row r="11" spans="1:4" s="201" customFormat="1" outlineLevel="1">
      <c r="A11" s="837"/>
      <c r="B11" s="840"/>
      <c r="C11" s="762"/>
      <c r="D11" s="275"/>
    </row>
    <row r="12" spans="1:4" s="201" customFormat="1" outlineLevel="1">
      <c r="A12" s="837"/>
      <c r="B12" s="840"/>
      <c r="C12" s="762"/>
      <c r="D12" s="275"/>
    </row>
    <row r="13" spans="1:4" s="201" customFormat="1" outlineLevel="1">
      <c r="A13" s="837"/>
      <c r="B13" s="840"/>
      <c r="C13" s="762"/>
      <c r="D13" s="275"/>
    </row>
    <row r="14" spans="1:4" s="201" customFormat="1" outlineLevel="1">
      <c r="A14" s="837"/>
      <c r="B14" s="840"/>
      <c r="C14" s="762"/>
      <c r="D14" s="275"/>
    </row>
    <row r="15" spans="1:4" s="201" customFormat="1" outlineLevel="1">
      <c r="A15" s="837"/>
      <c r="B15" s="840"/>
      <c r="C15" s="762"/>
      <c r="D15" s="275"/>
    </row>
    <row r="16" spans="1:4" s="201" customFormat="1" outlineLevel="1">
      <c r="A16" s="838"/>
      <c r="B16" s="840"/>
      <c r="C16" s="762"/>
      <c r="D16" s="275"/>
    </row>
    <row r="17" spans="1:4">
      <c r="A17" s="705">
        <v>4</v>
      </c>
      <c r="B17" s="784" t="s">
        <v>1251</v>
      </c>
      <c r="C17" s="760" t="s">
        <v>104</v>
      </c>
      <c r="D17" s="839">
        <f ca="1">SUM(INDIRECT(ADDRESS(ROW()+1,COLUMN(),4,TRUE)&amp;":"&amp;ADDRESS(ROW($D$30)-1,COLUMN(),4,TRUE)))</f>
        <v>0</v>
      </c>
    </row>
    <row r="18" spans="1:4">
      <c r="A18" s="706"/>
      <c r="B18" s="786" t="s">
        <v>112</v>
      </c>
      <c r="C18" s="763" t="s">
        <v>104</v>
      </c>
      <c r="D18" s="764"/>
    </row>
    <row r="19" spans="1:4">
      <c r="A19" s="706"/>
      <c r="B19" s="786" t="s">
        <v>1249</v>
      </c>
      <c r="C19" s="763" t="s">
        <v>104</v>
      </c>
      <c r="D19" s="764"/>
    </row>
    <row r="20" spans="1:4">
      <c r="A20" s="706"/>
      <c r="B20" s="786" t="s">
        <v>1250</v>
      </c>
      <c r="C20" s="763" t="s">
        <v>104</v>
      </c>
      <c r="D20" s="764"/>
    </row>
    <row r="21" spans="1:4" s="201" customFormat="1">
      <c r="A21" s="837"/>
      <c r="B21" s="785"/>
      <c r="C21" s="840"/>
      <c r="D21" s="764"/>
    </row>
    <row r="22" spans="1:4" s="201" customFormat="1">
      <c r="A22" s="837"/>
      <c r="B22" s="785"/>
      <c r="C22" s="840"/>
      <c r="D22" s="764"/>
    </row>
    <row r="23" spans="1:4" s="201" customFormat="1" outlineLevel="1">
      <c r="A23" s="837"/>
      <c r="B23" s="785"/>
      <c r="C23" s="840"/>
      <c r="D23" s="764"/>
    </row>
    <row r="24" spans="1:4" s="201" customFormat="1" outlineLevel="1">
      <c r="A24" s="837"/>
      <c r="B24" s="785"/>
      <c r="C24" s="840"/>
      <c r="D24" s="764"/>
    </row>
    <row r="25" spans="1:4" s="201" customFormat="1" outlineLevel="1">
      <c r="A25" s="837"/>
      <c r="B25" s="785"/>
      <c r="C25" s="840" t="s">
        <v>104</v>
      </c>
      <c r="D25" s="764"/>
    </row>
    <row r="26" spans="1:4" s="201" customFormat="1" outlineLevel="1">
      <c r="A26" s="837"/>
      <c r="B26" s="785"/>
      <c r="C26" s="840" t="s">
        <v>104</v>
      </c>
      <c r="D26" s="764"/>
    </row>
    <row r="27" spans="1:4" s="201" customFormat="1" outlineLevel="1">
      <c r="A27" s="837"/>
      <c r="B27" s="785"/>
      <c r="C27" s="840" t="s">
        <v>104</v>
      </c>
      <c r="D27" s="764"/>
    </row>
    <row r="28" spans="1:4" s="201" customFormat="1" outlineLevel="1">
      <c r="A28" s="837"/>
      <c r="B28" s="785"/>
      <c r="C28" s="840" t="s">
        <v>104</v>
      </c>
      <c r="D28" s="764"/>
    </row>
    <row r="29" spans="1:4" s="201" customFormat="1" outlineLevel="1">
      <c r="A29" s="838"/>
      <c r="B29" s="785"/>
      <c r="C29" s="841" t="s">
        <v>104</v>
      </c>
      <c r="D29" s="765"/>
    </row>
    <row r="30" spans="1:4">
      <c r="A30" s="704">
        <v>5</v>
      </c>
      <c r="B30" s="783" t="s">
        <v>1252</v>
      </c>
      <c r="C30" s="760" t="s">
        <v>104</v>
      </c>
      <c r="D30" s="766">
        <f ca="1">SUM(D5,D6,D7,D17)</f>
        <v>0</v>
      </c>
    </row>
    <row r="31" spans="1:4">
      <c r="A31" s="704">
        <v>6</v>
      </c>
      <c r="B31" s="783" t="s">
        <v>1253</v>
      </c>
      <c r="C31" s="767" t="s">
        <v>104</v>
      </c>
      <c r="D31" s="761"/>
    </row>
    <row r="33" spans="1:1">
      <c r="A33" s="833" t="s">
        <v>1240</v>
      </c>
    </row>
    <row r="34" spans="1:1">
      <c r="A34" s="833" t="s">
        <v>1241</v>
      </c>
    </row>
    <row r="35" spans="1:1">
      <c r="A35" s="833" t="s">
        <v>1242</v>
      </c>
    </row>
    <row r="36" spans="1:1">
      <c r="A36" s="833" t="s">
        <v>1243</v>
      </c>
    </row>
    <row r="37" spans="1:1">
      <c r="A37" s="833" t="s">
        <v>1244</v>
      </c>
    </row>
    <row r="38" spans="1:1">
      <c r="A38" s="833" t="s">
        <v>1245</v>
      </c>
    </row>
  </sheetData>
  <sheetProtection formatCells="0" formatColumns="0" formatRows="0" insertRows="0" deleteRows="0"/>
  <mergeCells count="3">
    <mergeCell ref="A1:D1"/>
    <mergeCell ref="A3:B3"/>
    <mergeCell ref="A4:B4"/>
  </mergeCells>
  <phoneticPr fontId="0" type="noConversion"/>
  <printOptions horizontalCentered="1"/>
  <pageMargins left="0" right="0" top="0.78740157480314965" bottom="0" header="0.59055118110236227" footer="0.19685039370078741"/>
  <pageSetup paperSize="9" scale="95" orientation="landscape" r:id="rId1"/>
  <headerFooter alignWithMargins="0">
    <oddHeader>&amp;R&amp;"Tahoma,Gras"&amp;8Tableau &amp;A (&amp;P/&amp;N)</oddHeader>
    <oddFooter>&amp;L&amp;3www.xedis.ma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GoToMain">
              <controlPr defaultSize="0" print="0" autoFill="0" autoPict="0" macro="[0]!GoToMain">
                <anchor>
                  <from>
                    <xdr:col>0</xdr:col>
                    <xdr:colOff>0</xdr:colOff>
                    <xdr:row>0</xdr:row>
                    <xdr:rowOff>0</xdr:rowOff>
                  </from>
                  <to>
                    <xdr:col>1</xdr:col>
                    <xdr:colOff>38100</xdr:colOff>
                    <xdr:row>0</xdr:row>
                    <xdr:rowOff>220980</xdr:rowOff>
                  </to>
                </anchor>
              </controlPr>
            </control>
          </mc:Choice>
        </mc:AlternateContent>
        <mc:AlternateContent xmlns:mc="http://schemas.openxmlformats.org/markup-compatibility/2006">
          <mc:Choice Requires="x14">
            <control shapeId="18434" r:id="rId5" name="CADRE_NEANT_T26_BOUTTON">
              <controlPr defaultSize="0" print="0" autoFill="0" autoLine="0" autoPict="0" macro="[0]!Cadre_Neant_Tab26">
                <anchor moveWithCells="1">
                  <from>
                    <xdr:col>3</xdr:col>
                    <xdr:colOff>160020</xdr:colOff>
                    <xdr:row>0</xdr:row>
                    <xdr:rowOff>7620</xdr:rowOff>
                  </from>
                  <to>
                    <xdr:col>3</xdr:col>
                    <xdr:colOff>716280</xdr:colOff>
                    <xdr:row>0</xdr:row>
                    <xdr:rowOff>220980</xdr:rowOff>
                  </to>
                </anchor>
              </controlPr>
            </control>
          </mc:Choice>
        </mc:AlternateContent>
        <mc:AlternateContent xmlns:mc="http://schemas.openxmlformats.org/markup-compatibility/2006">
          <mc:Choice Requires="x14">
            <control shapeId="18435" r:id="rId6" name="GoToLast">
              <controlPr defaultSize="0" print="0" autoFill="0" autoPict="0" macro="[0]!GoToLastSelection">
                <anchor moveWithCells="1" sizeWithCells="1">
                  <from>
                    <xdr:col>1</xdr:col>
                    <xdr:colOff>45720</xdr:colOff>
                    <xdr:row>0</xdr:row>
                    <xdr:rowOff>0</xdr:rowOff>
                  </from>
                  <to>
                    <xdr:col>1</xdr:col>
                    <xdr:colOff>388620</xdr:colOff>
                    <xdr:row>0</xdr:row>
                    <xdr:rowOff>220980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Verifications"/>
  <dimension ref="A1:F155"/>
  <sheetViews>
    <sheetView workbookViewId="0">
      <pane xSplit="1" ySplit="5" topLeftCell="B150" activePane="bottomRight" state="frozen"/>
      <selection activeCell="F9" sqref="F9:M9"/>
      <selection pane="topRight" activeCell="F9" sqref="F9:M9"/>
      <selection pane="bottomLeft" activeCell="F9" sqref="F9:M9"/>
      <selection pane="bottomRight" activeCell="B8" sqref="B8"/>
    </sheetView>
  </sheetViews>
  <sheetFormatPr baseColWidth="10" defaultColWidth="11.44140625" defaultRowHeight="13.2"/>
  <cols>
    <col min="1" max="1" width="43.5546875" style="4" customWidth="1"/>
    <col min="2" max="2" width="29" style="4" bestFit="1" customWidth="1"/>
    <col min="3" max="6" width="16.6640625" style="4" customWidth="1"/>
    <col min="7" max="16384" width="11.44140625" style="4"/>
  </cols>
  <sheetData>
    <row r="1" spans="1:6" ht="18.600000000000001" thickBot="1">
      <c r="A1" s="1143" t="s">
        <v>706</v>
      </c>
      <c r="B1" s="1144"/>
      <c r="C1" s="1144"/>
      <c r="D1" s="1144"/>
      <c r="E1" s="1144"/>
      <c r="F1" s="1145"/>
    </row>
    <row r="2" spans="1:6" ht="13.8">
      <c r="A2" s="1" t="str">
        <f>CONCATENATE(PagePrincipale!$F$9)</f>
        <v>D3 Soft SARL AU</v>
      </c>
      <c r="B2" s="104"/>
      <c r="F2" s="105" t="str">
        <f ca="1">PeriodeArrete_DuAu()</f>
        <v>Du 1/1/2017 Au 31/12/2017</v>
      </c>
    </row>
    <row r="3" spans="1:6" ht="13.8">
      <c r="A3" s="1"/>
      <c r="B3" s="104"/>
      <c r="D3" s="105"/>
    </row>
    <row r="4" spans="1:6" ht="12.75" customHeight="1">
      <c r="A4" s="1146" t="s">
        <v>562</v>
      </c>
      <c r="B4" s="1146" t="s">
        <v>564</v>
      </c>
      <c r="C4" s="1147" t="s">
        <v>429</v>
      </c>
      <c r="D4" s="1148"/>
      <c r="E4" s="1149" t="s">
        <v>414</v>
      </c>
      <c r="F4" s="1150"/>
    </row>
    <row r="5" spans="1:6">
      <c r="A5" s="1146"/>
      <c r="B5" s="1146"/>
      <c r="C5" s="189" t="s">
        <v>386</v>
      </c>
      <c r="D5" s="187" t="s">
        <v>563</v>
      </c>
      <c r="E5" s="190" t="s">
        <v>386</v>
      </c>
      <c r="F5" s="189" t="s">
        <v>563</v>
      </c>
    </row>
    <row r="6" spans="1:6">
      <c r="A6" s="1151" t="s">
        <v>1207</v>
      </c>
      <c r="B6" s="139" t="s">
        <v>1209</v>
      </c>
      <c r="C6" s="684">
        <f>3000-COUNTBLANK(BalanceN!$C$63:$C$3001)</f>
        <v>61</v>
      </c>
      <c r="D6" s="1141">
        <f ca="1">ROUND(ABS(C7-C6),2)</f>
        <v>0</v>
      </c>
      <c r="E6" s="684">
        <f>3000-COUNTBLANK('BalanceN-1'!$C$2:$C$3001)</f>
        <v>61</v>
      </c>
      <c r="F6" s="1138">
        <f ca="1">ROUND(ABS(E7-E6),2)</f>
        <v>0</v>
      </c>
    </row>
    <row r="7" spans="1:6">
      <c r="A7" s="1152"/>
      <c r="B7" s="137" t="s">
        <v>1208</v>
      </c>
      <c r="C7" s="685">
        <f ca="1">C6-SUM(BalanceN!$B$2:$B$3001)</f>
        <v>61</v>
      </c>
      <c r="D7" s="1153"/>
      <c r="E7" s="685">
        <f ca="1">E6-SUM('BalanceN-1'!$B$2:$B$3001)</f>
        <v>61</v>
      </c>
      <c r="F7" s="1139"/>
    </row>
    <row r="8" spans="1:6">
      <c r="A8" s="1151" t="s">
        <v>680</v>
      </c>
      <c r="B8" s="139" t="s">
        <v>681</v>
      </c>
      <c r="C8" s="94">
        <f>SUM(BalanceN!E:E)</f>
        <v>2214600.0300000003</v>
      </c>
      <c r="D8" s="1141">
        <f>ROUND(ABS(C9-C8),2)</f>
        <v>0</v>
      </c>
      <c r="E8" s="94">
        <f>SUM('BalanceN-1'!E:E)</f>
        <v>2023322</v>
      </c>
      <c r="F8" s="1138">
        <f>ROUND(ABS(E9-E8),2)</f>
        <v>0</v>
      </c>
    </row>
    <row r="9" spans="1:6">
      <c r="A9" s="1152"/>
      <c r="B9" s="137" t="s">
        <v>682</v>
      </c>
      <c r="C9" s="138">
        <f>SUM(BalanceN!F:F)</f>
        <v>2214600.0300000003</v>
      </c>
      <c r="D9" s="1153"/>
      <c r="E9" s="138">
        <f>SUM('BalanceN-1'!F:F)</f>
        <v>2023322</v>
      </c>
      <c r="F9" s="1139"/>
    </row>
    <row r="10" spans="1:6">
      <c r="A10" s="1140" t="s">
        <v>574</v>
      </c>
      <c r="B10" s="139" t="s">
        <v>569</v>
      </c>
      <c r="C10" s="94">
        <f ca="1">SUM('T01'!E53)</f>
        <v>1208001.1399999999</v>
      </c>
      <c r="D10" s="1141">
        <f ca="1">ROUND(ABS(C11-C10),2)</f>
        <v>0</v>
      </c>
      <c r="E10" s="94">
        <f ca="1">SUM('T01'!F53)</f>
        <v>1068176.5900000001</v>
      </c>
      <c r="F10" s="1138">
        <f ca="1">ROUND(ABS(E11-E10),2)</f>
        <v>0</v>
      </c>
    </row>
    <row r="11" spans="1:6">
      <c r="A11" s="1140"/>
      <c r="B11" s="137" t="s">
        <v>565</v>
      </c>
      <c r="C11" s="138">
        <f ca="1">SUM('T01'!D101)</f>
        <v>1208001.1399999999</v>
      </c>
      <c r="D11" s="1142"/>
      <c r="E11" s="138">
        <f ca="1">SUM('T01'!E101)</f>
        <v>1068176.5900000001</v>
      </c>
      <c r="F11" s="1139"/>
    </row>
    <row r="12" spans="1:6">
      <c r="A12" s="1140" t="s">
        <v>1219</v>
      </c>
      <c r="B12" s="139" t="s">
        <v>569</v>
      </c>
      <c r="C12" s="94">
        <f ca="1">SUM('T01'!E51)</f>
        <v>5237.53</v>
      </c>
      <c r="D12" s="1141">
        <f ca="1">ROUND(ABS(C13-C12),2)</f>
        <v>0</v>
      </c>
      <c r="E12" s="140">
        <f ca="1">SUM('T01'!F51)</f>
        <v>4713.78</v>
      </c>
      <c r="F12" s="1138">
        <f ca="1">ROUND(ABS(E13-E12),2)</f>
        <v>0</v>
      </c>
    </row>
    <row r="13" spans="1:6">
      <c r="A13" s="1140"/>
      <c r="B13" s="137" t="s">
        <v>1218</v>
      </c>
      <c r="C13" s="138">
        <f ca="1">IF(C12&gt;=0,C12,0)</f>
        <v>5237.53</v>
      </c>
      <c r="D13" s="1142"/>
      <c r="E13" s="141">
        <f ca="1">IF(E12&gt;=0,E12,0)</f>
        <v>4713.78</v>
      </c>
      <c r="F13" s="1139"/>
    </row>
    <row r="14" spans="1:6">
      <c r="A14" s="1140" t="s">
        <v>573</v>
      </c>
      <c r="B14" s="139" t="s">
        <v>722</v>
      </c>
      <c r="C14" s="94">
        <f ca="1">SUM('T02'!F64)</f>
        <v>-2665.6199999999953</v>
      </c>
      <c r="D14" s="1141">
        <f ca="1">ROUND(ABS(C15-C14),2)</f>
        <v>0</v>
      </c>
      <c r="E14" s="140">
        <f ca="1">SUM('T02'!G64)</f>
        <v>7486.2600000000093</v>
      </c>
      <c r="F14" s="1138">
        <f ca="1">ROUND(ABS(E15-E14),2)</f>
        <v>0</v>
      </c>
    </row>
    <row r="15" spans="1:6">
      <c r="A15" s="1140"/>
      <c r="B15" s="137" t="s">
        <v>723</v>
      </c>
      <c r="C15" s="138">
        <f ca="1">SUM('T02'!F69)</f>
        <v>-2665.6199999999953</v>
      </c>
      <c r="D15" s="1142"/>
      <c r="E15" s="141">
        <f ca="1">SUM('T02'!G69)</f>
        <v>7486.2600000000093</v>
      </c>
      <c r="F15" s="1139"/>
    </row>
    <row r="16" spans="1:6">
      <c r="A16" s="1140" t="s">
        <v>575</v>
      </c>
      <c r="B16" s="139" t="s">
        <v>565</v>
      </c>
      <c r="C16" s="94">
        <f ca="1">SUM('T01'!D67)</f>
        <v>-2665.6199999999953</v>
      </c>
      <c r="D16" s="1141">
        <f ca="1">ROUND(ABS(C17-C16),2)</f>
        <v>0</v>
      </c>
      <c r="E16" s="94">
        <f ca="1">SUM('T01'!E67)</f>
        <v>7486.2600000000675</v>
      </c>
      <c r="F16" s="1138">
        <f ca="1">ROUND(ABS(E17-E16),2)</f>
        <v>0</v>
      </c>
    </row>
    <row r="17" spans="1:6">
      <c r="A17" s="1140"/>
      <c r="B17" s="137" t="s">
        <v>566</v>
      </c>
      <c r="C17" s="138">
        <f ca="1">SUM('T02'!F64)</f>
        <v>-2665.6199999999953</v>
      </c>
      <c r="D17" s="1142"/>
      <c r="E17" s="138">
        <f ca="1">SUM('T02'!G64)</f>
        <v>7486.2600000000093</v>
      </c>
      <c r="F17" s="1139"/>
    </row>
    <row r="18" spans="1:6" ht="12.75" customHeight="1">
      <c r="A18" s="1140" t="s">
        <v>1221</v>
      </c>
      <c r="B18" s="139" t="s">
        <v>1209</v>
      </c>
      <c r="C18" s="94">
        <f ca="1">-SoldeN("16")</f>
        <v>0</v>
      </c>
      <c r="D18" s="1141">
        <f t="shared" ref="D18" ca="1" si="0">ROUND(ABS(C19-C18),2)</f>
        <v>0</v>
      </c>
      <c r="E18" s="140">
        <f ca="1">-SoldeN_1("16")</f>
        <v>0</v>
      </c>
      <c r="F18" s="1138">
        <f t="shared" ref="F18" ca="1" si="1">ROUND(ABS(E19-E18),2)</f>
        <v>0</v>
      </c>
    </row>
    <row r="19" spans="1:6">
      <c r="A19" s="1140"/>
      <c r="B19" s="137" t="s">
        <v>565</v>
      </c>
      <c r="C19" s="138">
        <v>0</v>
      </c>
      <c r="D19" s="1142"/>
      <c r="E19" s="141">
        <v>0</v>
      </c>
      <c r="F19" s="1139"/>
    </row>
    <row r="20" spans="1:6">
      <c r="A20" s="1140" t="s">
        <v>773</v>
      </c>
      <c r="B20" s="139" t="s">
        <v>566</v>
      </c>
      <c r="C20" s="94">
        <f ca="1">SUM('T02'!F23)</f>
        <v>7815.47</v>
      </c>
      <c r="D20" s="1141">
        <f ca="1">ROUND(ABS(C21-C20),2)</f>
        <v>0</v>
      </c>
      <c r="E20" s="142"/>
      <c r="F20" s="1154"/>
    </row>
    <row r="21" spans="1:6">
      <c r="A21" s="1140"/>
      <c r="B21" s="137" t="s">
        <v>775</v>
      </c>
      <c r="C21" s="138">
        <f ca="1">SUM('T08'!C25)+SUM('T09'!C16)</f>
        <v>7815.4700000000012</v>
      </c>
      <c r="D21" s="1142"/>
      <c r="E21" s="143"/>
      <c r="F21" s="1154"/>
    </row>
    <row r="22" spans="1:6">
      <c r="A22" s="1140" t="s">
        <v>772</v>
      </c>
      <c r="B22" s="139" t="s">
        <v>566</v>
      </c>
      <c r="C22" s="94">
        <f ca="1">SUM('T02'!F36)</f>
        <v>0</v>
      </c>
      <c r="D22" s="1141">
        <f ca="1">ROUND(ABS(C23-C22),2)</f>
        <v>0</v>
      </c>
      <c r="E22" s="142"/>
      <c r="F22" s="1154"/>
    </row>
    <row r="23" spans="1:6">
      <c r="A23" s="1140"/>
      <c r="B23" s="137" t="s">
        <v>725</v>
      </c>
      <c r="C23" s="138">
        <f ca="1">SUM('T09'!D16)</f>
        <v>0</v>
      </c>
      <c r="D23" s="1142"/>
      <c r="E23" s="143"/>
      <c r="F23" s="1154"/>
    </row>
    <row r="24" spans="1:6">
      <c r="A24" s="1140" t="s">
        <v>774</v>
      </c>
      <c r="B24" s="139" t="s">
        <v>566</v>
      </c>
      <c r="C24" s="94">
        <f ca="1">SUM('T02'!F59)</f>
        <v>0</v>
      </c>
      <c r="D24" s="1141">
        <f ca="1">ROUND(ABS(C25-C24),2)</f>
        <v>0</v>
      </c>
      <c r="E24" s="142"/>
      <c r="F24" s="1154"/>
    </row>
    <row r="25" spans="1:6">
      <c r="A25" s="1140"/>
      <c r="B25" s="137" t="s">
        <v>725</v>
      </c>
      <c r="C25" s="138">
        <f ca="1">SUM('T09'!E16)</f>
        <v>0</v>
      </c>
      <c r="D25" s="1142"/>
      <c r="E25" s="143"/>
      <c r="F25" s="1154"/>
    </row>
    <row r="26" spans="1:6">
      <c r="A26" s="1140" t="s">
        <v>576</v>
      </c>
      <c r="B26" s="139" t="s">
        <v>566</v>
      </c>
      <c r="C26" s="94">
        <f ca="1">SUM('T02'!F64)</f>
        <v>-2665.6199999999953</v>
      </c>
      <c r="D26" s="1141">
        <f ca="1">ROUND(ABS(C27-C26),2)</f>
        <v>0</v>
      </c>
      <c r="E26" s="142"/>
      <c r="F26" s="1154"/>
    </row>
    <row r="27" spans="1:6">
      <c r="A27" s="1140"/>
      <c r="B27" s="137" t="s">
        <v>571</v>
      </c>
      <c r="C27" s="138">
        <f ca="1">SUM('T03'!B5)-SUM('T03'!C6)</f>
        <v>-2665.6199999999953</v>
      </c>
      <c r="D27" s="1142"/>
      <c r="E27" s="143"/>
      <c r="F27" s="1154"/>
    </row>
    <row r="28" spans="1:6">
      <c r="A28" s="1140" t="s">
        <v>577</v>
      </c>
      <c r="B28" s="139" t="s">
        <v>569</v>
      </c>
      <c r="C28" s="94">
        <f ca="1">SUM('T01'!C5)</f>
        <v>4106</v>
      </c>
      <c r="D28" s="1141">
        <f ca="1">ROUND(ABS(C29-C28),2)</f>
        <v>0</v>
      </c>
      <c r="E28" s="142"/>
      <c r="F28" s="1154"/>
    </row>
    <row r="29" spans="1:6">
      <c r="A29" s="1140"/>
      <c r="B29" s="137" t="s">
        <v>570</v>
      </c>
      <c r="C29" s="138">
        <f ca="1">SUM('T04'!I5)</f>
        <v>4106</v>
      </c>
      <c r="D29" s="1142"/>
      <c r="E29" s="143"/>
      <c r="F29" s="1154"/>
    </row>
    <row r="30" spans="1:6">
      <c r="A30" s="1140" t="s">
        <v>578</v>
      </c>
      <c r="B30" s="139" t="s">
        <v>569</v>
      </c>
      <c r="C30" s="94">
        <f ca="1">SUM('T01'!C9)</f>
        <v>28250</v>
      </c>
      <c r="D30" s="1141">
        <f ca="1">ROUND(ABS(C31-C30),2)</f>
        <v>0</v>
      </c>
      <c r="E30" s="142"/>
      <c r="F30" s="1154"/>
    </row>
    <row r="31" spans="1:6">
      <c r="A31" s="1140"/>
      <c r="B31" s="137" t="s">
        <v>570</v>
      </c>
      <c r="C31" s="138">
        <f ca="1">SUM('T04'!I12)</f>
        <v>28250</v>
      </c>
      <c r="D31" s="1142"/>
      <c r="E31" s="143"/>
      <c r="F31" s="1154"/>
    </row>
    <row r="32" spans="1:6">
      <c r="A32" s="1140" t="s">
        <v>579</v>
      </c>
      <c r="B32" s="139" t="s">
        <v>569</v>
      </c>
      <c r="C32" s="94">
        <f ca="1">SUM('T01'!C14)</f>
        <v>335637.01</v>
      </c>
      <c r="D32" s="1141">
        <f ca="1">ROUND(ABS(C33-C32),2)</f>
        <v>0</v>
      </c>
      <c r="E32" s="142"/>
      <c r="F32" s="1154"/>
    </row>
    <row r="33" spans="1:6">
      <c r="A33" s="1140"/>
      <c r="B33" s="137" t="s">
        <v>570</v>
      </c>
      <c r="C33" s="138">
        <f ca="1">SUM('T04'!I17)</f>
        <v>335637.01</v>
      </c>
      <c r="D33" s="1142"/>
      <c r="E33" s="143"/>
      <c r="F33" s="1154"/>
    </row>
    <row r="34" spans="1:6">
      <c r="A34" s="1140" t="s">
        <v>580</v>
      </c>
      <c r="B34" s="139" t="s">
        <v>566</v>
      </c>
      <c r="C34" s="94">
        <f ca="1">SUM('T02'!F25)</f>
        <v>2374.3800000000047</v>
      </c>
      <c r="D34" s="1141">
        <f ca="1">ROUND(ABS(C35-C34),2)</f>
        <v>0</v>
      </c>
      <c r="E34" s="140">
        <f ca="1">SUM('T02'!G25)</f>
        <v>11016.260000000009</v>
      </c>
      <c r="F34" s="1138">
        <f ca="1">ROUND(ABS(E35-E34),2)</f>
        <v>0</v>
      </c>
    </row>
    <row r="35" spans="1:6">
      <c r="A35" s="1140"/>
      <c r="B35" s="137" t="s">
        <v>572</v>
      </c>
      <c r="C35" s="138">
        <f ca="1">SUM('T05'!E25)</f>
        <v>2374.3799999999892</v>
      </c>
      <c r="D35" s="1142"/>
      <c r="E35" s="141">
        <f ca="1">SUM('T05'!F25)</f>
        <v>11016.260000000017</v>
      </c>
      <c r="F35" s="1139"/>
    </row>
    <row r="36" spans="1:6">
      <c r="A36" s="1140" t="s">
        <v>581</v>
      </c>
      <c r="B36" s="139" t="s">
        <v>566</v>
      </c>
      <c r="C36" s="94">
        <f ca="1">SUM('T02'!F38)</f>
        <v>0</v>
      </c>
      <c r="D36" s="1141">
        <f ca="1">ROUND(ABS(C37-C36),2)</f>
        <v>0</v>
      </c>
      <c r="E36" s="140">
        <f ca="1">SUM('T02'!G38)</f>
        <v>0</v>
      </c>
      <c r="F36" s="1138">
        <f ca="1">ROUND(ABS(E37-E36),2)</f>
        <v>0</v>
      </c>
    </row>
    <row r="37" spans="1:6">
      <c r="A37" s="1140"/>
      <c r="B37" s="137" t="s">
        <v>572</v>
      </c>
      <c r="C37" s="138">
        <f ca="1">SUM('T05'!E26)</f>
        <v>0</v>
      </c>
      <c r="D37" s="1142"/>
      <c r="E37" s="141">
        <f ca="1">SUM('T05'!F26)</f>
        <v>0</v>
      </c>
      <c r="F37" s="1139"/>
    </row>
    <row r="38" spans="1:6">
      <c r="A38" s="1140" t="s">
        <v>582</v>
      </c>
      <c r="B38" s="139" t="s">
        <v>566</v>
      </c>
      <c r="C38" s="94">
        <f ca="1">SUM('T02'!F61)</f>
        <v>-2040</v>
      </c>
      <c r="D38" s="1141">
        <f ca="1">ROUND(ABS(C39-C38),2)</f>
        <v>0</v>
      </c>
      <c r="E38" s="140">
        <f ca="1">SUM('T02'!G61)</f>
        <v>-1100</v>
      </c>
      <c r="F38" s="1138">
        <f ca="1">ROUND(ABS(E39-E38),2)</f>
        <v>0</v>
      </c>
    </row>
    <row r="39" spans="1:6">
      <c r="A39" s="1140"/>
      <c r="B39" s="137" t="s">
        <v>572</v>
      </c>
      <c r="C39" s="138">
        <f ca="1">SUM('T05'!E28)</f>
        <v>-2040</v>
      </c>
      <c r="D39" s="1142"/>
      <c r="E39" s="141">
        <f ca="1">SUM('T05'!F28)</f>
        <v>-1100</v>
      </c>
      <c r="F39" s="1139"/>
    </row>
    <row r="40" spans="1:6">
      <c r="A40" s="1140" t="s">
        <v>583</v>
      </c>
      <c r="B40" s="139" t="s">
        <v>566</v>
      </c>
      <c r="C40" s="94">
        <f ca="1">SUM('T02'!F64)</f>
        <v>-2665.6199999999953</v>
      </c>
      <c r="D40" s="1141">
        <f ca="1">ROUND(ABS(C41-C40),2)</f>
        <v>0</v>
      </c>
      <c r="E40" s="140">
        <f ca="1">SUM('T02'!G64)</f>
        <v>7486.2600000000093</v>
      </c>
      <c r="F40" s="1138">
        <f ca="1">ROUND(ABS(E41-E40),2)</f>
        <v>0</v>
      </c>
    </row>
    <row r="41" spans="1:6">
      <c r="A41" s="1140"/>
      <c r="B41" s="137" t="s">
        <v>572</v>
      </c>
      <c r="C41" s="138">
        <f ca="1">SUM('T05'!E30)</f>
        <v>-2665.6200000000108</v>
      </c>
      <c r="D41" s="1142"/>
      <c r="E41" s="141">
        <f ca="1">SUM('T05'!F30)</f>
        <v>7486.2600000000166</v>
      </c>
      <c r="F41" s="1139"/>
    </row>
    <row r="42" spans="1:6">
      <c r="A42" s="1140" t="s">
        <v>683</v>
      </c>
      <c r="B42" s="139" t="s">
        <v>572</v>
      </c>
      <c r="C42" s="94">
        <f>SUM('T05'!E45)</f>
        <v>0</v>
      </c>
      <c r="D42" s="1141">
        <f>ROUND(ABS(C43-C42),2)</f>
        <v>0</v>
      </c>
      <c r="E42" s="142"/>
      <c r="F42" s="1154"/>
    </row>
    <row r="43" spans="1:6">
      <c r="A43" s="1140"/>
      <c r="B43" s="137" t="s">
        <v>684</v>
      </c>
      <c r="C43" s="138">
        <f>SUM('T14'!D8)</f>
        <v>0</v>
      </c>
      <c r="D43" s="1142"/>
      <c r="E43" s="143"/>
      <c r="F43" s="1154"/>
    </row>
    <row r="44" spans="1:6">
      <c r="A44" s="1140" t="s">
        <v>689</v>
      </c>
      <c r="B44" s="139" t="s">
        <v>566</v>
      </c>
      <c r="C44" s="94">
        <f ca="1">SUM('T02'!F17)</f>
        <v>0</v>
      </c>
      <c r="D44" s="1141">
        <f ca="1">ROUND(ABS(C45-C44),2)</f>
        <v>0</v>
      </c>
      <c r="E44" s="140">
        <f ca="1">SUM('T02'!G17)</f>
        <v>0</v>
      </c>
      <c r="F44" s="1138">
        <f ca="1">ROUND(ABS(E45-E44),2)</f>
        <v>0</v>
      </c>
    </row>
    <row r="45" spans="1:6">
      <c r="A45" s="1140"/>
      <c r="B45" s="137" t="s">
        <v>688</v>
      </c>
      <c r="C45" s="138">
        <f ca="1">SUM('T06'!C8)</f>
        <v>0</v>
      </c>
      <c r="D45" s="1142"/>
      <c r="E45" s="141">
        <f ca="1">SUM('T06'!D8)</f>
        <v>0</v>
      </c>
      <c r="F45" s="1139"/>
    </row>
    <row r="46" spans="1:6">
      <c r="A46" s="1140" t="s">
        <v>724</v>
      </c>
      <c r="B46" s="139" t="s">
        <v>1410</v>
      </c>
      <c r="C46" s="94">
        <f ca="1">SUM('T02'!F18)-SoldeN("6129")</f>
        <v>10334.040000000001</v>
      </c>
      <c r="D46" s="1141">
        <f ca="1">ROUND(ABS(C47-C46),2)</f>
        <v>0</v>
      </c>
      <c r="E46" s="140">
        <f ca="1">SUM('T02'!G18)-SoldeN_1("6129")</f>
        <v>9300.64</v>
      </c>
      <c r="F46" s="1138">
        <f ca="1">ROUND(ABS(E47-E46),2)</f>
        <v>0</v>
      </c>
    </row>
    <row r="47" spans="1:6">
      <c r="A47" s="1140"/>
      <c r="B47" s="137" t="s">
        <v>688</v>
      </c>
      <c r="C47" s="138">
        <f ca="1">SUM('T06'!C17)</f>
        <v>10334.040000000001</v>
      </c>
      <c r="D47" s="1142"/>
      <c r="E47" s="141">
        <f ca="1">SUM('T06'!D17)</f>
        <v>9300.64</v>
      </c>
      <c r="F47" s="1139"/>
    </row>
    <row r="48" spans="1:6">
      <c r="A48" s="1140" t="s">
        <v>690</v>
      </c>
      <c r="B48" s="139" t="s">
        <v>566</v>
      </c>
      <c r="C48" s="94">
        <f ca="1">SUM('T02'!F19)</f>
        <v>65929.08</v>
      </c>
      <c r="D48" s="1141">
        <f ca="1">ROUND(ABS(C49-C48),2)</f>
        <v>0</v>
      </c>
      <c r="E48" s="140">
        <f ca="1">SUM('T02'!G19)</f>
        <v>59336.17</v>
      </c>
      <c r="F48" s="1138">
        <f ca="1">ROUND(ABS(E49-E48),2)</f>
        <v>0</v>
      </c>
    </row>
    <row r="49" spans="1:6">
      <c r="A49" s="1140"/>
      <c r="B49" s="137" t="s">
        <v>688</v>
      </c>
      <c r="C49" s="138">
        <f ca="1">SUM('T06'!C29)</f>
        <v>65929.08</v>
      </c>
      <c r="D49" s="1142"/>
      <c r="E49" s="141">
        <f ca="1">SUM('T06'!D29)</f>
        <v>59336.17</v>
      </c>
      <c r="F49" s="1139"/>
    </row>
    <row r="50" spans="1:6">
      <c r="A50" s="1140" t="s">
        <v>691</v>
      </c>
      <c r="B50" s="139" t="s">
        <v>566</v>
      </c>
      <c r="C50" s="94">
        <f ca="1">SUM('T02'!F21)</f>
        <v>233984.28</v>
      </c>
      <c r="D50" s="1141">
        <f ca="1">ROUND(ABS(C51-C50),2)</f>
        <v>0</v>
      </c>
      <c r="E50" s="140">
        <f ca="1">SUM('T02'!G21)</f>
        <v>210585.85</v>
      </c>
      <c r="F50" s="1138">
        <f ca="1">ROUND(ABS(E51-E50),2)</f>
        <v>0</v>
      </c>
    </row>
    <row r="51" spans="1:6">
      <c r="A51" s="1140"/>
      <c r="B51" s="137" t="s">
        <v>688</v>
      </c>
      <c r="C51" s="138">
        <f ca="1">SUM('T06'!C34)</f>
        <v>233984.28</v>
      </c>
      <c r="D51" s="1142"/>
      <c r="E51" s="141">
        <f ca="1">SUM('T06'!D34)</f>
        <v>210585.85</v>
      </c>
      <c r="F51" s="1139"/>
    </row>
    <row r="52" spans="1:6">
      <c r="A52" s="1140" t="s">
        <v>692</v>
      </c>
      <c r="B52" s="139" t="s">
        <v>566</v>
      </c>
      <c r="C52" s="94">
        <f ca="1">SUM('T02'!F22)</f>
        <v>8.0399999999999991</v>
      </c>
      <c r="D52" s="1141">
        <f ca="1">ROUND(ABS(C53-C52),2)</f>
        <v>0</v>
      </c>
      <c r="E52" s="140">
        <f ca="1">SUM('T02'!G22)</f>
        <v>7.24</v>
      </c>
      <c r="F52" s="1138">
        <f ca="1">ROUND(ABS(E53-E52),2)</f>
        <v>0</v>
      </c>
    </row>
    <row r="53" spans="1:6">
      <c r="A53" s="1140"/>
      <c r="B53" s="137" t="s">
        <v>688</v>
      </c>
      <c r="C53" s="138">
        <f ca="1">SUM('T06'!C39)</f>
        <v>8.0399999999999991</v>
      </c>
      <c r="D53" s="1142"/>
      <c r="E53" s="141">
        <f ca="1">SUM('T06'!D39)</f>
        <v>7.24</v>
      </c>
      <c r="F53" s="1139"/>
    </row>
    <row r="54" spans="1:6">
      <c r="A54" s="1140" t="s">
        <v>693</v>
      </c>
      <c r="B54" s="139" t="s">
        <v>566</v>
      </c>
      <c r="C54" s="94">
        <f ca="1">SUM('T02'!F35)</f>
        <v>0</v>
      </c>
      <c r="D54" s="1141">
        <f ca="1">ROUND(ABS(C55-C54),2)</f>
        <v>0</v>
      </c>
      <c r="E54" s="140">
        <f ca="1">SUM('T02'!G35)</f>
        <v>0</v>
      </c>
      <c r="F54" s="1138">
        <f ca="1">ROUND(ABS(E55-E54),2)</f>
        <v>0</v>
      </c>
    </row>
    <row r="55" spans="1:6">
      <c r="A55" s="1140"/>
      <c r="B55" s="137" t="s">
        <v>688</v>
      </c>
      <c r="C55" s="138">
        <f ca="1">SUM('T06'!C44)</f>
        <v>0</v>
      </c>
      <c r="D55" s="1142"/>
      <c r="E55" s="141">
        <f ca="1">SUM('T06'!D44)</f>
        <v>0</v>
      </c>
      <c r="F55" s="1139"/>
    </row>
    <row r="56" spans="1:6">
      <c r="A56" s="1140" t="s">
        <v>694</v>
      </c>
      <c r="B56" s="139" t="s">
        <v>566</v>
      </c>
      <c r="C56" s="94">
        <f ca="1">SUM('T02'!F58)</f>
        <v>2040</v>
      </c>
      <c r="D56" s="1141">
        <f ca="1">ROUND(ABS(C57-C56),2)</f>
        <v>0</v>
      </c>
      <c r="E56" s="140">
        <f ca="1">SUM('T02'!G58)</f>
        <v>1100</v>
      </c>
      <c r="F56" s="1138">
        <f ca="1">ROUND(ABS(E57-E56),2)</f>
        <v>0</v>
      </c>
    </row>
    <row r="57" spans="1:6">
      <c r="A57" s="1140"/>
      <c r="B57" s="137" t="s">
        <v>688</v>
      </c>
      <c r="C57" s="138">
        <f ca="1">SUM('T06'!C52)</f>
        <v>2040</v>
      </c>
      <c r="D57" s="1142"/>
      <c r="E57" s="141">
        <f ca="1">SUM('T06'!D52)</f>
        <v>1100</v>
      </c>
      <c r="F57" s="1139"/>
    </row>
    <row r="58" spans="1:6">
      <c r="A58" s="1140" t="s">
        <v>695</v>
      </c>
      <c r="B58" s="139" t="s">
        <v>566</v>
      </c>
      <c r="C58" s="94">
        <f ca="1">SUM('T02'!F7)</f>
        <v>0</v>
      </c>
      <c r="D58" s="1141">
        <f ca="1">ROUND(ABS(C59-C58),2)</f>
        <v>0</v>
      </c>
      <c r="E58" s="140">
        <f ca="1">SUM('T02'!G7)</f>
        <v>0</v>
      </c>
      <c r="F58" s="1138">
        <f ca="1">ROUND(ABS(E59-E58),2)</f>
        <v>0</v>
      </c>
    </row>
    <row r="59" spans="1:6">
      <c r="A59" s="1140"/>
      <c r="B59" s="137" t="s">
        <v>688</v>
      </c>
      <c r="C59" s="138">
        <f ca="1">SUM('T06'!C61)</f>
        <v>0</v>
      </c>
      <c r="D59" s="1142"/>
      <c r="E59" s="141">
        <f ca="1">SUM('T06'!D61)</f>
        <v>0</v>
      </c>
      <c r="F59" s="1139"/>
    </row>
    <row r="60" spans="1:6">
      <c r="A60" s="1140" t="s">
        <v>696</v>
      </c>
      <c r="B60" s="139" t="s">
        <v>566</v>
      </c>
      <c r="C60" s="94">
        <f ca="1">SUM('T02'!F8)</f>
        <v>264857.67</v>
      </c>
      <c r="D60" s="1141">
        <f ca="1">ROUND(ABS(C61-C60),2)</f>
        <v>0</v>
      </c>
      <c r="E60" s="140">
        <f ca="1">SUM('T02'!G8)</f>
        <v>238371.9</v>
      </c>
      <c r="F60" s="1138">
        <f ca="1">ROUND(ABS(E61-E60),2)</f>
        <v>0</v>
      </c>
    </row>
    <row r="61" spans="1:6">
      <c r="A61" s="1140"/>
      <c r="B61" s="137" t="s">
        <v>688</v>
      </c>
      <c r="C61" s="138">
        <f ca="1">SUM('T06'!C69)</f>
        <v>264857.67</v>
      </c>
      <c r="D61" s="1142"/>
      <c r="E61" s="141">
        <f ca="1">SUM('T06'!D69)</f>
        <v>238371.9</v>
      </c>
      <c r="F61" s="1139"/>
    </row>
    <row r="62" spans="1:6">
      <c r="A62" s="1140" t="s">
        <v>697</v>
      </c>
      <c r="B62" s="139" t="s">
        <v>566</v>
      </c>
      <c r="C62" s="94">
        <f ca="1">SUM('T02'!F10)</f>
        <v>70000</v>
      </c>
      <c r="D62" s="1141">
        <f ca="1">ROUND(ABS(C63-C62),2)</f>
        <v>0</v>
      </c>
      <c r="E62" s="140">
        <f ca="1">SUM('T02'!G10)</f>
        <v>63000</v>
      </c>
      <c r="F62" s="1138">
        <f ca="1">ROUND(ABS(E63-E62),2)</f>
        <v>0</v>
      </c>
    </row>
    <row r="63" spans="1:6">
      <c r="A63" s="1140"/>
      <c r="B63" s="137" t="s">
        <v>688</v>
      </c>
      <c r="C63" s="138">
        <f ca="1">SUM('T06'!C74)</f>
        <v>70000</v>
      </c>
      <c r="D63" s="1142"/>
      <c r="E63" s="141">
        <f ca="1">SUM('T06'!D74)</f>
        <v>63000</v>
      </c>
      <c r="F63" s="1139"/>
    </row>
    <row r="64" spans="1:6">
      <c r="A64" s="1140" t="s">
        <v>698</v>
      </c>
      <c r="B64" s="139" t="s">
        <v>566</v>
      </c>
      <c r="C64" s="94">
        <f ca="1">SUM('T02'!F13)</f>
        <v>3.62</v>
      </c>
      <c r="D64" s="1141">
        <f ca="1">ROUND(ABS(C65-C64),2)</f>
        <v>0</v>
      </c>
      <c r="E64" s="140">
        <f ca="1">SUM('T02'!G13)</f>
        <v>3.26</v>
      </c>
      <c r="F64" s="1138">
        <f ca="1">ROUND(ABS(E65-E64),2)</f>
        <v>0</v>
      </c>
    </row>
    <row r="65" spans="1:6">
      <c r="A65" s="1140"/>
      <c r="B65" s="137" t="s">
        <v>688</v>
      </c>
      <c r="C65" s="138">
        <f ca="1">SUM('T06'!C78)</f>
        <v>3.62</v>
      </c>
      <c r="D65" s="1142"/>
      <c r="E65" s="141">
        <f ca="1">SUM('T06'!D78)</f>
        <v>3.26</v>
      </c>
      <c r="F65" s="1139"/>
    </row>
    <row r="66" spans="1:6">
      <c r="A66" s="1140" t="s">
        <v>699</v>
      </c>
      <c r="B66" s="139" t="s">
        <v>566</v>
      </c>
      <c r="C66" s="94">
        <f ca="1">SUM('T02'!F14)</f>
        <v>0</v>
      </c>
      <c r="D66" s="1141">
        <f ca="1">ROUND(ABS(C67-C66),2)</f>
        <v>0</v>
      </c>
      <c r="E66" s="140">
        <f ca="1">SUM('T02'!G14)</f>
        <v>0</v>
      </c>
      <c r="F66" s="1138">
        <f ca="1">ROUND(ABS(E67-E66),2)</f>
        <v>0</v>
      </c>
    </row>
    <row r="67" spans="1:6">
      <c r="A67" s="1140"/>
      <c r="B67" s="137" t="s">
        <v>688</v>
      </c>
      <c r="C67" s="138">
        <f ca="1">SUM('T06'!C82)</f>
        <v>0</v>
      </c>
      <c r="D67" s="1142"/>
      <c r="E67" s="141">
        <f ca="1">SUM('T06'!D82)</f>
        <v>0</v>
      </c>
      <c r="F67" s="1139"/>
    </row>
    <row r="68" spans="1:6">
      <c r="A68" s="1140" t="s">
        <v>700</v>
      </c>
      <c r="B68" s="139" t="s">
        <v>566</v>
      </c>
      <c r="C68" s="94">
        <f ca="1">SUM('T02'!F29)</f>
        <v>0</v>
      </c>
      <c r="D68" s="1141">
        <f ca="1">ROUND(ABS(C69-C68),2)</f>
        <v>0</v>
      </c>
      <c r="E68" s="140">
        <f ca="1">SUM('T02'!G29)</f>
        <v>0</v>
      </c>
      <c r="F68" s="1138">
        <f ca="1">ROUND(ABS(E69-E68),2)</f>
        <v>0</v>
      </c>
    </row>
    <row r="69" spans="1:6">
      <c r="A69" s="1140"/>
      <c r="B69" s="137" t="s">
        <v>688</v>
      </c>
      <c r="C69" s="138">
        <f ca="1">SUM('T06'!C89)</f>
        <v>0</v>
      </c>
      <c r="D69" s="1142"/>
      <c r="E69" s="141">
        <f ca="1">SUM('T06'!D89)</f>
        <v>0</v>
      </c>
      <c r="F69" s="1139"/>
    </row>
    <row r="70" spans="1:6">
      <c r="A70" s="1140" t="s">
        <v>685</v>
      </c>
      <c r="B70" s="139" t="s">
        <v>688</v>
      </c>
      <c r="C70" s="94">
        <f ca="1">SUM('T06'!C20)</f>
        <v>0</v>
      </c>
      <c r="D70" s="1141">
        <f ca="1">ROUND(ABS(C71-C70),2)</f>
        <v>0</v>
      </c>
      <c r="E70" s="142"/>
      <c r="F70" s="1154"/>
    </row>
    <row r="71" spans="1:6">
      <c r="A71" s="1140"/>
      <c r="B71" s="137" t="s">
        <v>687</v>
      </c>
      <c r="C71" s="138">
        <f ca="1">SUM('T07'!G24)</f>
        <v>0</v>
      </c>
      <c r="D71" s="1142"/>
      <c r="E71" s="143"/>
      <c r="F71" s="1154"/>
    </row>
    <row r="72" spans="1:6">
      <c r="A72" s="1140" t="s">
        <v>701</v>
      </c>
      <c r="B72" s="139" t="s">
        <v>569</v>
      </c>
      <c r="C72" s="94">
        <f ca="1">SUM('T01'!D5)</f>
        <v>4105.6000000000004</v>
      </c>
      <c r="D72" s="1141">
        <f ca="1">ROUND(ABS(C73-C72),2)</f>
        <v>0</v>
      </c>
      <c r="E72" s="142"/>
      <c r="F72" s="1154"/>
    </row>
    <row r="73" spans="1:6">
      <c r="A73" s="1140"/>
      <c r="B73" s="137" t="s">
        <v>686</v>
      </c>
      <c r="C73" s="138">
        <f ca="1">SUM('T08'!E5)</f>
        <v>4105.6000000000004</v>
      </c>
      <c r="D73" s="1142"/>
      <c r="E73" s="143"/>
      <c r="F73" s="1154"/>
    </row>
    <row r="74" spans="1:6">
      <c r="A74" s="1140" t="s">
        <v>702</v>
      </c>
      <c r="B74" s="139" t="s">
        <v>569</v>
      </c>
      <c r="C74" s="94">
        <f ca="1">SUM('T01'!D9)</f>
        <v>28250</v>
      </c>
      <c r="D74" s="1141">
        <f ca="1">ROUND(ABS(C75-C74),2)</f>
        <v>0</v>
      </c>
      <c r="E74" s="142"/>
      <c r="F74" s="1154"/>
    </row>
    <row r="75" spans="1:6">
      <c r="A75" s="1140"/>
      <c r="B75" s="137" t="s">
        <v>686</v>
      </c>
      <c r="C75" s="138">
        <f ca="1">SUM('T08'!E12)</f>
        <v>28250</v>
      </c>
      <c r="D75" s="1142"/>
      <c r="E75" s="143"/>
      <c r="F75" s="1154"/>
    </row>
    <row r="76" spans="1:6" ht="12.75" customHeight="1">
      <c r="A76" s="1140" t="s">
        <v>703</v>
      </c>
      <c r="B76" s="139" t="s">
        <v>569</v>
      </c>
      <c r="C76" s="94">
        <f ca="1">SUM('T01'!D14)</f>
        <v>325071.69999999995</v>
      </c>
      <c r="D76" s="1141">
        <f ca="1">ROUND(ABS(C77-C76),2)</f>
        <v>0</v>
      </c>
      <c r="E76" s="142"/>
      <c r="F76" s="1154"/>
    </row>
    <row r="77" spans="1:6">
      <c r="A77" s="1140"/>
      <c r="B77" s="137" t="s">
        <v>686</v>
      </c>
      <c r="C77" s="138">
        <f ca="1">SUM('T08'!E17)</f>
        <v>325071.69999999995</v>
      </c>
      <c r="D77" s="1142"/>
      <c r="E77" s="143"/>
      <c r="F77" s="1154"/>
    </row>
    <row r="78" spans="1:6">
      <c r="A78" s="1140" t="s">
        <v>704</v>
      </c>
      <c r="B78" s="139" t="s">
        <v>686</v>
      </c>
      <c r="C78" s="94">
        <f ca="1">SUM('T08'!C25)</f>
        <v>7815.4700000000012</v>
      </c>
      <c r="D78" s="1141">
        <f ca="1">ROUND(ABS(C79-C78),2)</f>
        <v>7815.47</v>
      </c>
      <c r="E78" s="142"/>
      <c r="F78" s="1154"/>
    </row>
    <row r="79" spans="1:6">
      <c r="A79" s="1140"/>
      <c r="B79" s="137" t="s">
        <v>705</v>
      </c>
      <c r="C79" s="138">
        <f ca="1">SUM('T16'!H26)</f>
        <v>0</v>
      </c>
      <c r="D79" s="1142"/>
      <c r="E79" s="143"/>
      <c r="F79" s="1154"/>
    </row>
    <row r="80" spans="1:6">
      <c r="A80" s="1140" t="s">
        <v>776</v>
      </c>
      <c r="B80" s="139" t="s">
        <v>686</v>
      </c>
      <c r="C80" s="94">
        <f ca="1">SUM('T08'!E25)</f>
        <v>357427.29999999993</v>
      </c>
      <c r="D80" s="1141">
        <f ca="1">ROUND(ABS(C81-C80),2)</f>
        <v>357427.3</v>
      </c>
      <c r="E80" s="142"/>
      <c r="F80" s="1154"/>
    </row>
    <row r="81" spans="1:6">
      <c r="A81" s="1140"/>
      <c r="B81" s="137" t="s">
        <v>705</v>
      </c>
      <c r="C81" s="138">
        <f ca="1">SUM('T16'!I26)</f>
        <v>0</v>
      </c>
      <c r="D81" s="1142"/>
      <c r="E81" s="143"/>
      <c r="F81" s="1154"/>
    </row>
    <row r="82" spans="1:6">
      <c r="A82" s="1140" t="s">
        <v>778</v>
      </c>
      <c r="B82" s="139" t="s">
        <v>569</v>
      </c>
      <c r="C82" s="94">
        <f ca="1">SUM('T01'!D31)</f>
        <v>0</v>
      </c>
      <c r="D82" s="1141">
        <f ca="1">ROUND(ABS(C83-C82),2)</f>
        <v>0</v>
      </c>
      <c r="E82" s="142"/>
      <c r="F82" s="1154"/>
    </row>
    <row r="83" spans="1:6">
      <c r="A83" s="1140"/>
      <c r="B83" s="137" t="s">
        <v>725</v>
      </c>
      <c r="C83" s="138">
        <f ca="1">SUM('T09'!I10)</f>
        <v>0</v>
      </c>
      <c r="D83" s="1142"/>
      <c r="E83" s="143"/>
      <c r="F83" s="1154"/>
    </row>
    <row r="84" spans="1:6">
      <c r="A84" s="1140" t="s">
        <v>779</v>
      </c>
      <c r="B84" s="139" t="s">
        <v>569</v>
      </c>
      <c r="C84" s="94">
        <f ca="1">SUM('T01'!D37)</f>
        <v>0</v>
      </c>
      <c r="D84" s="1141">
        <f ca="1">ROUND(ABS(C85-C84),2)</f>
        <v>0</v>
      </c>
      <c r="E84" s="142"/>
      <c r="F84" s="1154"/>
    </row>
    <row r="85" spans="1:6">
      <c r="A85" s="1140"/>
      <c r="B85" s="137" t="s">
        <v>725</v>
      </c>
      <c r="C85" s="138">
        <f ca="1">SUM('T09'!I11)</f>
        <v>0</v>
      </c>
      <c r="D85" s="1142"/>
      <c r="E85" s="143"/>
      <c r="F85" s="1154"/>
    </row>
    <row r="86" spans="1:6">
      <c r="A86" s="1140" t="s">
        <v>780</v>
      </c>
      <c r="B86" s="139" t="s">
        <v>569</v>
      </c>
      <c r="C86" s="94">
        <f ca="1">SUM('T01'!D45)</f>
        <v>0</v>
      </c>
      <c r="D86" s="1141">
        <f ca="1">ROUND(ABS(C87-C86),2)</f>
        <v>0</v>
      </c>
      <c r="E86" s="142"/>
      <c r="F86" s="1154"/>
    </row>
    <row r="87" spans="1:6">
      <c r="A87" s="1140"/>
      <c r="B87" s="137" t="s">
        <v>725</v>
      </c>
      <c r="C87" s="138">
        <f ca="1">SUM('T09'!I12)</f>
        <v>0</v>
      </c>
      <c r="D87" s="1142"/>
      <c r="E87" s="143"/>
      <c r="F87" s="1154"/>
    </row>
    <row r="88" spans="1:6">
      <c r="A88" s="1140" t="s">
        <v>781</v>
      </c>
      <c r="B88" s="139" t="s">
        <v>569</v>
      </c>
      <c r="C88" s="94">
        <f ca="1">SUM('T01'!D48)</f>
        <v>0</v>
      </c>
      <c r="D88" s="1141">
        <f ca="1">ROUND(ABS(C89-C88),2)</f>
        <v>0</v>
      </c>
      <c r="E88" s="142"/>
      <c r="F88" s="1154"/>
    </row>
    <row r="89" spans="1:6">
      <c r="A89" s="1140"/>
      <c r="B89" s="137" t="s">
        <v>725</v>
      </c>
      <c r="C89" s="138">
        <f ca="1">SUM('T09'!I14)</f>
        <v>0</v>
      </c>
      <c r="D89" s="1142"/>
      <c r="E89" s="143"/>
      <c r="F89" s="1154"/>
    </row>
    <row r="90" spans="1:6">
      <c r="A90" s="1140" t="s">
        <v>726</v>
      </c>
      <c r="B90" s="139" t="s">
        <v>727</v>
      </c>
      <c r="C90" s="94">
        <f ca="1">SUM('T06'!C80)</f>
        <v>0</v>
      </c>
      <c r="D90" s="1141">
        <f ca="1">ROUND(ABS(C91-C90),2)</f>
        <v>0</v>
      </c>
      <c r="E90" s="142"/>
      <c r="F90" s="1154"/>
    </row>
    <row r="91" spans="1:6">
      <c r="A91" s="1140"/>
      <c r="B91" s="137" t="s">
        <v>725</v>
      </c>
      <c r="C91" s="138">
        <f ca="1">SUM('T09'!F16)</f>
        <v>0</v>
      </c>
      <c r="D91" s="1142"/>
      <c r="E91" s="143"/>
      <c r="F91" s="1154"/>
    </row>
    <row r="92" spans="1:6">
      <c r="A92" s="1140" t="s">
        <v>731</v>
      </c>
      <c r="B92" s="139" t="s">
        <v>570</v>
      </c>
      <c r="C92" s="94">
        <f>SUM('T04'!F25)</f>
        <v>0</v>
      </c>
      <c r="D92" s="1141">
        <f ca="1">ROUND(ABS(C93-C92),2)</f>
        <v>0</v>
      </c>
      <c r="E92" s="142"/>
      <c r="F92" s="1154"/>
    </row>
    <row r="93" spans="1:6">
      <c r="A93" s="1140"/>
      <c r="B93" s="137" t="s">
        <v>728</v>
      </c>
      <c r="C93" s="138">
        <f ca="1">SUM('T10'!C22)</f>
        <v>0</v>
      </c>
      <c r="D93" s="1142"/>
      <c r="E93" s="143"/>
      <c r="F93" s="1154"/>
    </row>
    <row r="94" spans="1:6">
      <c r="A94" s="1140" t="s">
        <v>730</v>
      </c>
      <c r="B94" s="139" t="s">
        <v>732</v>
      </c>
      <c r="C94" s="94">
        <f ca="1">SUM('T10'!C22)-SUM('T10'!D22)</f>
        <v>0</v>
      </c>
      <c r="D94" s="1141">
        <f ca="1">ROUND(ABS(C95-C94),2)</f>
        <v>0</v>
      </c>
      <c r="E94" s="142"/>
      <c r="F94" s="1154"/>
    </row>
    <row r="95" spans="1:6">
      <c r="A95" s="1140"/>
      <c r="B95" s="137" t="s">
        <v>733</v>
      </c>
      <c r="C95" s="138">
        <f ca="1">SUM('T10'!E22)</f>
        <v>0</v>
      </c>
      <c r="D95" s="1142"/>
      <c r="E95" s="143"/>
      <c r="F95" s="1154"/>
    </row>
    <row r="96" spans="1:6">
      <c r="A96" s="1140" t="s">
        <v>730</v>
      </c>
      <c r="B96" s="139" t="s">
        <v>566</v>
      </c>
      <c r="C96" s="94">
        <f ca="1">SUM('T02'!F56)</f>
        <v>0</v>
      </c>
      <c r="D96" s="1141">
        <f ca="1">ROUND(ABS(C97-C96),2)</f>
        <v>0</v>
      </c>
      <c r="E96" s="142"/>
      <c r="F96" s="1154"/>
    </row>
    <row r="97" spans="1:6">
      <c r="A97" s="1140"/>
      <c r="B97" s="137" t="s">
        <v>728</v>
      </c>
      <c r="C97" s="138">
        <f ca="1">SUM('T10'!E22)</f>
        <v>0</v>
      </c>
      <c r="D97" s="1142"/>
      <c r="E97" s="143"/>
      <c r="F97" s="1154"/>
    </row>
    <row r="98" spans="1:6">
      <c r="A98" s="1140" t="s">
        <v>729</v>
      </c>
      <c r="B98" s="139" t="s">
        <v>566</v>
      </c>
      <c r="C98" s="94">
        <f ca="1">SUM('T02'!F49)</f>
        <v>0</v>
      </c>
      <c r="D98" s="1141">
        <f ca="1">ROUND(ABS(C99-C98),2)</f>
        <v>0</v>
      </c>
      <c r="E98" s="142"/>
      <c r="F98" s="1154"/>
    </row>
    <row r="99" spans="1:6">
      <c r="A99" s="1140"/>
      <c r="B99" s="137" t="s">
        <v>728</v>
      </c>
      <c r="C99" s="138">
        <f ca="1">SUM('T10'!F22)</f>
        <v>0</v>
      </c>
      <c r="D99" s="1142"/>
      <c r="E99" s="143"/>
      <c r="F99" s="1154"/>
    </row>
    <row r="100" spans="1:6">
      <c r="A100" s="1156" t="s">
        <v>734</v>
      </c>
      <c r="B100" s="139" t="s">
        <v>735</v>
      </c>
      <c r="C100" s="94">
        <f ca="1">SUM('T10'!F22)-SUM('T10'!E22)</f>
        <v>0</v>
      </c>
      <c r="D100" s="1141">
        <f ca="1">ROUND(ABS(C101-C100),2)</f>
        <v>0</v>
      </c>
      <c r="E100" s="142"/>
      <c r="F100" s="1154"/>
    </row>
    <row r="101" spans="1:6">
      <c r="A101" s="1140"/>
      <c r="B101" s="137" t="s">
        <v>736</v>
      </c>
      <c r="C101" s="138">
        <f ca="1">ABS(SUM('T10'!G22))-ABS(SUM('T10'!H22))</f>
        <v>0</v>
      </c>
      <c r="D101" s="1142"/>
      <c r="E101" s="143"/>
      <c r="F101" s="1154"/>
    </row>
    <row r="102" spans="1:6">
      <c r="A102" s="1140" t="s">
        <v>122</v>
      </c>
      <c r="B102" s="139" t="s">
        <v>569</v>
      </c>
      <c r="C102" s="94">
        <f ca="1">SUM('T01'!E25)</f>
        <v>0</v>
      </c>
      <c r="D102" s="1141">
        <f ca="1">ROUND(ABS(C103-C102),2)</f>
        <v>0</v>
      </c>
      <c r="E102" s="142"/>
      <c r="F102" s="1154"/>
    </row>
    <row r="103" spans="1:6">
      <c r="A103" s="1140"/>
      <c r="B103" s="137" t="s">
        <v>737</v>
      </c>
      <c r="C103" s="138">
        <f ca="1">SUM('T11'!G20)</f>
        <v>0</v>
      </c>
      <c r="D103" s="1142"/>
      <c r="E103" s="143"/>
      <c r="F103" s="1154"/>
    </row>
    <row r="104" spans="1:6">
      <c r="A104" s="1155" t="s">
        <v>1213</v>
      </c>
      <c r="B104" s="689" t="s">
        <v>1214</v>
      </c>
      <c r="C104" s="686">
        <f ca="1">SUM('T12'!E6)</f>
        <v>17274.63</v>
      </c>
      <c r="D104" s="1141">
        <f ca="1">ROUND(ABS(C105-C104),2)</f>
        <v>0</v>
      </c>
      <c r="E104" s="690">
        <f ca="1">SUM('T12'!B6)</f>
        <v>15547.169999999998</v>
      </c>
      <c r="F104" s="1138">
        <f ca="1">ROUND(ABS(E105-E104),2)</f>
        <v>0</v>
      </c>
    </row>
    <row r="105" spans="1:6">
      <c r="A105" s="1155"/>
      <c r="B105" s="687" t="s">
        <v>1215</v>
      </c>
      <c r="C105" s="688">
        <f ca="1">SUM('T12'!E7:E8)</f>
        <v>17274.63</v>
      </c>
      <c r="D105" s="1142"/>
      <c r="E105" s="691">
        <f ca="1">SUM('T12'!B7:B8)</f>
        <v>15547.169999999998</v>
      </c>
      <c r="F105" s="1139"/>
    </row>
    <row r="106" spans="1:6">
      <c r="A106" s="1140" t="s">
        <v>758</v>
      </c>
      <c r="B106" s="139" t="s">
        <v>760</v>
      </c>
      <c r="C106" s="94">
        <f ca="1">SUM('T13'!I3)</f>
        <v>200000</v>
      </c>
      <c r="D106" s="1141">
        <f ca="1">ROUND(ABS(C107-C106),2)</f>
        <v>200000</v>
      </c>
      <c r="E106" s="142"/>
      <c r="F106" s="1154"/>
    </row>
    <row r="107" spans="1:6">
      <c r="A107" s="1140"/>
      <c r="B107" s="137" t="s">
        <v>761</v>
      </c>
      <c r="C107" s="138">
        <f ca="1">SUM('T13'!J24)</f>
        <v>0</v>
      </c>
      <c r="D107" s="1142"/>
      <c r="E107" s="143"/>
      <c r="F107" s="1154"/>
    </row>
    <row r="108" spans="1:6">
      <c r="A108" s="1140" t="s">
        <v>758</v>
      </c>
      <c r="B108" s="139" t="s">
        <v>565</v>
      </c>
      <c r="C108" s="94">
        <f ca="1">SUM('T01'!D59)</f>
        <v>200000</v>
      </c>
      <c r="D108" s="1141">
        <f ca="1">ROUND(ABS(C109-C108),2)</f>
        <v>0</v>
      </c>
      <c r="E108" s="142"/>
      <c r="F108" s="1154"/>
    </row>
    <row r="109" spans="1:6">
      <c r="A109" s="1140"/>
      <c r="B109" s="137" t="s">
        <v>759</v>
      </c>
      <c r="C109" s="138">
        <f ca="1">SUM('T13'!I3)</f>
        <v>200000</v>
      </c>
      <c r="D109" s="1142"/>
      <c r="E109" s="143"/>
      <c r="F109" s="1154"/>
    </row>
    <row r="110" spans="1:6">
      <c r="A110" s="1151" t="s">
        <v>762</v>
      </c>
      <c r="B110" s="139" t="s">
        <v>763</v>
      </c>
      <c r="C110" s="94">
        <f>SUM('T14'!B11)</f>
        <v>0</v>
      </c>
      <c r="D110" s="1141">
        <f>ROUND(ABS(C111-C110),2)</f>
        <v>0</v>
      </c>
      <c r="E110" s="142"/>
      <c r="F110" s="1154"/>
    </row>
    <row r="111" spans="1:6">
      <c r="A111" s="1152"/>
      <c r="B111" s="137" t="s">
        <v>764</v>
      </c>
      <c r="C111" s="138">
        <f>SUM('T14'!D11)</f>
        <v>0</v>
      </c>
      <c r="D111" s="1142"/>
      <c r="E111" s="143"/>
      <c r="F111" s="1154"/>
    </row>
    <row r="112" spans="1:6">
      <c r="A112" s="1151" t="s">
        <v>766</v>
      </c>
      <c r="B112" s="139" t="s">
        <v>765</v>
      </c>
      <c r="C112" s="604">
        <f>IFERROR(YEAR(DATEVALUE(TRIM((SUBSTITUTE(MID('T14'!A5,FIND("/",'T14'!A5)-2,10),")",""))))),0)</f>
        <v>0</v>
      </c>
      <c r="D112" s="1141">
        <f>IF(CADRE_NEANT_T14_OPTION=TRUE,0,IF(COUNT('T14'!B4:B10,'T14'!D4:D10)&gt;0,ROUND(ABS(C113-C112),2),0))</f>
        <v>0</v>
      </c>
      <c r="E112" s="142"/>
      <c r="F112" s="1154"/>
    </row>
    <row r="113" spans="1:6">
      <c r="A113" s="1152"/>
      <c r="B113" s="137" t="s">
        <v>767</v>
      </c>
      <c r="C113" s="605">
        <f>IF(ISBLANK(PagePrincipale!$F$17),0,YEAR(PagePrincipale!$F$17))</f>
        <v>2017</v>
      </c>
      <c r="D113" s="1142"/>
      <c r="E113" s="143"/>
      <c r="F113" s="1154"/>
    </row>
    <row r="114" spans="1:6">
      <c r="A114" s="1151" t="s">
        <v>1414</v>
      </c>
      <c r="B114" s="139" t="s">
        <v>768</v>
      </c>
      <c r="C114" s="94">
        <f ca="1">SUM('T16'!G3)</f>
        <v>0</v>
      </c>
      <c r="D114" s="1141">
        <f ca="1">ROUND(ABS(C115-C114),2)</f>
        <v>0</v>
      </c>
      <c r="E114" s="142"/>
      <c r="F114" s="1154"/>
    </row>
    <row r="115" spans="1:6">
      <c r="A115" s="1152"/>
      <c r="B115" s="137" t="s">
        <v>1414</v>
      </c>
      <c r="C115" s="138">
        <f ca="1">SUM('T16'!H26)</f>
        <v>0</v>
      </c>
      <c r="D115" s="1142"/>
      <c r="E115" s="143"/>
      <c r="F115" s="1154"/>
    </row>
    <row r="116" spans="1:6">
      <c r="A116" s="1151" t="s">
        <v>769</v>
      </c>
      <c r="B116" s="139" t="s">
        <v>570</v>
      </c>
      <c r="C116" s="94">
        <f ca="1">SUM('T04'!I25)</f>
        <v>367993.01</v>
      </c>
      <c r="D116" s="1141">
        <f ca="1">ROUND(ABS(C117-C116),2)</f>
        <v>367993.01</v>
      </c>
      <c r="E116" s="142"/>
      <c r="F116" s="1154"/>
    </row>
    <row r="117" spans="1:6">
      <c r="A117" s="1152"/>
      <c r="B117" s="137" t="s">
        <v>705</v>
      </c>
      <c r="C117" s="138">
        <f ca="1">SUM('T16'!C26)</f>
        <v>0</v>
      </c>
      <c r="D117" s="1142"/>
      <c r="E117" s="143"/>
      <c r="F117" s="1154"/>
    </row>
    <row r="118" spans="1:6">
      <c r="A118" s="1151" t="s">
        <v>770</v>
      </c>
      <c r="B118" s="139" t="s">
        <v>688</v>
      </c>
      <c r="C118" s="94">
        <f ca="1">SUM('T06'!C19)</f>
        <v>52800</v>
      </c>
      <c r="D118" s="1141">
        <f ca="1">ROUND(ABS(C119-C118),2)</f>
        <v>52800</v>
      </c>
      <c r="E118" s="142"/>
      <c r="F118" s="1154"/>
    </row>
    <row r="119" spans="1:6">
      <c r="A119" s="1152"/>
      <c r="B119" s="137" t="s">
        <v>771</v>
      </c>
      <c r="C119" s="138">
        <f ca="1">SUM('T19'!K24)</f>
        <v>0</v>
      </c>
      <c r="D119" s="1142"/>
      <c r="E119" s="143"/>
      <c r="F119" s="1154"/>
    </row>
    <row r="120" spans="1:6">
      <c r="A120" s="1151" t="s">
        <v>1223</v>
      </c>
      <c r="B120" s="139" t="s">
        <v>569</v>
      </c>
      <c r="C120" s="94">
        <f ca="1">SUM('T01'!C32,'T01'!C33)</f>
        <v>0</v>
      </c>
      <c r="D120" s="1141">
        <f ca="1">ROUND(ABS(C121-C120),2)</f>
        <v>0</v>
      </c>
      <c r="E120" s="142"/>
      <c r="F120" s="1154"/>
    </row>
    <row r="121" spans="1:6">
      <c r="A121" s="1152"/>
      <c r="B121" s="137" t="s">
        <v>777</v>
      </c>
      <c r="C121" s="138">
        <f ca="1">SUM('T20'!B18)</f>
        <v>0</v>
      </c>
      <c r="D121" s="1142"/>
      <c r="E121" s="143"/>
      <c r="F121" s="1154"/>
    </row>
    <row r="122" spans="1:6">
      <c r="A122" s="1151" t="s">
        <v>1224</v>
      </c>
      <c r="B122" s="139" t="s">
        <v>569</v>
      </c>
      <c r="C122" s="94">
        <f ca="1">SUM('T01'!C34,'T01'!C35,'T01'!C36)</f>
        <v>471035.17</v>
      </c>
      <c r="D122" s="1141">
        <f ca="1">ROUND(ABS(C123-C122),2)</f>
        <v>0</v>
      </c>
      <c r="E122" s="142"/>
      <c r="F122" s="1154"/>
    </row>
    <row r="123" spans="1:6">
      <c r="A123" s="1152"/>
      <c r="B123" s="137" t="s">
        <v>777</v>
      </c>
      <c r="C123" s="138">
        <f ca="1">SUM('T20'!B24,'T20'!B28,'T20'!B33)</f>
        <v>471035.17</v>
      </c>
      <c r="D123" s="1142"/>
      <c r="E123" s="143"/>
      <c r="F123" s="1154"/>
    </row>
    <row r="124" spans="1:6">
      <c r="A124" s="1140" t="s">
        <v>1229</v>
      </c>
      <c r="B124" s="139" t="s">
        <v>569</v>
      </c>
      <c r="C124" s="94">
        <f ca="1">SUM('T01'!D32,'T01'!D33)</f>
        <v>0</v>
      </c>
      <c r="D124" s="1141">
        <f ca="1">ROUND(ABS(C125-C124),2)</f>
        <v>0</v>
      </c>
      <c r="E124" s="142"/>
      <c r="F124" s="1154"/>
    </row>
    <row r="125" spans="1:6">
      <c r="A125" s="1140"/>
      <c r="B125" s="137" t="s">
        <v>777</v>
      </c>
      <c r="C125" s="138">
        <f ca="1">SUM('T20'!C18)</f>
        <v>0</v>
      </c>
      <c r="D125" s="1142"/>
      <c r="E125" s="143"/>
      <c r="F125" s="1154"/>
    </row>
    <row r="126" spans="1:6">
      <c r="A126" s="1140" t="s">
        <v>1230</v>
      </c>
      <c r="B126" s="139" t="s">
        <v>569</v>
      </c>
      <c r="C126" s="94">
        <f ca="1">SUM('T01'!D34,'T01'!D35,'T01'!D36)</f>
        <v>0</v>
      </c>
      <c r="D126" s="1141">
        <f ca="1">ROUND(ABS(C127-C126),2)</f>
        <v>0</v>
      </c>
      <c r="E126" s="142"/>
      <c r="F126" s="1154"/>
    </row>
    <row r="127" spans="1:6">
      <c r="A127" s="1140"/>
      <c r="B127" s="137" t="s">
        <v>777</v>
      </c>
      <c r="C127" s="138">
        <f ca="1">SUM('T20'!C24,'T20'!C28,'T20'!C33)</f>
        <v>0</v>
      </c>
      <c r="D127" s="1142"/>
      <c r="E127" s="143"/>
      <c r="F127" s="1154"/>
    </row>
    <row r="128" spans="1:6">
      <c r="A128" s="1140" t="s">
        <v>1225</v>
      </c>
      <c r="B128" s="139" t="s">
        <v>569</v>
      </c>
      <c r="C128" s="94">
        <f ca="1">SUM('T01'!E32,'T01'!E33)</f>
        <v>0</v>
      </c>
      <c r="D128" s="1141">
        <f ca="1">ROUND(ABS(C129-C128),2)</f>
        <v>0</v>
      </c>
      <c r="E128" s="140">
        <f ca="1">SUM('T01'!F32,'T01'!F33)</f>
        <v>0</v>
      </c>
      <c r="F128" s="1138">
        <f ca="1">ROUND(ABS(E129-E128),2)</f>
        <v>0</v>
      </c>
    </row>
    <row r="129" spans="1:6">
      <c r="A129" s="1140"/>
      <c r="B129" s="137" t="s">
        <v>777</v>
      </c>
      <c r="C129" s="138">
        <f ca="1">SUM('T20'!D18)</f>
        <v>0</v>
      </c>
      <c r="D129" s="1142"/>
      <c r="E129" s="141">
        <f ca="1">SUM('T20'!G18)</f>
        <v>0</v>
      </c>
      <c r="F129" s="1139"/>
    </row>
    <row r="130" spans="1:6">
      <c r="A130" s="1140" t="s">
        <v>1226</v>
      </c>
      <c r="B130" s="139" t="s">
        <v>569</v>
      </c>
      <c r="C130" s="94">
        <f ca="1">SUM('T01'!E34,'T01'!E35,'T01'!E36)</f>
        <v>471035.17</v>
      </c>
      <c r="D130" s="1141">
        <f ca="1">ROUND(ABS(C131-C130),2)</f>
        <v>0</v>
      </c>
      <c r="E130" s="140">
        <f ca="1">SUM('T01'!F34,'T01'!F35,'T01'!F36)</f>
        <v>401035.17</v>
      </c>
      <c r="F130" s="1138">
        <f ca="1">ROUND(ABS(E131-E130),2)</f>
        <v>0</v>
      </c>
    </row>
    <row r="131" spans="1:6">
      <c r="A131" s="1140"/>
      <c r="B131" s="137" t="s">
        <v>777</v>
      </c>
      <c r="C131" s="138">
        <f ca="1">SUM('T20'!D24,'T20'!D28,'T20'!D33)</f>
        <v>471035.17</v>
      </c>
      <c r="D131" s="1142"/>
      <c r="E131" s="141">
        <f ca="1">SUM('T20'!G24,'T20'!G28,'T20'!G33)</f>
        <v>401035.17</v>
      </c>
      <c r="F131" s="1139"/>
    </row>
    <row r="132" spans="1:6">
      <c r="A132" s="1140" t="s">
        <v>1227</v>
      </c>
      <c r="B132" s="139" t="s">
        <v>688</v>
      </c>
      <c r="C132" s="94">
        <f ca="1">SUM('T06'!C7,'T06'!C11,'T06'!C13)</f>
        <v>0</v>
      </c>
      <c r="D132" s="1141">
        <f t="shared" ref="D132" ca="1" si="2">ROUND(ABS(C133-C132),2)</f>
        <v>0</v>
      </c>
      <c r="E132" s="142"/>
      <c r="F132" s="1154"/>
    </row>
    <row r="133" spans="1:6">
      <c r="A133" s="1140"/>
      <c r="B133" s="137" t="s">
        <v>777</v>
      </c>
      <c r="C133" s="138">
        <f ca="1">-SUM('T20'!H18)</f>
        <v>0</v>
      </c>
      <c r="D133" s="1142"/>
      <c r="E133" s="143"/>
      <c r="F133" s="1154"/>
    </row>
    <row r="134" spans="1:6">
      <c r="A134" s="1140" t="s">
        <v>1228</v>
      </c>
      <c r="B134" s="139" t="s">
        <v>688</v>
      </c>
      <c r="C134" s="94">
        <f ca="1">SUM('T06'!C74)</f>
        <v>70000</v>
      </c>
      <c r="D134" s="1141">
        <f t="shared" ref="D134:D138" ca="1" si="3">ROUND(ABS(C135-C134),2)</f>
        <v>0</v>
      </c>
      <c r="E134" s="142"/>
      <c r="F134" s="1154"/>
    </row>
    <row r="135" spans="1:6">
      <c r="A135" s="1140"/>
      <c r="B135" s="137" t="s">
        <v>777</v>
      </c>
      <c r="C135" s="138">
        <f ca="1">SUM('T20'!H24,'T20'!H28,'T20'!H33)</f>
        <v>70000</v>
      </c>
      <c r="D135" s="1142"/>
      <c r="E135" s="143"/>
      <c r="F135" s="1154"/>
    </row>
    <row r="136" spans="1:6">
      <c r="A136" s="1140" t="s">
        <v>1398</v>
      </c>
      <c r="B136" s="139" t="s">
        <v>565</v>
      </c>
      <c r="C136" s="94">
        <f ca="1">SUM('T01'!D83)</f>
        <v>-114310.29999999999</v>
      </c>
      <c r="D136" s="1141">
        <f t="shared" ca="1" si="3"/>
        <v>0</v>
      </c>
      <c r="E136" s="140">
        <f ca="1">SUM('T01'!E83)</f>
        <v>-104158.41999999993</v>
      </c>
      <c r="F136" s="1138">
        <f ca="1">ROUND(ABS(E137-E136),2)</f>
        <v>0</v>
      </c>
    </row>
    <row r="137" spans="1:6">
      <c r="A137" s="1140"/>
      <c r="B137" s="137" t="s">
        <v>1397</v>
      </c>
      <c r="C137" s="138">
        <f ca="1">SUM('T22'!C8)</f>
        <v>-114310.29999999999</v>
      </c>
      <c r="D137" s="1142"/>
      <c r="E137" s="141">
        <f ca="1">SUM('T22'!D8)</f>
        <v>-104158.41999999993</v>
      </c>
      <c r="F137" s="1139"/>
    </row>
    <row r="138" spans="1:6">
      <c r="A138" s="1140" t="s">
        <v>1399</v>
      </c>
      <c r="B138" s="139" t="s">
        <v>565</v>
      </c>
      <c r="C138" s="94">
        <f ca="1">SUM('T01'!D95)</f>
        <v>1322311.44</v>
      </c>
      <c r="D138" s="1141">
        <f t="shared" ca="1" si="3"/>
        <v>0</v>
      </c>
      <c r="E138" s="140">
        <f ca="1">SUM('T01'!E95)</f>
        <v>1172335.01</v>
      </c>
      <c r="F138" s="1138">
        <f ca="1">ROUND(ABS(E139-E138),2)</f>
        <v>0</v>
      </c>
    </row>
    <row r="139" spans="1:6">
      <c r="A139" s="1140"/>
      <c r="B139" s="137" t="s">
        <v>1397</v>
      </c>
      <c r="C139" s="138">
        <f ca="1">SUM('T22'!C12)</f>
        <v>1322311.44</v>
      </c>
      <c r="D139" s="1142"/>
      <c r="E139" s="141">
        <f ca="1">SUM('T22'!D12)</f>
        <v>1172335.01</v>
      </c>
      <c r="F139" s="1139"/>
    </row>
    <row r="140" spans="1:6">
      <c r="A140" s="1140" t="s">
        <v>1400</v>
      </c>
      <c r="B140" s="139" t="s">
        <v>569</v>
      </c>
      <c r="C140" s="94">
        <f ca="1">SUM('T01'!E30)</f>
        <v>10565.710000000014</v>
      </c>
      <c r="D140" s="1141">
        <f t="shared" ref="D140" ca="1" si="4">ROUND(ABS(C141-C140),2)</f>
        <v>0</v>
      </c>
      <c r="E140" s="140">
        <f ca="1">SUM('T01'!F30)</f>
        <v>13381.180000000015</v>
      </c>
      <c r="F140" s="1138">
        <f ca="1">ROUND(ABS(E141-E140),2)</f>
        <v>0</v>
      </c>
    </row>
    <row r="141" spans="1:6">
      <c r="A141" s="1140"/>
      <c r="B141" s="137" t="s">
        <v>1397</v>
      </c>
      <c r="C141" s="138">
        <f ca="1">SUM('T22'!C9)</f>
        <v>10565.710000000014</v>
      </c>
      <c r="D141" s="1142"/>
      <c r="E141" s="141">
        <f ca="1">SUM('T22'!D9)</f>
        <v>13381.180000000015</v>
      </c>
      <c r="F141" s="1139"/>
    </row>
    <row r="142" spans="1:6">
      <c r="A142" s="1140" t="s">
        <v>1401</v>
      </c>
      <c r="B142" s="139" t="s">
        <v>569</v>
      </c>
      <c r="C142" s="94">
        <f ca="1">SUM('T01'!E47)</f>
        <v>1186040.6299999999</v>
      </c>
      <c r="D142" s="1141">
        <f t="shared" ref="D142" ca="1" si="5">ROUND(ABS(C143-C142),2)</f>
        <v>0</v>
      </c>
      <c r="E142" s="140">
        <f ca="1">SUM('T01'!F47)</f>
        <v>1044540.0900000001</v>
      </c>
      <c r="F142" s="1138">
        <f ca="1">ROUND(ABS(E143-E142),2)</f>
        <v>0</v>
      </c>
    </row>
    <row r="143" spans="1:6">
      <c r="A143" s="1140"/>
      <c r="B143" s="137" t="s">
        <v>1397</v>
      </c>
      <c r="C143" s="138">
        <f ca="1">SUM('T22'!C11)</f>
        <v>1186040.6299999999</v>
      </c>
      <c r="D143" s="1142"/>
      <c r="E143" s="141">
        <f ca="1">SUM('T22'!D11)</f>
        <v>1044540.0900000001</v>
      </c>
      <c r="F143" s="1139"/>
    </row>
    <row r="144" spans="1:6">
      <c r="A144" s="1140" t="s">
        <v>1402</v>
      </c>
      <c r="B144" s="139" t="s">
        <v>1403</v>
      </c>
      <c r="C144" s="94">
        <f ca="1">SUM('T01'!E52)-SUM('T01'!D100)</f>
        <v>11394.8</v>
      </c>
      <c r="D144" s="1141">
        <f t="shared" ref="D144" ca="1" si="6">ROUND(ABS(C145-C144),2)</f>
        <v>0</v>
      </c>
      <c r="E144" s="140">
        <f ca="1">SUM('T01'!F52)-SUM('T01'!E100)</f>
        <v>10255.32</v>
      </c>
      <c r="F144" s="1138">
        <f ca="1">ROUND(ABS(E145-E144),2)</f>
        <v>0</v>
      </c>
    </row>
    <row r="145" spans="1:6">
      <c r="A145" s="1140"/>
      <c r="B145" s="137" t="s">
        <v>1397</v>
      </c>
      <c r="C145" s="138">
        <f ca="1">SUM('T22'!C14)</f>
        <v>11394.800000000047</v>
      </c>
      <c r="D145" s="1142"/>
      <c r="E145" s="141">
        <f ca="1">SUM('T22'!D14)</f>
        <v>10255.319999999978</v>
      </c>
      <c r="F145" s="1139"/>
    </row>
    <row r="146" spans="1:6">
      <c r="A146" s="1140" t="s">
        <v>1404</v>
      </c>
      <c r="B146" s="139" t="s">
        <v>572</v>
      </c>
      <c r="C146" s="94">
        <f ca="1">SUM('T05'!E44)</f>
        <v>5149.8499999999894</v>
      </c>
      <c r="D146" s="1141">
        <f t="shared" ref="D146" ca="1" si="7">ROUND(ABS(C147-C146),2)</f>
        <v>0</v>
      </c>
      <c r="E146" s="140">
        <f ca="1">SUM('T05'!F44)</f>
        <v>14286.260000000017</v>
      </c>
      <c r="F146" s="1138">
        <f ca="1">ROUND(ABS(E147-E146),2)</f>
        <v>0</v>
      </c>
    </row>
    <row r="147" spans="1:6">
      <c r="A147" s="1140"/>
      <c r="B147" s="137" t="s">
        <v>1397</v>
      </c>
      <c r="C147" s="138">
        <f ca="1">SUM('T22'!D21)-SUM('T22'!C21)</f>
        <v>5149.8499999999894</v>
      </c>
      <c r="D147" s="1142"/>
      <c r="E147" s="141">
        <f ca="1">SUM('T22'!F21)-SUM('T22'!E21)</f>
        <v>14286.260000000017</v>
      </c>
      <c r="F147" s="1139"/>
    </row>
    <row r="148" spans="1:6">
      <c r="A148" s="1140" t="s">
        <v>1405</v>
      </c>
      <c r="B148" s="139" t="s">
        <v>572</v>
      </c>
      <c r="C148" s="94">
        <f>SUM('T05'!E45)</f>
        <v>0</v>
      </c>
      <c r="D148" s="1141">
        <f t="shared" ref="D148" si="8">ROUND(ABS(C149-C148),2)</f>
        <v>0</v>
      </c>
      <c r="E148" s="140">
        <f>SUM('T05'!F45)</f>
        <v>0</v>
      </c>
      <c r="F148" s="1138">
        <f>ROUND(ABS(E149-E148),2)</f>
        <v>0</v>
      </c>
    </row>
    <row r="149" spans="1:6">
      <c r="A149" s="1140"/>
      <c r="B149" s="137" t="s">
        <v>1397</v>
      </c>
      <c r="C149" s="138">
        <f>SUM('T05'!E45)</f>
        <v>0</v>
      </c>
      <c r="D149" s="1142"/>
      <c r="E149" s="141">
        <f>SUM('T05'!F45)</f>
        <v>0</v>
      </c>
      <c r="F149" s="1139"/>
    </row>
    <row r="150" spans="1:6">
      <c r="A150" s="1140" t="s">
        <v>1406</v>
      </c>
      <c r="B150" s="139" t="s">
        <v>572</v>
      </c>
      <c r="C150" s="94">
        <f ca="1">SUM('T05'!E46)</f>
        <v>5149.8499999999894</v>
      </c>
      <c r="D150" s="1141">
        <f t="shared" ref="D150" ca="1" si="9">ROUND(ABS(C151-C150),2)</f>
        <v>0</v>
      </c>
      <c r="E150" s="140">
        <f ca="1">SUM('T05'!F46)</f>
        <v>14286.260000000017</v>
      </c>
      <c r="F150" s="1138">
        <f ca="1">ROUND(ABS(E151-E150),2)</f>
        <v>0</v>
      </c>
    </row>
    <row r="151" spans="1:6">
      <c r="A151" s="1140"/>
      <c r="B151" s="137" t="s">
        <v>1397</v>
      </c>
      <c r="C151" s="138">
        <f ca="1">SUM('T05'!E46)</f>
        <v>5149.8499999999894</v>
      </c>
      <c r="D151" s="1142"/>
      <c r="E151" s="141">
        <f ca="1">SUM('T05'!F46)</f>
        <v>14286.260000000017</v>
      </c>
      <c r="F151" s="1139"/>
    </row>
    <row r="152" spans="1:6">
      <c r="A152" s="1140" t="s">
        <v>1407</v>
      </c>
      <c r="B152" s="139" t="s">
        <v>1408</v>
      </c>
      <c r="C152" s="94">
        <f ca="1">SUM('T22'!C48)</f>
        <v>6139.4800000000687</v>
      </c>
      <c r="D152" s="1141">
        <f t="shared" ref="D152" ca="1" si="10">ROUND(ABS(C153-C152),2)</f>
        <v>7486.26</v>
      </c>
      <c r="E152" s="140">
        <f>SUM('T22'!E48)</f>
        <v>0</v>
      </c>
      <c r="F152" s="1138">
        <f ca="1">ROUND(ABS(E153-E152),2)</f>
        <v>14286.26</v>
      </c>
    </row>
    <row r="153" spans="1:6">
      <c r="A153" s="1140"/>
      <c r="B153" s="137" t="s">
        <v>1409</v>
      </c>
      <c r="C153" s="138">
        <f ca="1">SUM('T22'!D48)</f>
        <v>13625.74000000012</v>
      </c>
      <c r="D153" s="1142"/>
      <c r="E153" s="141">
        <f ca="1">SUM('T22'!F48)</f>
        <v>14286.260000000017</v>
      </c>
      <c r="F153" s="1139"/>
    </row>
    <row r="154" spans="1:6">
      <c r="A154" s="1140" t="s">
        <v>1412</v>
      </c>
      <c r="B154" s="139" t="s">
        <v>566</v>
      </c>
      <c r="C154" s="94">
        <f ca="1">SUM('T02'!F9)</f>
        <v>264857.67</v>
      </c>
      <c r="D154" s="1141">
        <f ca="1">IF(CADRE_NEANT_T26_OPTION=TRUE,0,ROUND(ABS(C155-C154),2))</f>
        <v>264857.67</v>
      </c>
      <c r="E154" s="142"/>
      <c r="F154" s="1154"/>
    </row>
    <row r="155" spans="1:6">
      <c r="A155" s="1140"/>
      <c r="B155" s="137" t="s">
        <v>1413</v>
      </c>
      <c r="C155" s="138">
        <f ca="1">SUM('T26'!D5,'T26'!D6,'T26'!D7)</f>
        <v>0</v>
      </c>
      <c r="D155" s="1142"/>
      <c r="E155" s="143"/>
      <c r="F155" s="1154"/>
    </row>
  </sheetData>
  <sheetProtection formatCells="0" formatColumns="0" formatRows="0"/>
  <mergeCells count="230">
    <mergeCell ref="D78:D79"/>
    <mergeCell ref="F78:F79"/>
    <mergeCell ref="A80:A81"/>
    <mergeCell ref="D80:D81"/>
    <mergeCell ref="F80:F81"/>
    <mergeCell ref="A82:A83"/>
    <mergeCell ref="D82:D83"/>
    <mergeCell ref="A136:A137"/>
    <mergeCell ref="D136:D137"/>
    <mergeCell ref="F136:F137"/>
    <mergeCell ref="A124:A125"/>
    <mergeCell ref="D124:D125"/>
    <mergeCell ref="A110:A111"/>
    <mergeCell ref="D110:D111"/>
    <mergeCell ref="F110:F111"/>
    <mergeCell ref="F124:F125"/>
    <mergeCell ref="A118:A119"/>
    <mergeCell ref="D118:D119"/>
    <mergeCell ref="F118:F119"/>
    <mergeCell ref="A112:A113"/>
    <mergeCell ref="D112:D113"/>
    <mergeCell ref="F112:F113"/>
    <mergeCell ref="A114:A115"/>
    <mergeCell ref="D114:D115"/>
    <mergeCell ref="A138:A139"/>
    <mergeCell ref="D138:D139"/>
    <mergeCell ref="F138:F139"/>
    <mergeCell ref="A92:A93"/>
    <mergeCell ref="D92:D93"/>
    <mergeCell ref="A104:A105"/>
    <mergeCell ref="D96:D97"/>
    <mergeCell ref="A108:A109"/>
    <mergeCell ref="F98:F99"/>
    <mergeCell ref="F92:F93"/>
    <mergeCell ref="D108:D109"/>
    <mergeCell ref="F108:F109"/>
    <mergeCell ref="A102:A103"/>
    <mergeCell ref="D102:D103"/>
    <mergeCell ref="F102:F103"/>
    <mergeCell ref="A96:A97"/>
    <mergeCell ref="A106:A107"/>
    <mergeCell ref="A100:A101"/>
    <mergeCell ref="D100:D101"/>
    <mergeCell ref="D106:D107"/>
    <mergeCell ref="F106:F107"/>
    <mergeCell ref="A128:A129"/>
    <mergeCell ref="D128:D129"/>
    <mergeCell ref="F128:F129"/>
    <mergeCell ref="A154:A155"/>
    <mergeCell ref="D154:D155"/>
    <mergeCell ref="F154:F155"/>
    <mergeCell ref="F122:F123"/>
    <mergeCell ref="A126:A127"/>
    <mergeCell ref="D126:D127"/>
    <mergeCell ref="F126:F127"/>
    <mergeCell ref="A130:A131"/>
    <mergeCell ref="D130:D131"/>
    <mergeCell ref="F130:F131"/>
    <mergeCell ref="A132:A133"/>
    <mergeCell ref="D132:D133"/>
    <mergeCell ref="F132:F133"/>
    <mergeCell ref="A134:A135"/>
    <mergeCell ref="D134:D135"/>
    <mergeCell ref="F134:F135"/>
    <mergeCell ref="A140:A141"/>
    <mergeCell ref="D140:D141"/>
    <mergeCell ref="F140:F141"/>
    <mergeCell ref="A142:A143"/>
    <mergeCell ref="D142:D143"/>
    <mergeCell ref="F142:F143"/>
    <mergeCell ref="A144:A145"/>
    <mergeCell ref="D144:D145"/>
    <mergeCell ref="F114:F115"/>
    <mergeCell ref="A116:A117"/>
    <mergeCell ref="A120:A121"/>
    <mergeCell ref="D120:D121"/>
    <mergeCell ref="A122:A123"/>
    <mergeCell ref="D122:D123"/>
    <mergeCell ref="F120:F121"/>
    <mergeCell ref="D116:D117"/>
    <mergeCell ref="F116:F117"/>
    <mergeCell ref="D84:D85"/>
    <mergeCell ref="A86:A87"/>
    <mergeCell ref="D86:D87"/>
    <mergeCell ref="F86:F87"/>
    <mergeCell ref="A88:A89"/>
    <mergeCell ref="D88:D89"/>
    <mergeCell ref="F88:F89"/>
    <mergeCell ref="D94:D95"/>
    <mergeCell ref="D104:D105"/>
    <mergeCell ref="F104:F105"/>
    <mergeCell ref="D98:D99"/>
    <mergeCell ref="F100:F101"/>
    <mergeCell ref="F96:F97"/>
    <mergeCell ref="A98:A99"/>
    <mergeCell ref="F94:F95"/>
    <mergeCell ref="A94:A95"/>
    <mergeCell ref="D58:D59"/>
    <mergeCell ref="A54:A55"/>
    <mergeCell ref="A56:A57"/>
    <mergeCell ref="A58:A59"/>
    <mergeCell ref="D60:D61"/>
    <mergeCell ref="F60:F61"/>
    <mergeCell ref="A60:A61"/>
    <mergeCell ref="A62:A63"/>
    <mergeCell ref="A76:A77"/>
    <mergeCell ref="D76:D77"/>
    <mergeCell ref="A70:A71"/>
    <mergeCell ref="D70:D71"/>
    <mergeCell ref="F70:F71"/>
    <mergeCell ref="A68:A69"/>
    <mergeCell ref="D62:D63"/>
    <mergeCell ref="F62:F63"/>
    <mergeCell ref="A72:A73"/>
    <mergeCell ref="A74:A75"/>
    <mergeCell ref="D72:D73"/>
    <mergeCell ref="F76:F77"/>
    <mergeCell ref="F74:F75"/>
    <mergeCell ref="D74:D75"/>
    <mergeCell ref="A52:A53"/>
    <mergeCell ref="F58:F59"/>
    <mergeCell ref="F44:F45"/>
    <mergeCell ref="F46:F47"/>
    <mergeCell ref="A90:A91"/>
    <mergeCell ref="D90:D91"/>
    <mergeCell ref="F90:F91"/>
    <mergeCell ref="A78:A79"/>
    <mergeCell ref="F82:F83"/>
    <mergeCell ref="F84:F85"/>
    <mergeCell ref="F72:F73"/>
    <mergeCell ref="F64:F65"/>
    <mergeCell ref="D66:D67"/>
    <mergeCell ref="F66:F67"/>
    <mergeCell ref="D68:D69"/>
    <mergeCell ref="F68:F69"/>
    <mergeCell ref="A64:A65"/>
    <mergeCell ref="A66:A67"/>
    <mergeCell ref="D64:D65"/>
    <mergeCell ref="A84:A85"/>
    <mergeCell ref="F54:F55"/>
    <mergeCell ref="D56:D57"/>
    <mergeCell ref="F56:F57"/>
    <mergeCell ref="F48:F49"/>
    <mergeCell ref="D18:D19"/>
    <mergeCell ref="F18:F19"/>
    <mergeCell ref="A32:A33"/>
    <mergeCell ref="D32:D33"/>
    <mergeCell ref="A34:A35"/>
    <mergeCell ref="D24:D25"/>
    <mergeCell ref="F24:F25"/>
    <mergeCell ref="D20:D21"/>
    <mergeCell ref="A26:A27"/>
    <mergeCell ref="D26:D27"/>
    <mergeCell ref="A18:A19"/>
    <mergeCell ref="A20:A21"/>
    <mergeCell ref="A28:A29"/>
    <mergeCell ref="F20:F21"/>
    <mergeCell ref="A22:A23"/>
    <mergeCell ref="D22:D23"/>
    <mergeCell ref="F22:F23"/>
    <mergeCell ref="F50:F51"/>
    <mergeCell ref="D48:D49"/>
    <mergeCell ref="A44:A45"/>
    <mergeCell ref="A46:A47"/>
    <mergeCell ref="A30:A31"/>
    <mergeCell ref="D30:D31"/>
    <mergeCell ref="A48:A49"/>
    <mergeCell ref="A50:A51"/>
    <mergeCell ref="A38:A39"/>
    <mergeCell ref="D40:D41"/>
    <mergeCell ref="D52:D53"/>
    <mergeCell ref="F52:F53"/>
    <mergeCell ref="D54:D55"/>
    <mergeCell ref="F32:F33"/>
    <mergeCell ref="D28:D29"/>
    <mergeCell ref="D50:D51"/>
    <mergeCell ref="D44:D45"/>
    <mergeCell ref="D46:D47"/>
    <mergeCell ref="A24:A25"/>
    <mergeCell ref="D34:D35"/>
    <mergeCell ref="A36:A37"/>
    <mergeCell ref="D36:D37"/>
    <mergeCell ref="F30:F31"/>
    <mergeCell ref="A42:A43"/>
    <mergeCell ref="D42:D43"/>
    <mergeCell ref="F34:F35"/>
    <mergeCell ref="F36:F37"/>
    <mergeCell ref="F38:F39"/>
    <mergeCell ref="F40:F41"/>
    <mergeCell ref="F42:F43"/>
    <mergeCell ref="F26:F27"/>
    <mergeCell ref="F28:F29"/>
    <mergeCell ref="D38:D39"/>
    <mergeCell ref="A40:A41"/>
    <mergeCell ref="A1:F1"/>
    <mergeCell ref="A10:A11"/>
    <mergeCell ref="A16:A17"/>
    <mergeCell ref="D16:D17"/>
    <mergeCell ref="A4:A5"/>
    <mergeCell ref="B4:B5"/>
    <mergeCell ref="A14:A15"/>
    <mergeCell ref="F14:F15"/>
    <mergeCell ref="F16:F17"/>
    <mergeCell ref="D14:D15"/>
    <mergeCell ref="F10:F11"/>
    <mergeCell ref="C4:D4"/>
    <mergeCell ref="E4:F4"/>
    <mergeCell ref="F8:F9"/>
    <mergeCell ref="A8:A9"/>
    <mergeCell ref="D8:D9"/>
    <mergeCell ref="A6:A7"/>
    <mergeCell ref="D6:D7"/>
    <mergeCell ref="F6:F7"/>
    <mergeCell ref="D10:D11"/>
    <mergeCell ref="A12:A13"/>
    <mergeCell ref="D12:D13"/>
    <mergeCell ref="F12:F13"/>
    <mergeCell ref="F144:F145"/>
    <mergeCell ref="A152:A153"/>
    <mergeCell ref="D152:D153"/>
    <mergeCell ref="F152:F153"/>
    <mergeCell ref="A146:A147"/>
    <mergeCell ref="D146:D147"/>
    <mergeCell ref="F146:F147"/>
    <mergeCell ref="A148:A149"/>
    <mergeCell ref="D148:D149"/>
    <mergeCell ref="F148:F149"/>
    <mergeCell ref="A150:A151"/>
    <mergeCell ref="D150:D151"/>
    <mergeCell ref="F150:F151"/>
  </mergeCells>
  <conditionalFormatting sqref="D8 D6 F6:F135 D10:D139">
    <cfRule type="cellIs" dxfId="16" priority="90" stopIfTrue="1" operator="notEqual">
      <formula>0</formula>
    </cfRule>
  </conditionalFormatting>
  <conditionalFormatting sqref="F136:F137">
    <cfRule type="cellIs" dxfId="15" priority="17" stopIfTrue="1" operator="notEqual">
      <formula>0</formula>
    </cfRule>
  </conditionalFormatting>
  <conditionalFormatting sqref="F138:F139">
    <cfRule type="cellIs" dxfId="14" priority="16" stopIfTrue="1" operator="notEqual">
      <formula>0</formula>
    </cfRule>
  </conditionalFormatting>
  <conditionalFormatting sqref="D140:D143">
    <cfRule type="cellIs" dxfId="13" priority="15" stopIfTrue="1" operator="notEqual">
      <formula>0</formula>
    </cfRule>
  </conditionalFormatting>
  <conditionalFormatting sqref="F140:F141">
    <cfRule type="cellIs" dxfId="12" priority="14" stopIfTrue="1" operator="notEqual">
      <formula>0</formula>
    </cfRule>
  </conditionalFormatting>
  <conditionalFormatting sqref="F142:F143">
    <cfRule type="cellIs" dxfId="11" priority="13" stopIfTrue="1" operator="notEqual">
      <formula>0</formula>
    </cfRule>
  </conditionalFormatting>
  <conditionalFormatting sqref="D144:D147">
    <cfRule type="cellIs" dxfId="10" priority="12" stopIfTrue="1" operator="notEqual">
      <formula>0</formula>
    </cfRule>
  </conditionalFormatting>
  <conditionalFormatting sqref="F144:F145">
    <cfRule type="cellIs" dxfId="9" priority="11" stopIfTrue="1" operator="notEqual">
      <formula>0</formula>
    </cfRule>
  </conditionalFormatting>
  <conditionalFormatting sqref="F146:F147">
    <cfRule type="cellIs" dxfId="8" priority="10" stopIfTrue="1" operator="notEqual">
      <formula>0</formula>
    </cfRule>
  </conditionalFormatting>
  <conditionalFormatting sqref="D148:D151">
    <cfRule type="cellIs" dxfId="7" priority="9" stopIfTrue="1" operator="notEqual">
      <formula>0</formula>
    </cfRule>
  </conditionalFormatting>
  <conditionalFormatting sqref="F148:F149">
    <cfRule type="cellIs" dxfId="6" priority="8" stopIfTrue="1" operator="notEqual">
      <formula>0</formula>
    </cfRule>
  </conditionalFormatting>
  <conditionalFormatting sqref="F150:F151">
    <cfRule type="cellIs" dxfId="5" priority="7" stopIfTrue="1" operator="notEqual">
      <formula>0</formula>
    </cfRule>
  </conditionalFormatting>
  <conditionalFormatting sqref="D152:D153">
    <cfRule type="cellIs" dxfId="4" priority="6" stopIfTrue="1" operator="notEqual">
      <formula>0</formula>
    </cfRule>
  </conditionalFormatting>
  <conditionalFormatting sqref="F152:F153">
    <cfRule type="cellIs" dxfId="3" priority="5" stopIfTrue="1" operator="notEqual">
      <formula>0</formula>
    </cfRule>
  </conditionalFormatting>
  <conditionalFormatting sqref="D154:D155">
    <cfRule type="cellIs" dxfId="2" priority="2" stopIfTrue="1" operator="notEqual">
      <formula>0</formula>
    </cfRule>
  </conditionalFormatting>
  <conditionalFormatting sqref="F154:F155">
    <cfRule type="cellIs" dxfId="1" priority="1" stopIfTrue="1" operator="notEqual">
      <formula>0</formula>
    </cfRule>
  </conditionalFormatting>
  <printOptions horizontalCentered="1"/>
  <pageMargins left="0.59055118110236227" right="0" top="0.59055118110236227" bottom="0.39370078740157483" header="0.39370078740157483" footer="0.51181102362204722"/>
  <pageSetup paperSize="9" fitToHeight="5" orientation="landscape" r:id="rId1"/>
  <headerFooter alignWithMargins="0">
    <oddHeader>&amp;R&amp;"Tahoma,Gras"&amp;8Tableau &amp;A (&amp;P/&amp;N)</oddHeader>
  </headerFooter>
  <rowBreaks count="3" manualBreakCount="3">
    <brk id="43" max="16383" man="1"/>
    <brk id="77" max="16383" man="1"/>
    <brk id="113" max="16383" man="1"/>
  </rowBreaks>
  <ignoredErrors>
    <ignoredError sqref="C8:C9"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53250" r:id="rId5"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mc:AlternateContent xmlns:mc="http://schemas.openxmlformats.org/markup-compatibility/2006">
          <mc:Choice Requires="x14">
            <control shapeId="53251" r:id="rId6" name="Bouton_Corriger_NbreLignes_N_1">
              <controlPr defaultSize="0" print="0" autoFill="0" autoPict="0" macro="[0]!Bouton_Corriger_NbreLignes_N_1">
                <anchor moveWithCells="1" sizeWithCells="1">
                  <from>
                    <xdr:col>5</xdr:col>
                    <xdr:colOff>22860</xdr:colOff>
                    <xdr:row>9</xdr:row>
                    <xdr:rowOff>0</xdr:rowOff>
                  </from>
                  <to>
                    <xdr:col>5</xdr:col>
                    <xdr:colOff>518160</xdr:colOff>
                    <xdr:row>9</xdr:row>
                    <xdr:rowOff>0</xdr:rowOff>
                  </to>
                </anchor>
              </controlPr>
            </control>
          </mc:Choice>
        </mc:AlternateContent>
        <mc:AlternateContent xmlns:mc="http://schemas.openxmlformats.org/markup-compatibility/2006">
          <mc:Choice Requires="x14">
            <control shapeId="53252" r:id="rId7" name="Bouton_Corriger_NbreLignes_N">
              <controlPr defaultSize="0" print="0" autoFill="0" autoPict="0" macro="[0]!Bouton_Corriger_NbreLignes_N">
                <anchor moveWithCells="1" sizeWithCells="1">
                  <from>
                    <xdr:col>3</xdr:col>
                    <xdr:colOff>22860</xdr:colOff>
                    <xdr:row>9</xdr:row>
                    <xdr:rowOff>0</xdr:rowOff>
                  </from>
                  <to>
                    <xdr:col>3</xdr:col>
                    <xdr:colOff>518160</xdr:colOff>
                    <xdr:row>9</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Erreurs_XML"/>
  <dimension ref="A1:C6"/>
  <sheetViews>
    <sheetView workbookViewId="0">
      <pane ySplit="5" topLeftCell="A6" activePane="bottomLeft" state="frozen"/>
      <selection activeCell="F9" sqref="F9:M9"/>
      <selection pane="bottomLeft" activeCell="A31" sqref="A31"/>
    </sheetView>
  </sheetViews>
  <sheetFormatPr baseColWidth="10" defaultRowHeight="13.2"/>
  <cols>
    <col min="1" max="1" width="30.6640625" customWidth="1"/>
    <col min="2" max="2" width="22.109375" customWidth="1"/>
    <col min="3" max="3" width="52.33203125" customWidth="1"/>
  </cols>
  <sheetData>
    <row r="1" spans="1:3" s="4" customFormat="1" ht="18.600000000000001" thickBot="1">
      <c r="A1" s="1143" t="s">
        <v>1418</v>
      </c>
      <c r="B1" s="1144"/>
      <c r="C1" s="1145"/>
    </row>
    <row r="2" spans="1:3" s="4" customFormat="1">
      <c r="A2" s="191" t="str">
        <f>CONCATENATE(PagePrincipale!$F$9)</f>
        <v>D3 Soft SARL AU</v>
      </c>
      <c r="B2" s="192"/>
      <c r="C2" s="193" t="str">
        <f ca="1">PeriodeArrete_DuAu()</f>
        <v>Du 1/1/2017 Au 31/12/2017</v>
      </c>
    </row>
    <row r="3" spans="1:3" s="4" customFormat="1">
      <c r="A3" s="192"/>
      <c r="B3" s="192"/>
      <c r="C3" s="192"/>
    </row>
    <row r="4" spans="1:3" s="4" customFormat="1">
      <c r="A4" s="192"/>
      <c r="B4" s="192"/>
      <c r="C4" s="192"/>
    </row>
    <row r="5" spans="1:3" s="4" customFormat="1">
      <c r="A5" s="189" t="s">
        <v>163</v>
      </c>
      <c r="B5" s="194" t="s">
        <v>713</v>
      </c>
      <c r="C5" s="189" t="s">
        <v>712</v>
      </c>
    </row>
    <row r="6" spans="1:3">
      <c r="A6" s="636"/>
    </row>
  </sheetData>
  <sheetProtection formatCells="0" formatColumns="0" formatRows="0"/>
  <autoFilter ref="A5:C5" xr:uid="{00000000-0009-0000-0000-000020000000}"/>
  <mergeCells count="1">
    <mergeCell ref="A1:C1"/>
  </mergeCells>
  <printOptions horizontalCentered="1" gridLines="1"/>
  <pageMargins left="0" right="0" top="0.78740157480314965" bottom="0" header="0.59055118110236227" footer="0.51181102362204722"/>
  <pageSetup paperSize="9" orientation="portrait" r:id="rId1"/>
  <headerFooter alignWithMargins="0">
    <oddHeader>&amp;R&amp;"Tahoma,Gras"&amp;8Tableau &amp;A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7" r:id="rId4" name="GoToMain">
              <controlPr defaultSize="0" print="0" autoFill="0" autoPict="0" macro="[0]!GoToMain">
                <anchor>
                  <from>
                    <xdr:col>0</xdr:col>
                    <xdr:colOff>0</xdr:colOff>
                    <xdr:row>0</xdr:row>
                    <xdr:rowOff>0</xdr:rowOff>
                  </from>
                  <to>
                    <xdr:col>0</xdr:col>
                    <xdr:colOff>365760</xdr:colOff>
                    <xdr:row>0</xdr:row>
                    <xdr:rowOff>228600</xdr:rowOff>
                  </to>
                </anchor>
              </controlPr>
            </control>
          </mc:Choice>
        </mc:AlternateContent>
        <mc:AlternateContent xmlns:mc="http://schemas.openxmlformats.org/markup-compatibility/2006">
          <mc:Choice Requires="x14">
            <control shapeId="55298" r:id="rId5" name="GoToLast">
              <controlPr defaultSize="0" print="0" autoFill="0" autoPict="0" macro="[0]!GoToLastSelection">
                <anchor moveWithCells="1" sizeWithCells="1">
                  <from>
                    <xdr:col>0</xdr:col>
                    <xdr:colOff>373380</xdr:colOff>
                    <xdr:row>0</xdr:row>
                    <xdr:rowOff>0</xdr:rowOff>
                  </from>
                  <to>
                    <xdr:col>0</xdr:col>
                    <xdr:colOff>731520</xdr:colOff>
                    <xdr:row>0</xdr:row>
                    <xdr:rowOff>228600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Complements"/>
  <dimension ref="A2:I559"/>
  <sheetViews>
    <sheetView workbookViewId="0">
      <selection activeCell="G44" sqref="G44"/>
    </sheetView>
  </sheetViews>
  <sheetFormatPr baseColWidth="10" defaultRowHeight="13.2"/>
  <cols>
    <col min="1" max="1" width="66.6640625" customWidth="1"/>
    <col min="2" max="2" width="12.6640625" bestFit="1" customWidth="1"/>
    <col min="3" max="3" width="12.88671875" bestFit="1" customWidth="1"/>
    <col min="4" max="4" width="10.44140625" bestFit="1" customWidth="1"/>
    <col min="5" max="6" width="8.109375" bestFit="1" customWidth="1"/>
    <col min="7" max="7" width="10.5546875" bestFit="1" customWidth="1"/>
    <col min="8" max="9" width="11.109375" bestFit="1" customWidth="1"/>
  </cols>
  <sheetData>
    <row r="2" spans="1:9" ht="13.8" thickBot="1"/>
    <row r="3" spans="1:9">
      <c r="A3" s="179" t="s">
        <v>708</v>
      </c>
      <c r="B3" s="180" t="s">
        <v>567</v>
      </c>
      <c r="C3" s="1157" t="s">
        <v>711</v>
      </c>
      <c r="D3" s="1158"/>
      <c r="E3" s="1158"/>
      <c r="F3" s="1159"/>
      <c r="G3" s="180" t="s">
        <v>785</v>
      </c>
      <c r="H3" s="180" t="s">
        <v>786</v>
      </c>
      <c r="I3" s="675"/>
    </row>
    <row r="4" spans="1:9" ht="13.8" thickBot="1">
      <c r="A4" s="183" t="s">
        <v>709</v>
      </c>
      <c r="B4" s="186">
        <f>CONCATENATE(C4,D4,E4,F4)+0</f>
        <v>7001</v>
      </c>
      <c r="C4" s="185">
        <v>7</v>
      </c>
      <c r="D4" s="185">
        <v>0</v>
      </c>
      <c r="E4" s="185">
        <v>0</v>
      </c>
      <c r="F4" s="185">
        <v>1</v>
      </c>
      <c r="G4" s="185">
        <v>1</v>
      </c>
      <c r="H4" s="185">
        <v>1</v>
      </c>
      <c r="I4" s="635"/>
    </row>
    <row r="5" spans="1:9" ht="13.8" thickBot="1"/>
    <row r="6" spans="1:9">
      <c r="A6" s="179" t="s">
        <v>549</v>
      </c>
      <c r="B6" s="180" t="s">
        <v>567</v>
      </c>
      <c r="C6" s="180" t="s">
        <v>550</v>
      </c>
      <c r="D6" s="180" t="s">
        <v>163</v>
      </c>
      <c r="E6" s="180" t="s">
        <v>553</v>
      </c>
      <c r="F6" s="180" t="s">
        <v>554</v>
      </c>
      <c r="G6" s="180" t="s">
        <v>568</v>
      </c>
      <c r="H6" s="180" t="s">
        <v>584</v>
      </c>
      <c r="I6" s="182"/>
    </row>
    <row r="7" spans="1:9">
      <c r="A7" s="152" t="s">
        <v>718</v>
      </c>
      <c r="B7" s="134"/>
      <c r="C7" s="134" t="s">
        <v>797</v>
      </c>
      <c r="D7" s="134" t="s">
        <v>551</v>
      </c>
      <c r="E7" s="608"/>
      <c r="F7" s="608"/>
      <c r="G7" s="608"/>
      <c r="H7" s="608"/>
      <c r="I7" s="153"/>
    </row>
    <row r="8" spans="1:9">
      <c r="A8" s="152" t="s">
        <v>719</v>
      </c>
      <c r="B8" s="134"/>
      <c r="C8" s="134" t="s">
        <v>798</v>
      </c>
      <c r="D8" s="134" t="s">
        <v>551</v>
      </c>
      <c r="E8" s="608"/>
      <c r="F8" s="608"/>
      <c r="G8" s="608"/>
      <c r="H8" s="608"/>
      <c r="I8" s="153"/>
    </row>
    <row r="9" spans="1:9">
      <c r="A9" s="152" t="s">
        <v>545</v>
      </c>
      <c r="B9" s="134"/>
      <c r="C9" s="134" t="s">
        <v>548</v>
      </c>
      <c r="D9" s="134" t="s">
        <v>551</v>
      </c>
      <c r="E9" s="608" t="b">
        <v>0</v>
      </c>
      <c r="F9" s="608"/>
      <c r="G9" s="608"/>
      <c r="H9" s="608">
        <v>0</v>
      </c>
      <c r="I9" s="153"/>
    </row>
    <row r="10" spans="1:9">
      <c r="A10" s="154" t="s">
        <v>546</v>
      </c>
      <c r="B10" s="124">
        <v>2</v>
      </c>
      <c r="C10" s="134" t="s">
        <v>799</v>
      </c>
      <c r="D10" s="134" t="s">
        <v>551</v>
      </c>
      <c r="E10" s="608" t="b">
        <v>0</v>
      </c>
      <c r="F10" s="608"/>
      <c r="G10" s="608" t="b">
        <f>E10</f>
        <v>0</v>
      </c>
      <c r="H10" s="608">
        <v>0</v>
      </c>
      <c r="I10" s="153"/>
    </row>
    <row r="11" spans="1:9">
      <c r="A11" s="154" t="s">
        <v>547</v>
      </c>
      <c r="B11" s="124">
        <v>1</v>
      </c>
      <c r="C11" s="134" t="s">
        <v>799</v>
      </c>
      <c r="D11" s="134" t="s">
        <v>552</v>
      </c>
      <c r="E11" s="608" t="b">
        <v>0</v>
      </c>
      <c r="F11" s="608"/>
      <c r="G11" s="608" t="b">
        <f t="shared" ref="G11:G34" si="0">E11</f>
        <v>0</v>
      </c>
      <c r="H11" s="608">
        <v>0</v>
      </c>
      <c r="I11" s="153"/>
    </row>
    <row r="12" spans="1:9">
      <c r="A12" s="152" t="s">
        <v>544</v>
      </c>
      <c r="B12" s="134">
        <v>6</v>
      </c>
      <c r="C12" s="134" t="s">
        <v>800</v>
      </c>
      <c r="D12" s="134" t="s">
        <v>551</v>
      </c>
      <c r="E12" s="608" t="b">
        <v>0</v>
      </c>
      <c r="F12" s="608"/>
      <c r="G12" s="608" t="b">
        <f t="shared" si="0"/>
        <v>0</v>
      </c>
      <c r="H12" s="608">
        <v>0</v>
      </c>
      <c r="I12" s="153"/>
    </row>
    <row r="13" spans="1:9">
      <c r="A13" s="154" t="s">
        <v>384</v>
      </c>
      <c r="B13" s="124">
        <v>7</v>
      </c>
      <c r="C13" s="134" t="s">
        <v>801</v>
      </c>
      <c r="D13" s="134" t="s">
        <v>551</v>
      </c>
      <c r="E13" s="608" t="b">
        <v>0</v>
      </c>
      <c r="F13" s="608"/>
      <c r="G13" s="608" t="b">
        <f t="shared" si="0"/>
        <v>0</v>
      </c>
      <c r="H13" s="608">
        <v>0</v>
      </c>
      <c r="I13" s="153"/>
    </row>
    <row r="14" spans="1:9">
      <c r="A14" s="154" t="s">
        <v>459</v>
      </c>
      <c r="B14" s="124">
        <v>11</v>
      </c>
      <c r="C14" s="134" t="s">
        <v>802</v>
      </c>
      <c r="D14" s="134" t="s">
        <v>551</v>
      </c>
      <c r="E14" s="608" t="b">
        <v>0</v>
      </c>
      <c r="F14" s="608"/>
      <c r="G14" s="608" t="b">
        <f t="shared" si="0"/>
        <v>0</v>
      </c>
      <c r="H14" s="608">
        <v>0</v>
      </c>
      <c r="I14" s="153"/>
    </row>
    <row r="15" spans="1:9">
      <c r="A15" s="154" t="s">
        <v>538</v>
      </c>
      <c r="B15" s="124">
        <v>32</v>
      </c>
      <c r="C15" s="134" t="s">
        <v>803</v>
      </c>
      <c r="D15" s="134" t="s">
        <v>551</v>
      </c>
      <c r="E15" s="608" t="b">
        <v>0</v>
      </c>
      <c r="F15" s="608"/>
      <c r="G15" s="608" t="b">
        <f t="shared" si="0"/>
        <v>0</v>
      </c>
      <c r="H15" s="608">
        <v>0</v>
      </c>
      <c r="I15" s="153"/>
    </row>
    <row r="16" spans="1:9">
      <c r="A16" s="154" t="s">
        <v>489</v>
      </c>
      <c r="B16" s="124">
        <v>34</v>
      </c>
      <c r="C16" s="134" t="s">
        <v>804</v>
      </c>
      <c r="D16" s="134" t="s">
        <v>551</v>
      </c>
      <c r="E16" s="608" t="b">
        <v>0</v>
      </c>
      <c r="F16" s="608"/>
      <c r="G16" s="608" t="b">
        <f t="shared" si="0"/>
        <v>0</v>
      </c>
      <c r="H16" s="608">
        <v>0</v>
      </c>
      <c r="I16" s="153"/>
    </row>
    <row r="17" spans="1:9">
      <c r="A17" s="154" t="s">
        <v>539</v>
      </c>
      <c r="B17" s="124">
        <v>23</v>
      </c>
      <c r="C17" s="134" t="s">
        <v>805</v>
      </c>
      <c r="D17" s="134" t="s">
        <v>551</v>
      </c>
      <c r="E17" s="608" t="b">
        <v>1</v>
      </c>
      <c r="F17" s="608"/>
      <c r="G17" s="608" t="b">
        <f t="shared" si="0"/>
        <v>1</v>
      </c>
      <c r="H17" s="608">
        <v>0</v>
      </c>
      <c r="I17" s="153"/>
    </row>
    <row r="18" spans="1:9">
      <c r="A18" s="154" t="s">
        <v>178</v>
      </c>
      <c r="B18" s="124">
        <v>24</v>
      </c>
      <c r="C18" s="134" t="s">
        <v>806</v>
      </c>
      <c r="D18" s="134" t="s">
        <v>551</v>
      </c>
      <c r="E18" s="608" t="b">
        <v>0</v>
      </c>
      <c r="F18" s="608"/>
      <c r="G18" s="608" t="b">
        <f t="shared" si="0"/>
        <v>0</v>
      </c>
      <c r="H18" s="608">
        <v>0</v>
      </c>
      <c r="I18" s="153"/>
    </row>
    <row r="19" spans="1:9">
      <c r="A19" s="154" t="s">
        <v>392</v>
      </c>
      <c r="B19" s="124">
        <v>37</v>
      </c>
      <c r="C19" s="134" t="s">
        <v>807</v>
      </c>
      <c r="D19" s="134" t="s">
        <v>551</v>
      </c>
      <c r="E19" s="608" t="b">
        <v>0</v>
      </c>
      <c r="F19" s="608"/>
      <c r="G19" s="608" t="b">
        <f t="shared" si="0"/>
        <v>0</v>
      </c>
      <c r="H19" s="608">
        <v>0</v>
      </c>
      <c r="I19" s="153"/>
    </row>
    <row r="20" spans="1:9">
      <c r="A20" s="154" t="s">
        <v>82</v>
      </c>
      <c r="B20" s="124">
        <v>38</v>
      </c>
      <c r="C20" s="134" t="s">
        <v>808</v>
      </c>
      <c r="D20" s="134" t="s">
        <v>551</v>
      </c>
      <c r="E20" s="608" t="b">
        <v>0</v>
      </c>
      <c r="F20" s="608"/>
      <c r="G20" s="608" t="b">
        <f t="shared" si="0"/>
        <v>0</v>
      </c>
      <c r="H20" s="608">
        <v>0</v>
      </c>
      <c r="I20" s="153"/>
    </row>
    <row r="21" spans="1:9">
      <c r="A21" s="154" t="s">
        <v>255</v>
      </c>
      <c r="B21" s="124">
        <v>39</v>
      </c>
      <c r="C21" s="134" t="s">
        <v>809</v>
      </c>
      <c r="D21" s="134" t="s">
        <v>551</v>
      </c>
      <c r="E21" s="608" t="b">
        <v>0</v>
      </c>
      <c r="F21" s="608"/>
      <c r="G21" s="608" t="b">
        <f t="shared" si="0"/>
        <v>0</v>
      </c>
      <c r="H21" s="608">
        <v>0</v>
      </c>
      <c r="I21" s="153"/>
    </row>
    <row r="22" spans="1:9">
      <c r="A22" s="154" t="s">
        <v>151</v>
      </c>
      <c r="B22" s="124">
        <v>40</v>
      </c>
      <c r="C22" s="134" t="s">
        <v>810</v>
      </c>
      <c r="D22" s="134" t="s">
        <v>551</v>
      </c>
      <c r="E22" s="608" t="b">
        <v>0</v>
      </c>
      <c r="F22" s="608"/>
      <c r="G22" s="608" t="b">
        <f t="shared" si="0"/>
        <v>0</v>
      </c>
      <c r="H22" s="608">
        <v>0</v>
      </c>
      <c r="I22" s="153"/>
    </row>
    <row r="23" spans="1:9">
      <c r="A23" s="154" t="s">
        <v>162</v>
      </c>
      <c r="B23" s="124">
        <v>41</v>
      </c>
      <c r="C23" s="134" t="s">
        <v>811</v>
      </c>
      <c r="D23" s="134" t="s">
        <v>551</v>
      </c>
      <c r="E23" s="608" t="b">
        <v>0</v>
      </c>
      <c r="F23" s="608"/>
      <c r="G23" s="608" t="b">
        <f t="shared" si="0"/>
        <v>0</v>
      </c>
      <c r="H23" s="608">
        <v>0</v>
      </c>
      <c r="I23" s="153"/>
    </row>
    <row r="24" spans="1:9">
      <c r="A24" s="154" t="s">
        <v>540</v>
      </c>
      <c r="B24" s="124">
        <v>5</v>
      </c>
      <c r="C24" s="134" t="s">
        <v>812</v>
      </c>
      <c r="D24" s="134" t="s">
        <v>551</v>
      </c>
      <c r="E24" s="608" t="b">
        <v>0</v>
      </c>
      <c r="F24" s="608"/>
      <c r="G24" s="608" t="b">
        <f t="shared" si="0"/>
        <v>0</v>
      </c>
      <c r="H24" s="608">
        <v>0</v>
      </c>
      <c r="I24" s="153"/>
    </row>
    <row r="25" spans="1:9">
      <c r="A25" s="154" t="s">
        <v>541</v>
      </c>
      <c r="B25" s="124">
        <v>12</v>
      </c>
      <c r="C25" s="134" t="s">
        <v>813</v>
      </c>
      <c r="D25" s="134" t="s">
        <v>551</v>
      </c>
      <c r="E25" s="608" t="b">
        <v>1</v>
      </c>
      <c r="F25" s="608"/>
      <c r="G25" s="608" t="b">
        <f t="shared" si="0"/>
        <v>1</v>
      </c>
      <c r="H25" s="608">
        <v>0</v>
      </c>
      <c r="I25" s="153"/>
    </row>
    <row r="26" spans="1:9">
      <c r="A26" s="154" t="s">
        <v>542</v>
      </c>
      <c r="B26" s="124">
        <v>26</v>
      </c>
      <c r="C26" s="134" t="s">
        <v>814</v>
      </c>
      <c r="D26" s="134" t="s">
        <v>551</v>
      </c>
      <c r="E26" s="608" t="b">
        <v>0</v>
      </c>
      <c r="F26" s="608"/>
      <c r="G26" s="608" t="b">
        <f t="shared" si="0"/>
        <v>0</v>
      </c>
      <c r="H26" s="608">
        <v>0</v>
      </c>
      <c r="I26" s="153"/>
    </row>
    <row r="27" spans="1:9">
      <c r="A27" s="154" t="s">
        <v>543</v>
      </c>
      <c r="B27" s="124">
        <v>27</v>
      </c>
      <c r="C27" s="134" t="s">
        <v>815</v>
      </c>
      <c r="D27" s="134" t="s">
        <v>551</v>
      </c>
      <c r="E27" s="608" t="b">
        <v>0</v>
      </c>
      <c r="F27" s="608" t="b">
        <v>0</v>
      </c>
      <c r="G27" s="608" t="b">
        <f>AND(E27=TRUE,F27=TRUE)</f>
        <v>0</v>
      </c>
      <c r="H27" s="608">
        <v>0</v>
      </c>
      <c r="I27" s="153"/>
    </row>
    <row r="28" spans="1:9">
      <c r="A28" s="154" t="s">
        <v>290</v>
      </c>
      <c r="B28" s="124">
        <v>28</v>
      </c>
      <c r="C28" s="134" t="s">
        <v>816</v>
      </c>
      <c r="D28" s="134" t="s">
        <v>551</v>
      </c>
      <c r="E28" s="608" t="b">
        <v>0</v>
      </c>
      <c r="F28" s="608"/>
      <c r="G28" s="608" t="b">
        <f t="shared" si="0"/>
        <v>0</v>
      </c>
      <c r="H28" s="608">
        <v>0</v>
      </c>
      <c r="I28" s="153"/>
    </row>
    <row r="29" spans="1:9">
      <c r="A29" s="154" t="s">
        <v>298</v>
      </c>
      <c r="B29" s="124">
        <v>36</v>
      </c>
      <c r="C29" s="134" t="s">
        <v>817</v>
      </c>
      <c r="D29" s="134" t="s">
        <v>551</v>
      </c>
      <c r="E29" s="608" t="b">
        <v>0</v>
      </c>
      <c r="F29" s="608"/>
      <c r="G29" s="608" t="b">
        <f t="shared" si="0"/>
        <v>0</v>
      </c>
      <c r="H29" s="608">
        <v>0</v>
      </c>
      <c r="I29" s="153"/>
    </row>
    <row r="30" spans="1:9">
      <c r="A30" s="152" t="s">
        <v>1261</v>
      </c>
      <c r="B30" s="124">
        <v>200</v>
      </c>
      <c r="C30" s="134" t="s">
        <v>1256</v>
      </c>
      <c r="D30" s="134" t="s">
        <v>551</v>
      </c>
      <c r="E30" s="608" t="b">
        <v>0</v>
      </c>
      <c r="F30" s="608"/>
      <c r="G30" s="608" t="b">
        <f>E30</f>
        <v>0</v>
      </c>
      <c r="H30" s="608">
        <v>0</v>
      </c>
      <c r="I30" s="153"/>
    </row>
    <row r="31" spans="1:9">
      <c r="A31" s="152" t="s">
        <v>1264</v>
      </c>
      <c r="B31" s="124">
        <v>203</v>
      </c>
      <c r="C31" s="134" t="s">
        <v>1257</v>
      </c>
      <c r="D31" s="134" t="s">
        <v>551</v>
      </c>
      <c r="E31" s="608" t="b">
        <v>0</v>
      </c>
      <c r="F31" s="608"/>
      <c r="G31" s="608" t="b">
        <f t="shared" si="0"/>
        <v>0</v>
      </c>
      <c r="H31" s="608">
        <v>0</v>
      </c>
      <c r="I31" s="153"/>
    </row>
    <row r="32" spans="1:9">
      <c r="A32" s="152" t="s">
        <v>1265</v>
      </c>
      <c r="B32" s="124">
        <v>220</v>
      </c>
      <c r="C32" s="134" t="s">
        <v>1258</v>
      </c>
      <c r="D32" s="134" t="s">
        <v>551</v>
      </c>
      <c r="E32" s="608" t="b">
        <v>0</v>
      </c>
      <c r="F32" s="608"/>
      <c r="G32" s="608" t="b">
        <f t="shared" si="0"/>
        <v>0</v>
      </c>
      <c r="H32" s="608">
        <v>0</v>
      </c>
      <c r="I32" s="153"/>
    </row>
    <row r="33" spans="1:9">
      <c r="A33" s="152" t="s">
        <v>1263</v>
      </c>
      <c r="B33" s="124">
        <v>202</v>
      </c>
      <c r="C33" s="134" t="s">
        <v>1259</v>
      </c>
      <c r="D33" s="134" t="s">
        <v>551</v>
      </c>
      <c r="E33" s="608" t="b">
        <v>0</v>
      </c>
      <c r="F33" s="608"/>
      <c r="G33" s="608" t="b">
        <f t="shared" si="0"/>
        <v>0</v>
      </c>
      <c r="H33" s="608">
        <v>0</v>
      </c>
      <c r="I33" s="153"/>
    </row>
    <row r="34" spans="1:9">
      <c r="A34" s="152" t="s">
        <v>1262</v>
      </c>
      <c r="B34" s="124">
        <v>201</v>
      </c>
      <c r="C34" s="134" t="s">
        <v>1260</v>
      </c>
      <c r="D34" s="134" t="s">
        <v>551</v>
      </c>
      <c r="E34" s="608" t="b">
        <v>0</v>
      </c>
      <c r="F34" s="608"/>
      <c r="G34" s="608" t="b">
        <f t="shared" si="0"/>
        <v>0</v>
      </c>
      <c r="H34" s="608">
        <v>0</v>
      </c>
      <c r="I34" s="153"/>
    </row>
    <row r="35" spans="1:9">
      <c r="A35" s="152" t="s">
        <v>1255</v>
      </c>
      <c r="B35" s="124">
        <v>240</v>
      </c>
      <c r="C35" s="134" t="s">
        <v>1254</v>
      </c>
      <c r="D35" s="134" t="s">
        <v>551</v>
      </c>
      <c r="E35" s="608" t="b">
        <v>0</v>
      </c>
      <c r="F35" s="608"/>
      <c r="G35" s="608" t="b">
        <f>E35</f>
        <v>0</v>
      </c>
      <c r="H35" s="608">
        <v>0</v>
      </c>
      <c r="I35" s="153"/>
    </row>
    <row r="36" spans="1:9">
      <c r="A36" s="217" t="s">
        <v>706</v>
      </c>
      <c r="B36" s="146"/>
      <c r="C36" s="188" t="s">
        <v>818</v>
      </c>
      <c r="D36" s="188" t="s">
        <v>551</v>
      </c>
      <c r="E36" s="614" t="b">
        <v>0</v>
      </c>
      <c r="F36" s="614"/>
      <c r="G36" s="614"/>
      <c r="H36" s="614">
        <v>0</v>
      </c>
      <c r="I36" s="156"/>
    </row>
    <row r="37" spans="1:9" ht="13.8" thickBot="1">
      <c r="A37" s="183" t="s">
        <v>721</v>
      </c>
      <c r="B37" s="150"/>
      <c r="C37" s="149" t="s">
        <v>720</v>
      </c>
      <c r="D37" s="149" t="s">
        <v>551</v>
      </c>
      <c r="E37" s="606" t="b">
        <v>0</v>
      </c>
      <c r="F37" s="606"/>
      <c r="G37" s="606"/>
      <c r="H37" s="606">
        <v>0</v>
      </c>
      <c r="I37" s="151"/>
    </row>
    <row r="38" spans="1:9" ht="13.8" thickBot="1"/>
    <row r="39" spans="1:9">
      <c r="A39" s="179" t="s">
        <v>97</v>
      </c>
      <c r="B39" s="180" t="s">
        <v>517</v>
      </c>
      <c r="C39" s="180"/>
      <c r="D39" s="181"/>
      <c r="E39" s="181"/>
      <c r="F39" s="181"/>
      <c r="G39" s="180"/>
      <c r="H39" s="181"/>
      <c r="I39" s="182"/>
    </row>
    <row r="40" spans="1:9">
      <c r="A40" s="152" t="s">
        <v>782</v>
      </c>
      <c r="B40" s="608">
        <f ca="1">COUNTIF(Verifications!D8:D3002,"&gt;0")</f>
        <v>7</v>
      </c>
      <c r="C40" s="608"/>
      <c r="D40" s="124"/>
      <c r="E40" s="124"/>
      <c r="F40" s="124"/>
      <c r="G40" s="124"/>
      <c r="H40" s="124"/>
      <c r="I40" s="153"/>
    </row>
    <row r="41" spans="1:9">
      <c r="A41" s="152" t="s">
        <v>783</v>
      </c>
      <c r="B41" s="608">
        <f ca="1">COUNTIF(Verifications!F8:F3002,"&gt;0")</f>
        <v>1</v>
      </c>
      <c r="C41" s="608"/>
      <c r="D41" s="124"/>
      <c r="E41" s="124"/>
      <c r="F41" s="124"/>
      <c r="G41" s="124"/>
      <c r="H41" s="124"/>
      <c r="I41" s="153"/>
    </row>
    <row r="42" spans="1:9">
      <c r="A42" s="152" t="s">
        <v>819</v>
      </c>
      <c r="B42" s="608" t="str">
        <f>ADDRESS(Tableaux16_LigneDeb,Tableaux16_ColonneType)&amp;":"&amp;ADDRESS(Tableaux16_LigneFin,Tableaux16_ColonneType)</f>
        <v>$A$10:$A$25</v>
      </c>
      <c r="C42" s="608">
        <f>ROW(SIMPL_Tab.12_Cod.1088_Lin.0_Typ.Double_Extra.0)-ROW(SIMPL_Ent.12_Cod.10061_Lin.0_Typ.Texte_Extra.0)-1</f>
        <v>16</v>
      </c>
      <c r="D42" s="124">
        <f ca="1">COUNTA(INDIRECT(ADDRESS(1,1,,,"Complements2")&amp;":"&amp;ADDRESS(Tableaux16_NbreLignes,1)))</f>
        <v>0</v>
      </c>
      <c r="E42" s="124">
        <f>ROW(SIMPL_Ent.12_Cod.10061_Lin.0_Typ.Texte_Extra.0)+1</f>
        <v>10</v>
      </c>
      <c r="F42" s="124">
        <f>ROW(SIMPL_Tab.12_Cod.1088_Lin.0_Typ.Double_Extra.0)-1</f>
        <v>25</v>
      </c>
      <c r="G42" s="124">
        <f>COLUMN(SIMPL_Ent.12_Cod.10061_Lin.0_Typ.Texte_Extra.0)</f>
        <v>1</v>
      </c>
      <c r="I42" s="153" t="str">
        <f ca="1">WorkSheetName('T16'!A1)</f>
        <v>T16</v>
      </c>
    </row>
    <row r="43" spans="1:9" ht="13.8" thickBot="1">
      <c r="A43" s="183" t="s">
        <v>834</v>
      </c>
      <c r="B43" s="606" t="str">
        <f>ADDRESS(Tableaux16_LigneDeb,Tableaux16_ColonneVO)&amp;":"&amp;ADDRESS(Tableaux16_LigneFin,Tableaux16_ColonneVO)</f>
        <v>$H$10:$H$25</v>
      </c>
      <c r="C43" s="606"/>
      <c r="D43" s="150"/>
      <c r="E43" s="150">
        <f>+Tableaux16_LigneDeb</f>
        <v>10</v>
      </c>
      <c r="F43" s="150">
        <f>+Tableaux16_LigneFin</f>
        <v>25</v>
      </c>
      <c r="G43" s="150">
        <f>COLUMN(SIMPL_Ent.12_Cod.1084_Lin.0_Typ.Double_Extra.0)</f>
        <v>8</v>
      </c>
      <c r="H43" s="150"/>
      <c r="I43" s="151"/>
    </row>
    <row r="44" spans="1:9" ht="13.8" thickBot="1"/>
    <row r="45" spans="1:9">
      <c r="A45" s="179" t="s">
        <v>715</v>
      </c>
      <c r="B45" s="180" t="s">
        <v>550</v>
      </c>
      <c r="C45" s="180" t="s">
        <v>716</v>
      </c>
      <c r="D45" s="180" t="s">
        <v>795</v>
      </c>
      <c r="E45" s="181"/>
      <c r="F45" s="181"/>
      <c r="G45" s="180"/>
      <c r="H45" s="181"/>
      <c r="I45" s="182"/>
    </row>
    <row r="46" spans="1:9">
      <c r="A46" s="152" t="s">
        <v>717</v>
      </c>
      <c r="B46" s="608" t="s">
        <v>548</v>
      </c>
      <c r="C46" s="608"/>
      <c r="D46" s="124"/>
      <c r="E46" s="124"/>
      <c r="F46" s="124"/>
      <c r="G46" s="124"/>
      <c r="H46" s="124"/>
      <c r="I46" s="153"/>
    </row>
    <row r="47" spans="1:9">
      <c r="A47" s="152" t="s">
        <v>794</v>
      </c>
      <c r="B47" s="124" t="str">
        <f ca="1">WorkSheetName(PagePrincipale!$A$1)</f>
        <v>PagePrincipale</v>
      </c>
      <c r="C47" s="134" t="s">
        <v>835</v>
      </c>
      <c r="D47" s="134"/>
      <c r="E47" s="124"/>
      <c r="F47" s="124"/>
      <c r="G47" s="124"/>
      <c r="H47" s="124"/>
      <c r="I47" s="153"/>
    </row>
    <row r="48" spans="1:9" ht="13.8" thickBot="1">
      <c r="A48" s="183"/>
      <c r="B48" s="150"/>
      <c r="C48" s="149"/>
      <c r="D48" s="149"/>
      <c r="E48" s="150"/>
      <c r="F48" s="150"/>
      <c r="G48" s="150"/>
      <c r="H48" s="150"/>
      <c r="I48" s="151"/>
    </row>
    <row r="49" spans="1:9" ht="13.8" thickBot="1"/>
    <row r="50" spans="1:9">
      <c r="A50" s="179" t="s">
        <v>707</v>
      </c>
      <c r="B50" s="181"/>
      <c r="C50" s="181"/>
      <c r="D50" s="181"/>
      <c r="E50" s="181"/>
      <c r="F50" s="181"/>
      <c r="G50" s="180"/>
      <c r="H50" s="181"/>
      <c r="I50" s="182"/>
    </row>
    <row r="51" spans="1:9" ht="13.8" thickBot="1">
      <c r="A51" s="607">
        <v>1</v>
      </c>
      <c r="B51" s="150" t="str">
        <f ca="1">OFFSET($C$6,SIMPL_Liste_Tableaux_Selection,0)</f>
        <v>BalanceN</v>
      </c>
      <c r="C51" s="150" t="str">
        <f ca="1">OFFSET($D$6,SIMPL_Liste_Tableaux_Selection,0)</f>
        <v>A1</v>
      </c>
      <c r="D51" s="150"/>
      <c r="E51" s="150"/>
      <c r="F51" s="150"/>
      <c r="G51" s="150"/>
      <c r="H51" s="150"/>
      <c r="I51" s="151"/>
    </row>
    <row r="52" spans="1:9" ht="13.8" thickBot="1"/>
    <row r="53" spans="1:9">
      <c r="A53" s="175" t="s">
        <v>97</v>
      </c>
      <c r="B53" s="176" t="s">
        <v>517</v>
      </c>
      <c r="C53" s="176"/>
      <c r="D53" s="176"/>
      <c r="E53" s="176"/>
      <c r="F53" s="176"/>
      <c r="G53" s="176"/>
      <c r="H53" s="176"/>
      <c r="I53" s="177"/>
    </row>
    <row r="54" spans="1:9">
      <c r="A54" s="639" t="s">
        <v>792</v>
      </c>
      <c r="B54" s="640">
        <v>0</v>
      </c>
      <c r="C54" s="641"/>
      <c r="D54" s="641"/>
      <c r="E54" s="641"/>
      <c r="F54" s="641"/>
      <c r="G54" s="641"/>
      <c r="H54" s="641"/>
      <c r="I54" s="642"/>
    </row>
    <row r="55" spans="1:9" ht="13.8" thickBot="1">
      <c r="A55" s="643" t="s">
        <v>793</v>
      </c>
      <c r="B55" s="644" t="b">
        <v>0</v>
      </c>
      <c r="C55" s="645"/>
      <c r="D55" s="645"/>
      <c r="E55" s="645"/>
      <c r="F55" s="645"/>
      <c r="G55" s="645"/>
      <c r="H55" s="645"/>
      <c r="I55" s="646"/>
    </row>
    <row r="56" spans="1:9">
      <c r="A56" s="696" t="s">
        <v>1216</v>
      </c>
      <c r="B56" s="697">
        <f ca="1">COUNTA(BalanceN!$A$2:$A$3001)</f>
        <v>3000</v>
      </c>
      <c r="C56" s="697">
        <f>COUNTA(BalanceN!$C$63:$C$30001)</f>
        <v>0</v>
      </c>
      <c r="D56" s="698"/>
      <c r="E56" s="698"/>
      <c r="F56" s="698"/>
      <c r="G56" s="698"/>
      <c r="H56" s="698"/>
      <c r="I56" s="699"/>
    </row>
    <row r="57" spans="1:9" ht="13.8" thickBot="1">
      <c r="A57" s="643" t="s">
        <v>1217</v>
      </c>
      <c r="B57" s="644">
        <f ca="1">COUNTA('BalanceN-1'!$A$2:$A$3001)</f>
        <v>3000</v>
      </c>
      <c r="C57" s="644">
        <f>COUNTA('BalanceN-1'!$C$2:$C$30001)</f>
        <v>61</v>
      </c>
      <c r="D57" s="645"/>
      <c r="E57" s="645"/>
      <c r="F57" s="645"/>
      <c r="G57" s="645"/>
      <c r="H57" s="645"/>
      <c r="I57" s="646"/>
    </row>
    <row r="58" spans="1:9">
      <c r="A58" s="165" t="s">
        <v>518</v>
      </c>
      <c r="B58" s="694">
        <v>0</v>
      </c>
      <c r="C58" s="694"/>
      <c r="D58" s="694"/>
      <c r="E58" s="694"/>
      <c r="F58" s="694"/>
      <c r="G58" s="694"/>
      <c r="H58" s="694"/>
      <c r="I58" s="695"/>
    </row>
    <row r="59" spans="1:9">
      <c r="A59" s="168" t="s">
        <v>519</v>
      </c>
      <c r="B59" s="125">
        <v>0</v>
      </c>
      <c r="C59" s="125"/>
      <c r="D59" s="125"/>
      <c r="E59" s="125"/>
      <c r="F59" s="125"/>
      <c r="G59" s="125"/>
      <c r="H59" s="125"/>
      <c r="I59" s="169"/>
    </row>
    <row r="60" spans="1:9">
      <c r="A60" s="154" t="s">
        <v>520</v>
      </c>
      <c r="B60" s="125">
        <v>0</v>
      </c>
      <c r="C60" s="125"/>
      <c r="D60" s="125"/>
      <c r="E60" s="125"/>
      <c r="F60" s="125"/>
      <c r="G60" s="125"/>
      <c r="H60" s="125"/>
      <c r="I60" s="169"/>
    </row>
    <row r="61" spans="1:9">
      <c r="A61" s="168" t="s">
        <v>521</v>
      </c>
      <c r="B61" s="125">
        <v>0</v>
      </c>
      <c r="C61" s="125"/>
      <c r="D61" s="125"/>
      <c r="E61" s="125"/>
      <c r="F61" s="125"/>
      <c r="G61" s="125"/>
      <c r="H61" s="125"/>
      <c r="I61" s="169"/>
    </row>
    <row r="62" spans="1:9">
      <c r="A62" s="170" t="s">
        <v>522</v>
      </c>
      <c r="B62" s="126">
        <f>IF(CADRE_NEANT_T06_OPTION=FALSE,SIMPL_Cell_exerciceFiscalAu,"")</f>
        <v>43100</v>
      </c>
      <c r="C62" s="126"/>
      <c r="D62" s="126"/>
      <c r="E62" s="126"/>
      <c r="F62" s="126"/>
      <c r="G62" s="126"/>
      <c r="H62" s="126"/>
      <c r="I62" s="171"/>
    </row>
    <row r="63" spans="1:9">
      <c r="A63" s="170" t="s">
        <v>523</v>
      </c>
      <c r="B63" s="126" t="str">
        <f>IF(CADRE_NEANT_T07_OPTION=FALSE,SIMPL_Cell_exerciceFiscalAu,"")</f>
        <v/>
      </c>
      <c r="C63" s="126"/>
      <c r="D63" s="126"/>
      <c r="E63" s="126"/>
      <c r="F63" s="126"/>
      <c r="G63" s="126"/>
      <c r="H63" s="126"/>
      <c r="I63" s="171"/>
    </row>
    <row r="64" spans="1:9">
      <c r="A64" s="170" t="s">
        <v>524</v>
      </c>
      <c r="B64" s="126">
        <f>IF(CADRE_NEANT_T09_OPTION=FALSE,SIMPL_Cell_exerciceFiscalAu,"")</f>
        <v>43100</v>
      </c>
      <c r="C64" s="126"/>
      <c r="D64" s="126"/>
      <c r="E64" s="126"/>
      <c r="F64" s="126"/>
      <c r="G64" s="126"/>
      <c r="H64" s="126"/>
      <c r="I64" s="171"/>
    </row>
    <row r="65" spans="1:9">
      <c r="A65" s="170" t="s">
        <v>525</v>
      </c>
      <c r="B65" s="126">
        <f>IF(CADRE_NEANT_T10_OPTION=FALSE,SIMPL_Cell_exerciceFiscalAu,"")</f>
        <v>43100</v>
      </c>
      <c r="C65" s="126"/>
      <c r="D65" s="126"/>
      <c r="E65" s="126"/>
      <c r="F65" s="126"/>
      <c r="G65" s="126"/>
      <c r="H65" s="126"/>
      <c r="I65" s="171"/>
    </row>
    <row r="66" spans="1:9">
      <c r="A66" s="184" t="s">
        <v>710</v>
      </c>
      <c r="B66" s="125">
        <f ca="1">SUM(INDIRECT("'T16'!"&amp;ADDRESS(ROW('T16'!C9)+1,COLUMN('T16'!C9),4,TRUE)&amp;":"&amp;ADDRESS(ROW('T16'!C26)-1,COLUMN('T16'!C26),4,TRUE)))</f>
        <v>0</v>
      </c>
      <c r="C66" s="126"/>
      <c r="D66" s="126"/>
      <c r="E66" s="126"/>
      <c r="F66" s="126"/>
      <c r="G66" s="126"/>
      <c r="H66" s="126"/>
      <c r="I66" s="171"/>
    </row>
    <row r="67" spans="1:9">
      <c r="A67" s="170" t="s">
        <v>526</v>
      </c>
      <c r="B67" s="126" t="str">
        <f>IF(CADRE_NEANT_T16_OPTION=FALSE,SIMPL_Cell_exerciceFiscalAu,"")</f>
        <v/>
      </c>
      <c r="C67" s="126"/>
      <c r="D67" s="126"/>
      <c r="E67" s="126"/>
      <c r="F67" s="126"/>
      <c r="G67" s="126"/>
      <c r="H67" s="126"/>
      <c r="I67" s="171"/>
    </row>
    <row r="68" spans="1:9">
      <c r="A68" s="170" t="s">
        <v>527</v>
      </c>
      <c r="B68" s="126" t="str">
        <f>IF(CADRE_NEANT_T16_OPTION=FALSE,SIMPL_Cell_exerciceFiscalDu,"")</f>
        <v/>
      </c>
      <c r="C68" s="126"/>
      <c r="D68" s="126"/>
      <c r="E68" s="126"/>
      <c r="F68" s="126"/>
      <c r="G68" s="126"/>
      <c r="H68" s="126"/>
      <c r="I68" s="171"/>
    </row>
    <row r="69" spans="1:9">
      <c r="A69" s="170" t="s">
        <v>528</v>
      </c>
      <c r="B69" s="126" t="str">
        <f>IF(CADRE_NEANT_T16_OPTION=FALSE,SIMPL_Cell_exerciceFiscalAu,"")</f>
        <v/>
      </c>
      <c r="C69" s="126"/>
      <c r="D69" s="126"/>
      <c r="E69" s="126"/>
      <c r="F69" s="126"/>
      <c r="G69" s="126"/>
      <c r="H69" s="126"/>
      <c r="I69" s="171"/>
    </row>
    <row r="70" spans="1:9">
      <c r="A70" s="170" t="s">
        <v>529</v>
      </c>
      <c r="B70" s="126">
        <f>IF(CADRE_NEANT_T17_OPTION=FALSE,SIMPL_Cell_exerciceFiscalAu,"")</f>
        <v>43100</v>
      </c>
      <c r="C70" s="126"/>
      <c r="D70" s="126"/>
      <c r="E70" s="126"/>
      <c r="F70" s="126"/>
      <c r="G70" s="126"/>
      <c r="H70" s="126"/>
      <c r="I70" s="171"/>
    </row>
    <row r="71" spans="1:9" ht="13.8" thickBot="1">
      <c r="A71" s="172" t="s">
        <v>530</v>
      </c>
      <c r="B71" s="173">
        <f>IF(AND(CADRE_NEANT_T18_1_OPTION=FALSE,CADRE_NEANT_T18_2_OPTION=FALSE),SIMPL_Cell_exerciceFiscalAu,"")</f>
        <v>43100</v>
      </c>
      <c r="C71" s="173"/>
      <c r="D71" s="173"/>
      <c r="E71" s="173"/>
      <c r="F71" s="173"/>
      <c r="G71" s="173"/>
      <c r="H71" s="173"/>
      <c r="I71" s="174"/>
    </row>
    <row r="72" spans="1:9" ht="13.8" thickBot="1"/>
    <row r="73" spans="1:9">
      <c r="A73" s="178" t="s">
        <v>97</v>
      </c>
      <c r="B73" s="176" t="s">
        <v>517</v>
      </c>
      <c r="C73" s="176"/>
      <c r="D73" s="176"/>
      <c r="E73" s="176"/>
      <c r="F73" s="176"/>
      <c r="G73" s="176"/>
      <c r="H73" s="176"/>
      <c r="I73" s="177"/>
    </row>
    <row r="74" spans="1:9" ht="13.8">
      <c r="A74" s="155" t="s">
        <v>585</v>
      </c>
      <c r="B74" s="146">
        <f>ROW('T03'!B17)-ROW('T03'!B9)-1</f>
        <v>7</v>
      </c>
      <c r="C74" s="146"/>
      <c r="D74" s="146"/>
      <c r="E74" s="146"/>
      <c r="F74" s="146"/>
      <c r="G74" s="146"/>
      <c r="H74" s="146"/>
      <c r="I74" s="156"/>
    </row>
    <row r="75" spans="1:9" ht="13.8">
      <c r="A75" s="157" t="s">
        <v>586</v>
      </c>
      <c r="B75" s="147">
        <f>B74</f>
        <v>7</v>
      </c>
      <c r="C75" s="147"/>
      <c r="D75" s="147"/>
      <c r="E75" s="147"/>
      <c r="F75" s="147"/>
      <c r="G75" s="147"/>
      <c r="H75" s="147"/>
      <c r="I75" s="158"/>
    </row>
    <row r="76" spans="1:9" ht="13.8">
      <c r="A76" s="159" t="s">
        <v>587</v>
      </c>
      <c r="B76" s="148">
        <f>B74</f>
        <v>7</v>
      </c>
      <c r="C76" s="148"/>
      <c r="D76" s="148"/>
      <c r="E76" s="148"/>
      <c r="F76" s="148"/>
      <c r="G76" s="148"/>
      <c r="H76" s="148"/>
      <c r="I76" s="647"/>
    </row>
    <row r="77" spans="1:9" ht="13.8">
      <c r="A77" s="155" t="s">
        <v>588</v>
      </c>
      <c r="B77" s="146">
        <f>ROW('T03'!B24)-ROW('T03'!B17)-1</f>
        <v>6</v>
      </c>
      <c r="C77" s="146"/>
      <c r="D77" s="146"/>
      <c r="E77" s="146"/>
      <c r="F77" s="146"/>
      <c r="G77" s="146"/>
      <c r="H77" s="146"/>
      <c r="I77" s="156"/>
    </row>
    <row r="78" spans="1:9" ht="13.8">
      <c r="A78" s="157" t="s">
        <v>589</v>
      </c>
      <c r="B78" s="147">
        <f>B77</f>
        <v>6</v>
      </c>
      <c r="C78" s="147"/>
      <c r="D78" s="147"/>
      <c r="E78" s="147"/>
      <c r="F78" s="147"/>
      <c r="G78" s="147"/>
      <c r="H78" s="147"/>
      <c r="I78" s="158"/>
    </row>
    <row r="79" spans="1:9" ht="13.8">
      <c r="A79" s="159" t="s">
        <v>590</v>
      </c>
      <c r="B79" s="148">
        <f>B77</f>
        <v>6</v>
      </c>
      <c r="C79" s="148"/>
      <c r="D79" s="148"/>
      <c r="E79" s="148"/>
      <c r="F79" s="148"/>
      <c r="G79" s="148"/>
      <c r="H79" s="148"/>
      <c r="I79" s="647"/>
    </row>
    <row r="80" spans="1:9" ht="13.8">
      <c r="A80" s="155" t="s">
        <v>591</v>
      </c>
      <c r="B80" s="146">
        <f>ROW('T03'!B31)-ROW('T03'!B25)-1</f>
        <v>5</v>
      </c>
      <c r="C80" s="146"/>
      <c r="D80" s="146"/>
      <c r="E80" s="146"/>
      <c r="F80" s="146"/>
      <c r="G80" s="146"/>
      <c r="H80" s="146"/>
      <c r="I80" s="156"/>
    </row>
    <row r="81" spans="1:9" ht="13.8">
      <c r="A81" s="157" t="s">
        <v>592</v>
      </c>
      <c r="B81" s="147">
        <f>B80</f>
        <v>5</v>
      </c>
      <c r="C81" s="147"/>
      <c r="D81" s="147"/>
      <c r="E81" s="147"/>
      <c r="F81" s="147"/>
      <c r="G81" s="147"/>
      <c r="H81" s="147"/>
      <c r="I81" s="158"/>
    </row>
    <row r="82" spans="1:9" ht="13.8">
      <c r="A82" s="159" t="s">
        <v>593</v>
      </c>
      <c r="B82" s="148">
        <f>B80</f>
        <v>5</v>
      </c>
      <c r="C82" s="148"/>
      <c r="D82" s="148"/>
      <c r="E82" s="148"/>
      <c r="F82" s="148"/>
      <c r="G82" s="148"/>
      <c r="H82" s="148"/>
      <c r="I82" s="647"/>
    </row>
    <row r="83" spans="1:9" ht="13.8">
      <c r="A83" s="155" t="s">
        <v>594</v>
      </c>
      <c r="B83" s="146">
        <f>ROW('T03'!B36)-ROW('T03'!B31)-1</f>
        <v>4</v>
      </c>
      <c r="C83" s="146"/>
      <c r="D83" s="146"/>
      <c r="E83" s="146"/>
      <c r="F83" s="146"/>
      <c r="G83" s="146"/>
      <c r="H83" s="146"/>
      <c r="I83" s="156"/>
    </row>
    <row r="84" spans="1:9" ht="13.8">
      <c r="A84" s="157" t="s">
        <v>595</v>
      </c>
      <c r="B84" s="147">
        <f>B83</f>
        <v>4</v>
      </c>
      <c r="C84" s="147"/>
      <c r="D84" s="147"/>
      <c r="E84" s="147"/>
      <c r="F84" s="147"/>
      <c r="G84" s="147"/>
      <c r="H84" s="147"/>
      <c r="I84" s="158"/>
    </row>
    <row r="85" spans="1:9" ht="13.8">
      <c r="A85" s="159" t="s">
        <v>596</v>
      </c>
      <c r="B85" s="148">
        <f>B83</f>
        <v>4</v>
      </c>
      <c r="C85" s="148"/>
      <c r="D85" s="148"/>
      <c r="E85" s="148"/>
      <c r="F85" s="148"/>
      <c r="G85" s="148"/>
      <c r="H85" s="148"/>
      <c r="I85" s="647"/>
    </row>
    <row r="86" spans="1:9">
      <c r="A86" s="160" t="s">
        <v>597</v>
      </c>
      <c r="B86" s="146">
        <f>ROW('T07'!A24)-ROW('T07'!A5)-1</f>
        <v>18</v>
      </c>
      <c r="C86" s="146"/>
      <c r="D86" s="146"/>
      <c r="E86" s="146"/>
      <c r="F86" s="146"/>
      <c r="G86" s="146"/>
      <c r="H86" s="146"/>
      <c r="I86" s="156"/>
    </row>
    <row r="87" spans="1:9">
      <c r="A87" s="161" t="s">
        <v>598</v>
      </c>
      <c r="B87" s="147">
        <f>B86</f>
        <v>18</v>
      </c>
      <c r="C87" s="147"/>
      <c r="D87" s="147"/>
      <c r="E87" s="147"/>
      <c r="F87" s="147"/>
      <c r="G87" s="147"/>
      <c r="H87" s="147"/>
      <c r="I87" s="158"/>
    </row>
    <row r="88" spans="1:9">
      <c r="A88" s="161" t="s">
        <v>599</v>
      </c>
      <c r="B88" s="147">
        <f t="shared" ref="B88:B95" si="1">B87</f>
        <v>18</v>
      </c>
      <c r="C88" s="147"/>
      <c r="D88" s="147"/>
      <c r="E88" s="147"/>
      <c r="F88" s="147"/>
      <c r="G88" s="147"/>
      <c r="H88" s="147"/>
      <c r="I88" s="158"/>
    </row>
    <row r="89" spans="1:9">
      <c r="A89" s="161" t="s">
        <v>600</v>
      </c>
      <c r="B89" s="147">
        <f t="shared" si="1"/>
        <v>18</v>
      </c>
      <c r="C89" s="147"/>
      <c r="D89" s="147"/>
      <c r="E89" s="147"/>
      <c r="F89" s="147"/>
      <c r="G89" s="147"/>
      <c r="H89" s="147"/>
      <c r="I89" s="158"/>
    </row>
    <row r="90" spans="1:9">
      <c r="A90" s="161" t="s">
        <v>601</v>
      </c>
      <c r="B90" s="147">
        <f t="shared" si="1"/>
        <v>18</v>
      </c>
      <c r="C90" s="147"/>
      <c r="D90" s="147"/>
      <c r="E90" s="147"/>
      <c r="F90" s="147"/>
      <c r="G90" s="147"/>
      <c r="H90" s="147"/>
      <c r="I90" s="158"/>
    </row>
    <row r="91" spans="1:9">
      <c r="A91" s="161" t="s">
        <v>602</v>
      </c>
      <c r="B91" s="147">
        <f t="shared" si="1"/>
        <v>18</v>
      </c>
      <c r="C91" s="147"/>
      <c r="D91" s="147"/>
      <c r="E91" s="147"/>
      <c r="F91" s="147"/>
      <c r="G91" s="147"/>
      <c r="H91" s="147"/>
      <c r="I91" s="158"/>
    </row>
    <row r="92" spans="1:9">
      <c r="A92" s="161" t="s">
        <v>603</v>
      </c>
      <c r="B92" s="147">
        <f t="shared" si="1"/>
        <v>18</v>
      </c>
      <c r="C92" s="147"/>
      <c r="D92" s="147"/>
      <c r="E92" s="147"/>
      <c r="F92" s="147"/>
      <c r="G92" s="147"/>
      <c r="H92" s="147"/>
      <c r="I92" s="158"/>
    </row>
    <row r="93" spans="1:9">
      <c r="A93" s="161" t="s">
        <v>604</v>
      </c>
      <c r="B93" s="147">
        <f t="shared" si="1"/>
        <v>18</v>
      </c>
      <c r="C93" s="147"/>
      <c r="D93" s="147"/>
      <c r="E93" s="147"/>
      <c r="F93" s="147"/>
      <c r="G93" s="147"/>
      <c r="H93" s="147"/>
      <c r="I93" s="158"/>
    </row>
    <row r="94" spans="1:9">
      <c r="A94" s="161" t="s">
        <v>605</v>
      </c>
      <c r="B94" s="147">
        <f t="shared" si="1"/>
        <v>18</v>
      </c>
      <c r="C94" s="147"/>
      <c r="D94" s="147"/>
      <c r="E94" s="147"/>
      <c r="F94" s="147"/>
      <c r="G94" s="147"/>
      <c r="H94" s="147"/>
      <c r="I94" s="158"/>
    </row>
    <row r="95" spans="1:9">
      <c r="A95" s="161" t="s">
        <v>606</v>
      </c>
      <c r="B95" s="147">
        <f t="shared" si="1"/>
        <v>18</v>
      </c>
      <c r="C95" s="147"/>
      <c r="D95" s="147"/>
      <c r="E95" s="147"/>
      <c r="F95" s="147"/>
      <c r="G95" s="147"/>
      <c r="H95" s="147"/>
      <c r="I95" s="158"/>
    </row>
    <row r="96" spans="1:9">
      <c r="A96" s="162" t="s">
        <v>607</v>
      </c>
      <c r="B96" s="148">
        <f>B95</f>
        <v>18</v>
      </c>
      <c r="C96" s="148"/>
      <c r="D96" s="148"/>
      <c r="E96" s="148"/>
      <c r="F96" s="148"/>
      <c r="G96" s="148"/>
      <c r="H96" s="148"/>
      <c r="I96" s="647"/>
    </row>
    <row r="97" spans="1:9">
      <c r="A97" s="160" t="s">
        <v>608</v>
      </c>
      <c r="B97" s="146">
        <f>ROW('T10'!A22)-ROW('T10'!A3)-1</f>
        <v>18</v>
      </c>
      <c r="C97" s="146"/>
      <c r="D97" s="146"/>
      <c r="E97" s="146"/>
      <c r="F97" s="146"/>
      <c r="G97" s="146"/>
      <c r="H97" s="146"/>
      <c r="I97" s="156"/>
    </row>
    <row r="98" spans="1:9">
      <c r="A98" s="161" t="s">
        <v>609</v>
      </c>
      <c r="B98" s="147">
        <f t="shared" ref="B98:B103" si="2">B97</f>
        <v>18</v>
      </c>
      <c r="C98" s="147"/>
      <c r="D98" s="147"/>
      <c r="E98" s="147"/>
      <c r="F98" s="147"/>
      <c r="G98" s="147"/>
      <c r="H98" s="147"/>
      <c r="I98" s="158"/>
    </row>
    <row r="99" spans="1:9">
      <c r="A99" s="161" t="s">
        <v>610</v>
      </c>
      <c r="B99" s="147">
        <f t="shared" si="2"/>
        <v>18</v>
      </c>
      <c r="C99" s="147"/>
      <c r="D99" s="147"/>
      <c r="E99" s="147"/>
      <c r="F99" s="147"/>
      <c r="G99" s="147"/>
      <c r="H99" s="147"/>
      <c r="I99" s="158"/>
    </row>
    <row r="100" spans="1:9">
      <c r="A100" s="161" t="s">
        <v>611</v>
      </c>
      <c r="B100" s="147">
        <f t="shared" si="2"/>
        <v>18</v>
      </c>
      <c r="C100" s="147"/>
      <c r="D100" s="147"/>
      <c r="E100" s="147"/>
      <c r="F100" s="147"/>
      <c r="G100" s="147"/>
      <c r="H100" s="147"/>
      <c r="I100" s="158"/>
    </row>
    <row r="101" spans="1:9">
      <c r="A101" s="161" t="s">
        <v>612</v>
      </c>
      <c r="B101" s="147">
        <f t="shared" si="2"/>
        <v>18</v>
      </c>
      <c r="C101" s="147"/>
      <c r="D101" s="147"/>
      <c r="E101" s="147"/>
      <c r="F101" s="147"/>
      <c r="G101" s="147"/>
      <c r="H101" s="147"/>
      <c r="I101" s="158"/>
    </row>
    <row r="102" spans="1:9">
      <c r="A102" s="161" t="s">
        <v>613</v>
      </c>
      <c r="B102" s="147">
        <f t="shared" si="2"/>
        <v>18</v>
      </c>
      <c r="C102" s="147"/>
      <c r="D102" s="147"/>
      <c r="E102" s="147"/>
      <c r="F102" s="147"/>
      <c r="G102" s="147"/>
      <c r="H102" s="147"/>
      <c r="I102" s="158"/>
    </row>
    <row r="103" spans="1:9">
      <c r="A103" s="161" t="s">
        <v>614</v>
      </c>
      <c r="B103" s="147">
        <f t="shared" si="2"/>
        <v>18</v>
      </c>
      <c r="C103" s="147"/>
      <c r="D103" s="147"/>
      <c r="E103" s="147"/>
      <c r="F103" s="147"/>
      <c r="G103" s="147"/>
      <c r="H103" s="147"/>
      <c r="I103" s="158"/>
    </row>
    <row r="104" spans="1:9">
      <c r="A104" s="162" t="s">
        <v>615</v>
      </c>
      <c r="B104" s="148">
        <f>B103</f>
        <v>18</v>
      </c>
      <c r="C104" s="148"/>
      <c r="D104" s="148"/>
      <c r="E104" s="148"/>
      <c r="F104" s="148"/>
      <c r="G104" s="148"/>
      <c r="H104" s="148"/>
      <c r="I104" s="647"/>
    </row>
    <row r="105" spans="1:9">
      <c r="A105" s="217" t="s">
        <v>616</v>
      </c>
      <c r="B105" s="146">
        <f>ROW('T11'!A20)-ROW('T11'!A5)-1</f>
        <v>14</v>
      </c>
      <c r="C105" s="146"/>
      <c r="D105" s="146"/>
      <c r="E105" s="146"/>
      <c r="F105" s="146"/>
      <c r="G105" s="146"/>
      <c r="H105" s="146"/>
      <c r="I105" s="156"/>
    </row>
    <row r="106" spans="1:9">
      <c r="A106" s="792" t="s">
        <v>1384</v>
      </c>
      <c r="B106" s="147">
        <f t="shared" ref="B106:B112" si="3">B105</f>
        <v>14</v>
      </c>
      <c r="C106" s="147"/>
      <c r="D106" s="147"/>
      <c r="E106" s="147"/>
      <c r="F106" s="147"/>
      <c r="G106" s="147"/>
      <c r="H106" s="147"/>
      <c r="I106" s="158"/>
    </row>
    <row r="107" spans="1:9">
      <c r="A107" s="161" t="s">
        <v>617</v>
      </c>
      <c r="B107" s="147">
        <f t="shared" si="3"/>
        <v>14</v>
      </c>
      <c r="C107" s="147"/>
      <c r="D107" s="147"/>
      <c r="E107" s="147"/>
      <c r="F107" s="147"/>
      <c r="G107" s="147"/>
      <c r="H107" s="147"/>
      <c r="I107" s="158"/>
    </row>
    <row r="108" spans="1:9">
      <c r="A108" s="161" t="s">
        <v>618</v>
      </c>
      <c r="B108" s="147">
        <f t="shared" si="3"/>
        <v>14</v>
      </c>
      <c r="C108" s="147"/>
      <c r="D108" s="147"/>
      <c r="E108" s="147"/>
      <c r="F108" s="147"/>
      <c r="G108" s="147"/>
      <c r="H108" s="147"/>
      <c r="I108" s="158"/>
    </row>
    <row r="109" spans="1:9">
      <c r="A109" s="161" t="s">
        <v>619</v>
      </c>
      <c r="B109" s="147">
        <f t="shared" si="3"/>
        <v>14</v>
      </c>
      <c r="C109" s="147"/>
      <c r="D109" s="147"/>
      <c r="E109" s="147"/>
      <c r="F109" s="147"/>
      <c r="G109" s="147"/>
      <c r="H109" s="147"/>
      <c r="I109" s="158"/>
    </row>
    <row r="110" spans="1:9">
      <c r="A110" s="161" t="s">
        <v>620</v>
      </c>
      <c r="B110" s="147">
        <f t="shared" si="3"/>
        <v>14</v>
      </c>
      <c r="C110" s="147"/>
      <c r="D110" s="147"/>
      <c r="E110" s="147"/>
      <c r="F110" s="147"/>
      <c r="G110" s="147"/>
      <c r="H110" s="147"/>
      <c r="I110" s="158"/>
    </row>
    <row r="111" spans="1:9">
      <c r="A111" s="161" t="s">
        <v>621</v>
      </c>
      <c r="B111" s="147">
        <f t="shared" si="3"/>
        <v>14</v>
      </c>
      <c r="C111" s="147"/>
      <c r="D111" s="147"/>
      <c r="E111" s="147"/>
      <c r="F111" s="147"/>
      <c r="G111" s="147"/>
      <c r="H111" s="147"/>
      <c r="I111" s="158"/>
    </row>
    <row r="112" spans="1:9">
      <c r="A112" s="161" t="s">
        <v>622</v>
      </c>
      <c r="B112" s="147">
        <f t="shared" si="3"/>
        <v>14</v>
      </c>
      <c r="C112" s="147"/>
      <c r="D112" s="147"/>
      <c r="E112" s="147"/>
      <c r="F112" s="147"/>
      <c r="G112" s="147"/>
      <c r="H112" s="147"/>
      <c r="I112" s="158"/>
    </row>
    <row r="113" spans="1:9">
      <c r="A113" s="161" t="s">
        <v>623</v>
      </c>
      <c r="B113" s="147">
        <f>B112</f>
        <v>14</v>
      </c>
      <c r="C113" s="147"/>
      <c r="D113" s="147"/>
      <c r="E113" s="147"/>
      <c r="F113" s="147"/>
      <c r="G113" s="147"/>
      <c r="H113" s="147"/>
      <c r="I113" s="158"/>
    </row>
    <row r="114" spans="1:9">
      <c r="A114" s="161" t="s">
        <v>624</v>
      </c>
      <c r="B114" s="147">
        <f>B113</f>
        <v>14</v>
      </c>
      <c r="C114" s="147"/>
      <c r="D114" s="147"/>
      <c r="E114" s="147"/>
      <c r="F114" s="147"/>
      <c r="G114" s="147"/>
      <c r="H114" s="147"/>
      <c r="I114" s="158"/>
    </row>
    <row r="115" spans="1:9">
      <c r="A115" s="162" t="s">
        <v>625</v>
      </c>
      <c r="B115" s="148">
        <f>B114</f>
        <v>14</v>
      </c>
      <c r="C115" s="148"/>
      <c r="D115" s="148"/>
      <c r="E115" s="148"/>
      <c r="F115" s="148"/>
      <c r="G115" s="148"/>
      <c r="H115" s="148"/>
      <c r="I115" s="647"/>
    </row>
    <row r="116" spans="1:9">
      <c r="A116" s="217" t="s">
        <v>626</v>
      </c>
      <c r="B116" s="146">
        <f>ROW('T13'!A24)-ROW('T13'!A7)-1</f>
        <v>16</v>
      </c>
      <c r="C116" s="146"/>
      <c r="D116" s="146"/>
      <c r="E116" s="146"/>
      <c r="F116" s="146"/>
      <c r="G116" s="146"/>
      <c r="H116" s="146"/>
      <c r="I116" s="156"/>
    </row>
    <row r="117" spans="1:9">
      <c r="A117" s="792" t="s">
        <v>1385</v>
      </c>
      <c r="B117" s="147">
        <f t="shared" ref="B117:B127" si="4">B116</f>
        <v>16</v>
      </c>
      <c r="C117" s="147"/>
      <c r="D117" s="147"/>
      <c r="E117" s="147"/>
      <c r="F117" s="147"/>
      <c r="G117" s="147"/>
      <c r="H117" s="147"/>
      <c r="I117" s="158"/>
    </row>
    <row r="118" spans="1:9">
      <c r="A118" s="161" t="s">
        <v>627</v>
      </c>
      <c r="B118" s="147">
        <f t="shared" si="4"/>
        <v>16</v>
      </c>
      <c r="C118" s="147"/>
      <c r="D118" s="147"/>
      <c r="E118" s="147"/>
      <c r="F118" s="147"/>
      <c r="G118" s="147"/>
      <c r="H118" s="147"/>
      <c r="I118" s="158"/>
    </row>
    <row r="119" spans="1:9">
      <c r="A119" s="161" t="s">
        <v>628</v>
      </c>
      <c r="B119" s="147">
        <f t="shared" si="4"/>
        <v>16</v>
      </c>
      <c r="C119" s="147"/>
      <c r="D119" s="147"/>
      <c r="E119" s="147"/>
      <c r="F119" s="147"/>
      <c r="G119" s="147"/>
      <c r="H119" s="147"/>
      <c r="I119" s="158"/>
    </row>
    <row r="120" spans="1:9">
      <c r="A120" s="792" t="s">
        <v>1386</v>
      </c>
      <c r="B120" s="147">
        <f t="shared" si="4"/>
        <v>16</v>
      </c>
      <c r="C120" s="147"/>
      <c r="D120" s="147"/>
      <c r="E120" s="147"/>
      <c r="F120" s="147"/>
      <c r="G120" s="147"/>
      <c r="H120" s="147"/>
      <c r="I120" s="158"/>
    </row>
    <row r="121" spans="1:9">
      <c r="A121" s="161" t="s">
        <v>629</v>
      </c>
      <c r="B121" s="147">
        <f t="shared" si="4"/>
        <v>16</v>
      </c>
      <c r="C121" s="147"/>
      <c r="D121" s="147"/>
      <c r="E121" s="147"/>
      <c r="F121" s="147"/>
      <c r="G121" s="147"/>
      <c r="H121" s="147"/>
      <c r="I121" s="158"/>
    </row>
    <row r="122" spans="1:9">
      <c r="A122" s="161" t="s">
        <v>630</v>
      </c>
      <c r="B122" s="147">
        <f t="shared" si="4"/>
        <v>16</v>
      </c>
      <c r="C122" s="147"/>
      <c r="D122" s="147"/>
      <c r="E122" s="147"/>
      <c r="F122" s="147"/>
      <c r="G122" s="147"/>
      <c r="H122" s="147"/>
      <c r="I122" s="158"/>
    </row>
    <row r="123" spans="1:9">
      <c r="A123" s="161" t="s">
        <v>631</v>
      </c>
      <c r="B123" s="147">
        <f t="shared" si="4"/>
        <v>16</v>
      </c>
      <c r="C123" s="147"/>
      <c r="D123" s="147"/>
      <c r="E123" s="147"/>
      <c r="F123" s="147"/>
      <c r="G123" s="147"/>
      <c r="H123" s="147"/>
      <c r="I123" s="158"/>
    </row>
    <row r="124" spans="1:9">
      <c r="A124" s="161" t="s">
        <v>632</v>
      </c>
      <c r="B124" s="147">
        <f t="shared" si="4"/>
        <v>16</v>
      </c>
      <c r="C124" s="147"/>
      <c r="D124" s="147"/>
      <c r="E124" s="147"/>
      <c r="F124" s="147"/>
      <c r="G124" s="147"/>
      <c r="H124" s="147"/>
      <c r="I124" s="158"/>
    </row>
    <row r="125" spans="1:9">
      <c r="A125" s="161" t="s">
        <v>633</v>
      </c>
      <c r="B125" s="147">
        <f t="shared" si="4"/>
        <v>16</v>
      </c>
      <c r="C125" s="147"/>
      <c r="D125" s="147"/>
      <c r="E125" s="147"/>
      <c r="F125" s="147"/>
      <c r="G125" s="147"/>
      <c r="H125" s="147"/>
      <c r="I125" s="158"/>
    </row>
    <row r="126" spans="1:9">
      <c r="A126" s="161" t="s">
        <v>634</v>
      </c>
      <c r="B126" s="147">
        <f t="shared" si="4"/>
        <v>16</v>
      </c>
      <c r="C126" s="147"/>
      <c r="D126" s="147"/>
      <c r="E126" s="147"/>
      <c r="F126" s="147"/>
      <c r="G126" s="147"/>
      <c r="H126" s="147"/>
      <c r="I126" s="158"/>
    </row>
    <row r="127" spans="1:9">
      <c r="A127" s="162" t="s">
        <v>635</v>
      </c>
      <c r="B127" s="148">
        <f t="shared" si="4"/>
        <v>16</v>
      </c>
      <c r="C127" s="148"/>
      <c r="D127" s="148"/>
      <c r="E127" s="148"/>
      <c r="F127" s="148"/>
      <c r="G127" s="148"/>
      <c r="H127" s="148"/>
      <c r="I127" s="647"/>
    </row>
    <row r="128" spans="1:9">
      <c r="A128" s="163" t="s">
        <v>636</v>
      </c>
      <c r="B128" s="146">
        <f>ROW('T16'!A26)-ROW('T16'!A9)-1</f>
        <v>16</v>
      </c>
      <c r="C128" s="146"/>
      <c r="D128" s="146"/>
      <c r="E128" s="146"/>
      <c r="F128" s="146"/>
      <c r="G128" s="146"/>
      <c r="H128" s="146"/>
      <c r="I128" s="156"/>
    </row>
    <row r="129" spans="1:9">
      <c r="A129" s="164" t="s">
        <v>637</v>
      </c>
      <c r="B129" s="147">
        <f>B128</f>
        <v>16</v>
      </c>
      <c r="C129" s="147"/>
      <c r="D129" s="147"/>
      <c r="E129" s="147"/>
      <c r="F129" s="147"/>
      <c r="G129" s="147"/>
      <c r="H129" s="147"/>
      <c r="I129" s="158"/>
    </row>
    <row r="130" spans="1:9">
      <c r="A130" s="164" t="s">
        <v>638</v>
      </c>
      <c r="B130" s="147">
        <f t="shared" ref="B130:B136" si="5">B129</f>
        <v>16</v>
      </c>
      <c r="C130" s="147"/>
      <c r="D130" s="147"/>
      <c r="E130" s="147"/>
      <c r="F130" s="147"/>
      <c r="G130" s="147"/>
      <c r="H130" s="147"/>
      <c r="I130" s="158"/>
    </row>
    <row r="131" spans="1:9">
      <c r="A131" s="164" t="s">
        <v>639</v>
      </c>
      <c r="B131" s="147">
        <f t="shared" si="5"/>
        <v>16</v>
      </c>
      <c r="C131" s="147"/>
      <c r="D131" s="147"/>
      <c r="E131" s="147"/>
      <c r="F131" s="147"/>
      <c r="G131" s="147"/>
      <c r="H131" s="147"/>
      <c r="I131" s="158"/>
    </row>
    <row r="132" spans="1:9">
      <c r="A132" s="164" t="s">
        <v>640</v>
      </c>
      <c r="B132" s="147">
        <f t="shared" si="5"/>
        <v>16</v>
      </c>
      <c r="C132" s="147"/>
      <c r="D132" s="147"/>
      <c r="E132" s="147"/>
      <c r="F132" s="147"/>
      <c r="G132" s="147"/>
      <c r="H132" s="147"/>
      <c r="I132" s="158"/>
    </row>
    <row r="133" spans="1:9">
      <c r="A133" s="164" t="s">
        <v>641</v>
      </c>
      <c r="B133" s="147">
        <f t="shared" si="5"/>
        <v>16</v>
      </c>
      <c r="C133" s="147"/>
      <c r="D133" s="147"/>
      <c r="E133" s="147"/>
      <c r="F133" s="147"/>
      <c r="G133" s="147"/>
      <c r="H133" s="147"/>
      <c r="I133" s="158"/>
    </row>
    <row r="134" spans="1:9">
      <c r="A134" s="164" t="s">
        <v>642</v>
      </c>
      <c r="B134" s="147">
        <f t="shared" si="5"/>
        <v>16</v>
      </c>
      <c r="C134" s="147"/>
      <c r="D134" s="147"/>
      <c r="E134" s="147"/>
      <c r="F134" s="147"/>
      <c r="G134" s="147"/>
      <c r="H134" s="147"/>
      <c r="I134" s="158"/>
    </row>
    <row r="135" spans="1:9">
      <c r="A135" s="164" t="s">
        <v>643</v>
      </c>
      <c r="B135" s="147">
        <f t="shared" si="5"/>
        <v>16</v>
      </c>
      <c r="C135" s="147"/>
      <c r="D135" s="147"/>
      <c r="E135" s="147"/>
      <c r="F135" s="147"/>
      <c r="G135" s="147"/>
      <c r="H135" s="147"/>
      <c r="I135" s="158"/>
    </row>
    <row r="136" spans="1:9">
      <c r="A136" s="164" t="s">
        <v>644</v>
      </c>
      <c r="B136" s="147">
        <f t="shared" si="5"/>
        <v>16</v>
      </c>
      <c r="C136" s="147"/>
      <c r="D136" s="147"/>
      <c r="E136" s="147"/>
      <c r="F136" s="147"/>
      <c r="G136" s="147"/>
      <c r="H136" s="147"/>
      <c r="I136" s="158"/>
    </row>
    <row r="137" spans="1:9">
      <c r="A137" s="165" t="s">
        <v>645</v>
      </c>
      <c r="B137" s="148">
        <f>B136</f>
        <v>16</v>
      </c>
      <c r="C137" s="148"/>
      <c r="D137" s="148"/>
      <c r="E137" s="148"/>
      <c r="F137" s="148"/>
      <c r="G137" s="148"/>
      <c r="H137" s="148"/>
      <c r="I137" s="647"/>
    </row>
    <row r="138" spans="1:9">
      <c r="A138" s="217" t="s">
        <v>646</v>
      </c>
      <c r="B138" s="146">
        <f>ROW('T18'!A11)-ROW('T18'!A5)-1</f>
        <v>5</v>
      </c>
      <c r="C138" s="146"/>
      <c r="D138" s="146"/>
      <c r="E138" s="146"/>
      <c r="F138" s="146"/>
      <c r="G138" s="146"/>
      <c r="H138" s="146"/>
      <c r="I138" s="156"/>
    </row>
    <row r="139" spans="1:9">
      <c r="A139" s="792" t="s">
        <v>1375</v>
      </c>
      <c r="B139" s="147">
        <f t="shared" ref="B139:B151" si="6">B138</f>
        <v>5</v>
      </c>
      <c r="C139" s="147"/>
      <c r="D139" s="147"/>
      <c r="E139" s="147"/>
      <c r="F139" s="147"/>
      <c r="G139" s="147"/>
      <c r="H139" s="147"/>
      <c r="I139" s="158"/>
    </row>
    <row r="140" spans="1:9">
      <c r="A140" s="161" t="s">
        <v>647</v>
      </c>
      <c r="B140" s="147">
        <f t="shared" si="6"/>
        <v>5</v>
      </c>
      <c r="C140" s="147"/>
      <c r="D140" s="147"/>
      <c r="E140" s="147"/>
      <c r="F140" s="147"/>
      <c r="G140" s="147"/>
      <c r="H140" s="147"/>
      <c r="I140" s="158"/>
    </row>
    <row r="141" spans="1:9">
      <c r="A141" s="161" t="s">
        <v>648</v>
      </c>
      <c r="B141" s="147">
        <f t="shared" si="6"/>
        <v>5</v>
      </c>
      <c r="C141" s="147"/>
      <c r="D141" s="147"/>
      <c r="E141" s="147"/>
      <c r="F141" s="147"/>
      <c r="G141" s="147"/>
      <c r="H141" s="147"/>
      <c r="I141" s="158"/>
    </row>
    <row r="142" spans="1:9">
      <c r="A142" s="792" t="s">
        <v>1376</v>
      </c>
      <c r="B142" s="147">
        <f t="shared" si="6"/>
        <v>5</v>
      </c>
      <c r="C142" s="147"/>
      <c r="D142" s="147"/>
      <c r="E142" s="147"/>
      <c r="F142" s="147"/>
      <c r="G142" s="147"/>
      <c r="H142" s="147"/>
      <c r="I142" s="158"/>
    </row>
    <row r="143" spans="1:9">
      <c r="A143" s="161" t="s">
        <v>649</v>
      </c>
      <c r="B143" s="147">
        <f t="shared" si="6"/>
        <v>5</v>
      </c>
      <c r="C143" s="147"/>
      <c r="D143" s="147"/>
      <c r="E143" s="147"/>
      <c r="F143" s="147"/>
      <c r="G143" s="147"/>
      <c r="H143" s="147"/>
      <c r="I143" s="158"/>
    </row>
    <row r="144" spans="1:9">
      <c r="A144" s="161" t="s">
        <v>650</v>
      </c>
      <c r="B144" s="147">
        <f t="shared" si="6"/>
        <v>5</v>
      </c>
      <c r="C144" s="147"/>
      <c r="D144" s="147"/>
      <c r="E144" s="147"/>
      <c r="F144" s="147"/>
      <c r="G144" s="147"/>
      <c r="H144" s="147"/>
      <c r="I144" s="158"/>
    </row>
    <row r="145" spans="1:9">
      <c r="A145" s="161" t="s">
        <v>651</v>
      </c>
      <c r="B145" s="147">
        <f t="shared" si="6"/>
        <v>5</v>
      </c>
      <c r="C145" s="147"/>
      <c r="D145" s="147"/>
      <c r="E145" s="147"/>
      <c r="F145" s="147"/>
      <c r="G145" s="147"/>
      <c r="H145" s="147"/>
      <c r="I145" s="158"/>
    </row>
    <row r="146" spans="1:9">
      <c r="A146" s="161" t="s">
        <v>652</v>
      </c>
      <c r="B146" s="147">
        <f t="shared" si="6"/>
        <v>5</v>
      </c>
      <c r="C146" s="147"/>
      <c r="D146" s="147"/>
      <c r="E146" s="147"/>
      <c r="F146" s="147"/>
      <c r="G146" s="147"/>
      <c r="H146" s="147"/>
      <c r="I146" s="158"/>
    </row>
    <row r="147" spans="1:9">
      <c r="A147" s="161" t="s">
        <v>653</v>
      </c>
      <c r="B147" s="147">
        <f t="shared" si="6"/>
        <v>5</v>
      </c>
      <c r="C147" s="147"/>
      <c r="D147" s="147"/>
      <c r="E147" s="147"/>
      <c r="F147" s="147"/>
      <c r="G147" s="147"/>
      <c r="H147" s="147"/>
      <c r="I147" s="158"/>
    </row>
    <row r="148" spans="1:9">
      <c r="A148" s="161" t="s">
        <v>654</v>
      </c>
      <c r="B148" s="147">
        <f t="shared" si="6"/>
        <v>5</v>
      </c>
      <c r="C148" s="147"/>
      <c r="D148" s="147"/>
      <c r="E148" s="147"/>
      <c r="F148" s="147"/>
      <c r="G148" s="147"/>
      <c r="H148" s="147"/>
      <c r="I148" s="158"/>
    </row>
    <row r="149" spans="1:9">
      <c r="A149" s="161" t="s">
        <v>655</v>
      </c>
      <c r="B149" s="147">
        <f t="shared" si="6"/>
        <v>5</v>
      </c>
      <c r="C149" s="147"/>
      <c r="D149" s="147"/>
      <c r="E149" s="147"/>
      <c r="F149" s="147"/>
      <c r="G149" s="147"/>
      <c r="H149" s="147"/>
      <c r="I149" s="158"/>
    </row>
    <row r="150" spans="1:9">
      <c r="A150" s="161" t="s">
        <v>656</v>
      </c>
      <c r="B150" s="147">
        <f t="shared" si="6"/>
        <v>5</v>
      </c>
      <c r="C150" s="147"/>
      <c r="D150" s="147"/>
      <c r="E150" s="147"/>
      <c r="F150" s="147"/>
      <c r="G150" s="147"/>
      <c r="H150" s="147"/>
      <c r="I150" s="158"/>
    </row>
    <row r="151" spans="1:9">
      <c r="A151" s="161" t="s">
        <v>657</v>
      </c>
      <c r="B151" s="147">
        <f t="shared" si="6"/>
        <v>5</v>
      </c>
      <c r="C151" s="147"/>
      <c r="D151" s="147"/>
      <c r="E151" s="147"/>
      <c r="F151" s="147"/>
      <c r="G151" s="147"/>
      <c r="H151" s="147"/>
      <c r="I151" s="158"/>
    </row>
    <row r="152" spans="1:9">
      <c r="A152" s="162" t="s">
        <v>658</v>
      </c>
      <c r="B152" s="148">
        <f>B151</f>
        <v>5</v>
      </c>
      <c r="C152" s="148"/>
      <c r="D152" s="148"/>
      <c r="E152" s="148"/>
      <c r="F152" s="148"/>
      <c r="G152" s="148"/>
      <c r="H152" s="148"/>
      <c r="I152" s="647"/>
    </row>
    <row r="153" spans="1:9">
      <c r="A153" s="217" t="s">
        <v>659</v>
      </c>
      <c r="B153" s="146">
        <f>ROW('T18'!A17)-ROW('T18'!A11)-1</f>
        <v>5</v>
      </c>
      <c r="C153" s="146"/>
      <c r="D153" s="146"/>
      <c r="E153" s="146"/>
      <c r="F153" s="146"/>
      <c r="G153" s="146"/>
      <c r="H153" s="146"/>
      <c r="I153" s="156"/>
    </row>
    <row r="154" spans="1:9">
      <c r="A154" s="792" t="s">
        <v>1377</v>
      </c>
      <c r="B154" s="147">
        <f t="shared" ref="B154:B166" si="7">B153</f>
        <v>5</v>
      </c>
      <c r="C154" s="147"/>
      <c r="D154" s="147"/>
      <c r="E154" s="147"/>
      <c r="F154" s="147"/>
      <c r="G154" s="147"/>
      <c r="H154" s="147"/>
      <c r="I154" s="158"/>
    </row>
    <row r="155" spans="1:9">
      <c r="A155" s="161" t="s">
        <v>660</v>
      </c>
      <c r="B155" s="147">
        <f t="shared" si="7"/>
        <v>5</v>
      </c>
      <c r="C155" s="147"/>
      <c r="D155" s="147"/>
      <c r="E155" s="147"/>
      <c r="F155" s="147"/>
      <c r="G155" s="147"/>
      <c r="H155" s="147"/>
      <c r="I155" s="158"/>
    </row>
    <row r="156" spans="1:9">
      <c r="A156" s="161" t="s">
        <v>661</v>
      </c>
      <c r="B156" s="147">
        <f t="shared" si="7"/>
        <v>5</v>
      </c>
      <c r="C156" s="147"/>
      <c r="D156" s="147"/>
      <c r="E156" s="147"/>
      <c r="F156" s="147"/>
      <c r="G156" s="147"/>
      <c r="H156" s="147"/>
      <c r="I156" s="158"/>
    </row>
    <row r="157" spans="1:9">
      <c r="A157" s="792" t="s">
        <v>1378</v>
      </c>
      <c r="B157" s="147">
        <f t="shared" si="7"/>
        <v>5</v>
      </c>
      <c r="C157" s="147"/>
      <c r="D157" s="147"/>
      <c r="E157" s="147"/>
      <c r="F157" s="147"/>
      <c r="G157" s="147"/>
      <c r="H157" s="147"/>
      <c r="I157" s="158"/>
    </row>
    <row r="158" spans="1:9">
      <c r="A158" s="161" t="s">
        <v>662</v>
      </c>
      <c r="B158" s="147">
        <f t="shared" si="7"/>
        <v>5</v>
      </c>
      <c r="C158" s="147"/>
      <c r="D158" s="147"/>
      <c r="E158" s="147"/>
      <c r="F158" s="147"/>
      <c r="G158" s="147"/>
      <c r="H158" s="147"/>
      <c r="I158" s="158"/>
    </row>
    <row r="159" spans="1:9">
      <c r="A159" s="161" t="s">
        <v>663</v>
      </c>
      <c r="B159" s="147">
        <f t="shared" si="7"/>
        <v>5</v>
      </c>
      <c r="C159" s="147"/>
      <c r="D159" s="147"/>
      <c r="E159" s="147"/>
      <c r="F159" s="147"/>
      <c r="G159" s="147"/>
      <c r="H159" s="147"/>
      <c r="I159" s="158"/>
    </row>
    <row r="160" spans="1:9">
      <c r="A160" s="161" t="s">
        <v>664</v>
      </c>
      <c r="B160" s="147">
        <f t="shared" si="7"/>
        <v>5</v>
      </c>
      <c r="C160" s="147"/>
      <c r="D160" s="147"/>
      <c r="E160" s="147"/>
      <c r="F160" s="147"/>
      <c r="G160" s="147"/>
      <c r="H160" s="147"/>
      <c r="I160" s="158"/>
    </row>
    <row r="161" spans="1:9">
      <c r="A161" s="161" t="s">
        <v>665</v>
      </c>
      <c r="B161" s="147">
        <f t="shared" si="7"/>
        <v>5</v>
      </c>
      <c r="C161" s="147"/>
      <c r="D161" s="147"/>
      <c r="E161" s="147"/>
      <c r="F161" s="147"/>
      <c r="G161" s="147"/>
      <c r="H161" s="147"/>
      <c r="I161" s="158"/>
    </row>
    <row r="162" spans="1:9">
      <c r="A162" s="161" t="s">
        <v>666</v>
      </c>
      <c r="B162" s="147">
        <f t="shared" si="7"/>
        <v>5</v>
      </c>
      <c r="C162" s="147"/>
      <c r="D162" s="147"/>
      <c r="E162" s="147"/>
      <c r="F162" s="147"/>
      <c r="G162" s="147"/>
      <c r="H162" s="147"/>
      <c r="I162" s="158"/>
    </row>
    <row r="163" spans="1:9">
      <c r="A163" s="161" t="s">
        <v>667</v>
      </c>
      <c r="B163" s="147">
        <f t="shared" si="7"/>
        <v>5</v>
      </c>
      <c r="C163" s="147"/>
      <c r="D163" s="147"/>
      <c r="E163" s="147"/>
      <c r="F163" s="147"/>
      <c r="G163" s="147"/>
      <c r="H163" s="147"/>
      <c r="I163" s="158"/>
    </row>
    <row r="164" spans="1:9">
      <c r="A164" s="161" t="s">
        <v>668</v>
      </c>
      <c r="B164" s="147">
        <f t="shared" si="7"/>
        <v>5</v>
      </c>
      <c r="C164" s="147"/>
      <c r="D164" s="147"/>
      <c r="E164" s="147"/>
      <c r="F164" s="147"/>
      <c r="G164" s="147"/>
      <c r="H164" s="147"/>
      <c r="I164" s="158"/>
    </row>
    <row r="165" spans="1:9">
      <c r="A165" s="161" t="s">
        <v>669</v>
      </c>
      <c r="B165" s="147">
        <f t="shared" si="7"/>
        <v>5</v>
      </c>
      <c r="C165" s="147"/>
      <c r="D165" s="147"/>
      <c r="E165" s="147"/>
      <c r="F165" s="147"/>
      <c r="G165" s="147"/>
      <c r="H165" s="147"/>
      <c r="I165" s="158"/>
    </row>
    <row r="166" spans="1:9">
      <c r="A166" s="161" t="s">
        <v>670</v>
      </c>
      <c r="B166" s="147">
        <f t="shared" si="7"/>
        <v>5</v>
      </c>
      <c r="C166" s="147"/>
      <c r="D166" s="147"/>
      <c r="E166" s="147"/>
      <c r="F166" s="147"/>
      <c r="G166" s="147"/>
      <c r="H166" s="147"/>
      <c r="I166" s="158"/>
    </row>
    <row r="167" spans="1:9">
      <c r="A167" s="162" t="s">
        <v>671</v>
      </c>
      <c r="B167" s="148">
        <f>B166</f>
        <v>5</v>
      </c>
      <c r="C167" s="148"/>
      <c r="D167" s="148"/>
      <c r="E167" s="148"/>
      <c r="F167" s="148"/>
      <c r="G167" s="148"/>
      <c r="H167" s="148"/>
      <c r="I167" s="647"/>
    </row>
    <row r="168" spans="1:9">
      <c r="A168" s="160" t="s">
        <v>672</v>
      </c>
      <c r="B168" s="146">
        <f>ROW('T19'!A24)-ROW('T19'!A5)-1</f>
        <v>18</v>
      </c>
      <c r="C168" s="146"/>
      <c r="D168" s="146"/>
      <c r="E168" s="146"/>
      <c r="F168" s="146"/>
      <c r="G168" s="146"/>
      <c r="H168" s="146"/>
      <c r="I168" s="156"/>
    </row>
    <row r="169" spans="1:9">
      <c r="A169" s="161" t="s">
        <v>673</v>
      </c>
      <c r="B169" s="147">
        <f t="shared" ref="B169:B180" si="8">B168</f>
        <v>18</v>
      </c>
      <c r="C169" s="147"/>
      <c r="D169" s="147"/>
      <c r="E169" s="147"/>
      <c r="F169" s="147"/>
      <c r="G169" s="147"/>
      <c r="H169" s="147"/>
      <c r="I169" s="158"/>
    </row>
    <row r="170" spans="1:9">
      <c r="A170" s="793" t="s">
        <v>674</v>
      </c>
      <c r="B170" s="147">
        <f t="shared" si="8"/>
        <v>18</v>
      </c>
      <c r="C170" s="147"/>
      <c r="D170" s="147"/>
      <c r="E170" s="147"/>
      <c r="F170" s="147"/>
      <c r="G170" s="147"/>
      <c r="H170" s="147"/>
      <c r="I170" s="158"/>
    </row>
    <row r="171" spans="1:9">
      <c r="A171" s="792" t="s">
        <v>1379</v>
      </c>
      <c r="B171" s="147">
        <f t="shared" si="8"/>
        <v>18</v>
      </c>
      <c r="C171" s="147"/>
      <c r="D171" s="147"/>
      <c r="E171" s="147"/>
      <c r="F171" s="147"/>
      <c r="G171" s="147"/>
      <c r="H171" s="147"/>
      <c r="I171" s="158"/>
    </row>
    <row r="172" spans="1:9">
      <c r="A172" s="792" t="s">
        <v>1380</v>
      </c>
      <c r="B172" s="147">
        <f t="shared" si="8"/>
        <v>18</v>
      </c>
      <c r="C172" s="147"/>
      <c r="D172" s="147"/>
      <c r="E172" s="147"/>
      <c r="F172" s="147"/>
      <c r="G172" s="147"/>
      <c r="H172" s="147"/>
      <c r="I172" s="158"/>
    </row>
    <row r="173" spans="1:9">
      <c r="A173" s="792" t="s">
        <v>1381</v>
      </c>
      <c r="B173" s="147">
        <f t="shared" si="8"/>
        <v>18</v>
      </c>
      <c r="C173" s="147"/>
      <c r="D173" s="147"/>
      <c r="E173" s="147"/>
      <c r="F173" s="147"/>
      <c r="G173" s="147"/>
      <c r="H173" s="147"/>
      <c r="I173" s="158"/>
    </row>
    <row r="174" spans="1:9">
      <c r="A174" s="792" t="s">
        <v>1382</v>
      </c>
      <c r="B174" s="147">
        <f t="shared" si="8"/>
        <v>18</v>
      </c>
      <c r="C174" s="147"/>
      <c r="D174" s="147"/>
      <c r="E174" s="147"/>
      <c r="F174" s="147"/>
      <c r="G174" s="147"/>
      <c r="H174" s="147"/>
      <c r="I174" s="158"/>
    </row>
    <row r="175" spans="1:9">
      <c r="A175" s="792" t="s">
        <v>1383</v>
      </c>
      <c r="B175" s="147">
        <f t="shared" si="8"/>
        <v>18</v>
      </c>
      <c r="C175" s="147"/>
      <c r="D175" s="147"/>
      <c r="E175" s="147"/>
      <c r="F175" s="147"/>
      <c r="G175" s="147"/>
      <c r="H175" s="147"/>
      <c r="I175" s="158"/>
    </row>
    <row r="176" spans="1:9">
      <c r="A176" s="161" t="s">
        <v>675</v>
      </c>
      <c r="B176" s="147">
        <f t="shared" si="8"/>
        <v>18</v>
      </c>
      <c r="C176" s="147"/>
      <c r="D176" s="147"/>
      <c r="E176" s="147"/>
      <c r="F176" s="147"/>
      <c r="G176" s="147"/>
      <c r="H176" s="147"/>
      <c r="I176" s="158"/>
    </row>
    <row r="177" spans="1:9">
      <c r="A177" s="161" t="s">
        <v>676</v>
      </c>
      <c r="B177" s="147">
        <f t="shared" si="8"/>
        <v>18</v>
      </c>
      <c r="C177" s="147"/>
      <c r="D177" s="147"/>
      <c r="E177" s="147"/>
      <c r="F177" s="147"/>
      <c r="G177" s="147"/>
      <c r="H177" s="147"/>
      <c r="I177" s="158"/>
    </row>
    <row r="178" spans="1:9">
      <c r="A178" s="161" t="s">
        <v>677</v>
      </c>
      <c r="B178" s="147">
        <f t="shared" si="8"/>
        <v>18</v>
      </c>
      <c r="C178" s="147"/>
      <c r="D178" s="147"/>
      <c r="E178" s="147"/>
      <c r="F178" s="147"/>
      <c r="G178" s="147"/>
      <c r="H178" s="147"/>
      <c r="I178" s="158"/>
    </row>
    <row r="179" spans="1:9">
      <c r="A179" s="161" t="s">
        <v>678</v>
      </c>
      <c r="B179" s="147">
        <f t="shared" si="8"/>
        <v>18</v>
      </c>
      <c r="C179" s="147"/>
      <c r="D179" s="147"/>
      <c r="E179" s="147"/>
      <c r="F179" s="147"/>
      <c r="G179" s="147"/>
      <c r="H179" s="147"/>
      <c r="I179" s="158"/>
    </row>
    <row r="180" spans="1:9">
      <c r="A180" s="162" t="s">
        <v>679</v>
      </c>
      <c r="B180" s="148">
        <f t="shared" si="8"/>
        <v>18</v>
      </c>
      <c r="C180" s="148"/>
      <c r="D180" s="148"/>
      <c r="E180" s="148"/>
      <c r="F180" s="148"/>
      <c r="G180" s="148"/>
      <c r="H180" s="148"/>
      <c r="I180" s="647"/>
    </row>
    <row r="181" spans="1:9">
      <c r="A181" s="793" t="s">
        <v>1387</v>
      </c>
      <c r="B181" s="146">
        <f>ROW('T26'!D17)-ROW('T26'!D7)-1</f>
        <v>9</v>
      </c>
      <c r="C181" s="147"/>
      <c r="D181" s="147"/>
      <c r="E181" s="147"/>
      <c r="F181" s="147"/>
      <c r="G181" s="147"/>
      <c r="H181" s="147"/>
      <c r="I181" s="158"/>
    </row>
    <row r="182" spans="1:9">
      <c r="A182" s="794" t="s">
        <v>1388</v>
      </c>
      <c r="B182" s="148">
        <f>+B181</f>
        <v>9</v>
      </c>
      <c r="C182" s="148"/>
      <c r="D182" s="148"/>
      <c r="E182" s="148"/>
      <c r="F182" s="148"/>
      <c r="G182" s="148"/>
      <c r="H182" s="148"/>
      <c r="I182" s="647"/>
    </row>
    <row r="183" spans="1:9">
      <c r="A183" s="793" t="s">
        <v>1389</v>
      </c>
      <c r="B183" s="147">
        <f>ROW('T26'!D30)-ROW('T26'!D20)-1</f>
        <v>9</v>
      </c>
      <c r="C183" s="147"/>
      <c r="D183" s="147"/>
      <c r="E183" s="147"/>
      <c r="F183" s="147"/>
      <c r="G183" s="147"/>
      <c r="H183" s="147"/>
      <c r="I183" s="158"/>
    </row>
    <row r="184" spans="1:9">
      <c r="A184" s="794" t="s">
        <v>1390</v>
      </c>
      <c r="B184" s="148">
        <f>+B183</f>
        <v>9</v>
      </c>
      <c r="C184" s="148"/>
      <c r="D184" s="148"/>
      <c r="E184" s="148"/>
      <c r="F184" s="148"/>
      <c r="G184" s="148"/>
      <c r="H184" s="148"/>
      <c r="I184" s="647"/>
    </row>
    <row r="185" spans="1:9">
      <c r="A185" s="793" t="s">
        <v>1391</v>
      </c>
      <c r="B185" s="146">
        <f>ROW('T25'!B14)-ROW('T25'!B4)-1</f>
        <v>9</v>
      </c>
      <c r="C185" s="147"/>
      <c r="D185" s="147"/>
      <c r="E185" s="147"/>
      <c r="F185" s="147"/>
      <c r="G185" s="147"/>
      <c r="H185" s="147"/>
      <c r="I185" s="158"/>
    </row>
    <row r="186" spans="1:9">
      <c r="A186" s="793" t="s">
        <v>1392</v>
      </c>
      <c r="B186" s="147">
        <f>+B185</f>
        <v>9</v>
      </c>
      <c r="C186" s="147"/>
      <c r="D186" s="147"/>
      <c r="E186" s="147"/>
      <c r="F186" s="147"/>
      <c r="G186" s="147"/>
      <c r="H186" s="147"/>
      <c r="I186" s="158"/>
    </row>
    <row r="187" spans="1:9">
      <c r="A187" s="794" t="s">
        <v>1393</v>
      </c>
      <c r="B187" s="148">
        <f>+B186</f>
        <v>9</v>
      </c>
      <c r="C187" s="148"/>
      <c r="D187" s="148"/>
      <c r="E187" s="148"/>
      <c r="F187" s="148"/>
      <c r="G187" s="148"/>
      <c r="H187" s="148"/>
      <c r="I187" s="647"/>
    </row>
    <row r="188" spans="1:9">
      <c r="A188" s="793" t="s">
        <v>1394</v>
      </c>
      <c r="B188" s="147">
        <f>ROW('T25'!B199)-ROW('T25'!B14)-1</f>
        <v>184</v>
      </c>
      <c r="C188" s="147"/>
      <c r="D188" s="147"/>
      <c r="E188" s="147"/>
      <c r="F188" s="147"/>
      <c r="G188" s="147"/>
      <c r="H188" s="147"/>
      <c r="I188" s="158"/>
    </row>
    <row r="189" spans="1:9">
      <c r="A189" s="793" t="s">
        <v>1395</v>
      </c>
      <c r="B189" s="147">
        <f>+B188</f>
        <v>184</v>
      </c>
      <c r="C189" s="147"/>
      <c r="D189" s="147"/>
      <c r="E189" s="147"/>
      <c r="F189" s="147"/>
      <c r="G189" s="147"/>
      <c r="H189" s="147"/>
      <c r="I189" s="158"/>
    </row>
    <row r="190" spans="1:9" ht="13.8" thickBot="1">
      <c r="A190" s="795" t="s">
        <v>1396</v>
      </c>
      <c r="B190" s="166">
        <f>+B189</f>
        <v>184</v>
      </c>
      <c r="C190" s="166"/>
      <c r="D190" s="166"/>
      <c r="E190" s="166"/>
      <c r="F190" s="166"/>
      <c r="G190" s="166"/>
      <c r="H190" s="166"/>
      <c r="I190" s="167"/>
    </row>
    <row r="191" spans="1:9" ht="13.8" thickBot="1"/>
    <row r="192" spans="1:9">
      <c r="A192" s="178" t="s">
        <v>1204</v>
      </c>
      <c r="B192" s="176"/>
      <c r="C192" s="176"/>
      <c r="D192" s="176"/>
      <c r="E192" s="176"/>
      <c r="F192" s="176"/>
      <c r="G192" s="176"/>
      <c r="H192" s="176"/>
      <c r="I192" s="177"/>
    </row>
    <row r="193" spans="1:9" ht="13.8">
      <c r="A193" s="155" t="s">
        <v>1138</v>
      </c>
      <c r="B193" s="146"/>
      <c r="C193" s="146"/>
      <c r="D193" s="146"/>
      <c r="E193" s="146"/>
      <c r="F193" s="146"/>
      <c r="G193" s="146"/>
      <c r="H193" s="146"/>
      <c r="I193" s="156"/>
    </row>
    <row r="194" spans="1:9" ht="13.8">
      <c r="A194" s="157" t="s">
        <v>1139</v>
      </c>
      <c r="B194" s="147"/>
      <c r="C194" s="147"/>
      <c r="D194" s="147"/>
      <c r="E194" s="147"/>
      <c r="F194" s="147"/>
      <c r="G194" s="147"/>
      <c r="H194" s="147"/>
      <c r="I194" s="158"/>
    </row>
    <row r="195" spans="1:9" ht="13.8">
      <c r="A195" s="157" t="s">
        <v>1140</v>
      </c>
      <c r="B195" s="147"/>
      <c r="C195" s="147"/>
      <c r="D195" s="147"/>
      <c r="E195" s="147"/>
      <c r="F195" s="147"/>
      <c r="G195" s="147"/>
      <c r="H195" s="147"/>
      <c r="I195" s="158"/>
    </row>
    <row r="196" spans="1:9" ht="13.8">
      <c r="A196" s="157" t="s">
        <v>1141</v>
      </c>
      <c r="B196" s="147"/>
      <c r="C196" s="147"/>
      <c r="D196" s="147"/>
      <c r="E196" s="147"/>
      <c r="F196" s="147"/>
      <c r="G196" s="147"/>
      <c r="H196" s="147"/>
      <c r="I196" s="158"/>
    </row>
    <row r="197" spans="1:9" ht="13.8">
      <c r="A197" s="157" t="s">
        <v>1142</v>
      </c>
      <c r="B197" s="147"/>
      <c r="C197" s="147"/>
      <c r="D197" s="147"/>
      <c r="E197" s="147"/>
      <c r="F197" s="147"/>
      <c r="G197" s="147"/>
      <c r="H197" s="147"/>
      <c r="I197" s="158"/>
    </row>
    <row r="198" spans="1:9" ht="13.8">
      <c r="A198" s="157" t="s">
        <v>1143</v>
      </c>
      <c r="B198" s="147"/>
      <c r="C198" s="147"/>
      <c r="D198" s="147"/>
      <c r="E198" s="147"/>
      <c r="F198" s="147"/>
      <c r="G198" s="147"/>
      <c r="H198" s="147"/>
      <c r="I198" s="158"/>
    </row>
    <row r="199" spans="1:9" ht="13.8">
      <c r="A199" s="157" t="s">
        <v>1144</v>
      </c>
      <c r="B199" s="147"/>
      <c r="C199" s="147"/>
      <c r="D199" s="147"/>
      <c r="E199" s="147"/>
      <c r="F199" s="147"/>
      <c r="G199" s="147"/>
      <c r="H199" s="147"/>
      <c r="I199" s="158"/>
    </row>
    <row r="200" spans="1:9" ht="13.8">
      <c r="A200" s="157" t="s">
        <v>372</v>
      </c>
      <c r="B200" s="147"/>
      <c r="C200" s="147"/>
      <c r="D200" s="147"/>
      <c r="E200" s="147"/>
      <c r="F200" s="147"/>
      <c r="G200" s="147"/>
      <c r="H200" s="147"/>
      <c r="I200" s="158"/>
    </row>
    <row r="201" spans="1:9" ht="13.8">
      <c r="A201" s="157" t="s">
        <v>920</v>
      </c>
      <c r="B201" s="147"/>
      <c r="C201" s="147"/>
      <c r="D201" s="147"/>
      <c r="E201" s="147"/>
      <c r="F201" s="147"/>
      <c r="G201" s="147"/>
      <c r="H201" s="147"/>
      <c r="I201" s="158"/>
    </row>
    <row r="202" spans="1:9" ht="13.8">
      <c r="A202" s="157" t="s">
        <v>921</v>
      </c>
      <c r="B202" s="147"/>
      <c r="C202" s="147"/>
      <c r="D202" s="147"/>
      <c r="E202" s="147"/>
      <c r="F202" s="147"/>
      <c r="G202" s="147"/>
      <c r="H202" s="147"/>
      <c r="I202" s="158"/>
    </row>
    <row r="203" spans="1:9" ht="13.8">
      <c r="A203" s="157" t="s">
        <v>922</v>
      </c>
      <c r="B203" s="147"/>
      <c r="C203" s="147"/>
      <c r="D203" s="147"/>
      <c r="E203" s="147"/>
      <c r="F203" s="147"/>
      <c r="G203" s="147"/>
      <c r="H203" s="147"/>
      <c r="I203" s="158"/>
    </row>
    <row r="204" spans="1:9" ht="13.8">
      <c r="A204" s="157" t="s">
        <v>923</v>
      </c>
      <c r="B204" s="147"/>
      <c r="C204" s="147"/>
      <c r="D204" s="147"/>
      <c r="E204" s="147"/>
      <c r="F204" s="147"/>
      <c r="G204" s="147"/>
      <c r="H204" s="147"/>
      <c r="I204" s="158"/>
    </row>
    <row r="205" spans="1:9" ht="13.8">
      <c r="A205" s="157" t="s">
        <v>924</v>
      </c>
      <c r="B205" s="147"/>
      <c r="C205" s="147"/>
      <c r="D205" s="147"/>
      <c r="E205" s="147"/>
      <c r="F205" s="147"/>
      <c r="G205" s="147"/>
      <c r="H205" s="147"/>
      <c r="I205" s="158"/>
    </row>
    <row r="206" spans="1:9" ht="13.8">
      <c r="A206" s="157" t="s">
        <v>925</v>
      </c>
      <c r="B206" s="147"/>
      <c r="C206" s="147"/>
      <c r="D206" s="147"/>
      <c r="E206" s="147"/>
      <c r="F206" s="147"/>
      <c r="G206" s="147"/>
      <c r="H206" s="147"/>
      <c r="I206" s="158"/>
    </row>
    <row r="207" spans="1:9" ht="13.8">
      <c r="A207" s="157" t="s">
        <v>926</v>
      </c>
      <c r="B207" s="147"/>
      <c r="C207" s="147"/>
      <c r="D207" s="147"/>
      <c r="E207" s="147"/>
      <c r="F207" s="147"/>
      <c r="G207" s="147"/>
      <c r="H207" s="147"/>
      <c r="I207" s="158"/>
    </row>
    <row r="208" spans="1:9" ht="13.8">
      <c r="A208" s="157" t="s">
        <v>1133</v>
      </c>
      <c r="B208" s="147"/>
      <c r="C208" s="147"/>
      <c r="D208" s="147"/>
      <c r="E208" s="147"/>
      <c r="F208" s="147"/>
      <c r="G208" s="147"/>
      <c r="H208" s="147"/>
      <c r="I208" s="158"/>
    </row>
    <row r="209" spans="1:9" ht="13.8">
      <c r="A209" s="157" t="s">
        <v>1161</v>
      </c>
      <c r="B209" s="147"/>
      <c r="C209" s="147"/>
      <c r="D209" s="147"/>
      <c r="E209" s="147"/>
      <c r="F209" s="147"/>
      <c r="G209" s="147"/>
      <c r="H209" s="147"/>
      <c r="I209" s="158"/>
    </row>
    <row r="210" spans="1:9" ht="13.8">
      <c r="A210" s="157" t="s">
        <v>927</v>
      </c>
      <c r="B210" s="147"/>
      <c r="C210" s="147"/>
      <c r="D210" s="147"/>
      <c r="E210" s="147"/>
      <c r="F210" s="147"/>
      <c r="G210" s="147"/>
      <c r="H210" s="147"/>
      <c r="I210" s="158"/>
    </row>
    <row r="211" spans="1:9" ht="13.8">
      <c r="A211" s="157" t="s">
        <v>928</v>
      </c>
      <c r="B211" s="147"/>
      <c r="C211" s="147"/>
      <c r="D211" s="147"/>
      <c r="E211" s="147"/>
      <c r="F211" s="147"/>
      <c r="G211" s="147"/>
      <c r="H211" s="147"/>
      <c r="I211" s="158"/>
    </row>
    <row r="212" spans="1:9" ht="13.8">
      <c r="A212" s="157" t="s">
        <v>1162</v>
      </c>
      <c r="B212" s="147"/>
      <c r="C212" s="147"/>
      <c r="D212" s="147"/>
      <c r="E212" s="147"/>
      <c r="F212" s="147"/>
      <c r="G212" s="147"/>
      <c r="H212" s="147"/>
      <c r="I212" s="158"/>
    </row>
    <row r="213" spans="1:9" ht="13.8">
      <c r="A213" s="157" t="s">
        <v>929</v>
      </c>
      <c r="B213" s="147"/>
      <c r="C213" s="147"/>
      <c r="D213" s="147"/>
      <c r="E213" s="147"/>
      <c r="F213" s="147"/>
      <c r="G213" s="147"/>
      <c r="H213" s="147"/>
      <c r="I213" s="158"/>
    </row>
    <row r="214" spans="1:9" ht="13.8">
      <c r="A214" s="157" t="s">
        <v>930</v>
      </c>
      <c r="B214" s="147"/>
      <c r="C214" s="147"/>
      <c r="D214" s="147"/>
      <c r="E214" s="147"/>
      <c r="F214" s="147"/>
      <c r="G214" s="147"/>
      <c r="H214" s="147"/>
      <c r="I214" s="158"/>
    </row>
    <row r="215" spans="1:9" ht="13.8">
      <c r="A215" s="157" t="s">
        <v>1091</v>
      </c>
      <c r="B215" s="147"/>
      <c r="C215" s="147"/>
      <c r="D215" s="147"/>
      <c r="E215" s="147"/>
      <c r="F215" s="147"/>
      <c r="G215" s="147"/>
      <c r="H215" s="147"/>
      <c r="I215" s="158"/>
    </row>
    <row r="216" spans="1:9" ht="13.8">
      <c r="A216" s="157" t="s">
        <v>931</v>
      </c>
      <c r="B216" s="147"/>
      <c r="C216" s="147"/>
      <c r="D216" s="147"/>
      <c r="E216" s="147"/>
      <c r="F216" s="147"/>
      <c r="G216" s="147"/>
      <c r="H216" s="147"/>
      <c r="I216" s="158"/>
    </row>
    <row r="217" spans="1:9" ht="13.8">
      <c r="A217" s="157" t="s">
        <v>932</v>
      </c>
      <c r="B217" s="147"/>
      <c r="C217" s="147"/>
      <c r="D217" s="147"/>
      <c r="E217" s="147"/>
      <c r="F217" s="147"/>
      <c r="G217" s="147"/>
      <c r="H217" s="147"/>
      <c r="I217" s="158"/>
    </row>
    <row r="218" spans="1:9" ht="13.8">
      <c r="A218" s="157" t="s">
        <v>1163</v>
      </c>
      <c r="B218" s="147"/>
      <c r="C218" s="147"/>
      <c r="D218" s="147"/>
      <c r="E218" s="147"/>
      <c r="F218" s="147"/>
      <c r="G218" s="147"/>
      <c r="H218" s="147"/>
      <c r="I218" s="158"/>
    </row>
    <row r="219" spans="1:9" ht="13.8">
      <c r="A219" s="157" t="s">
        <v>1134</v>
      </c>
      <c r="B219" s="147"/>
      <c r="C219" s="147"/>
      <c r="D219" s="147"/>
      <c r="E219" s="147"/>
      <c r="F219" s="147"/>
      <c r="G219" s="147"/>
      <c r="H219" s="147"/>
      <c r="I219" s="158"/>
    </row>
    <row r="220" spans="1:9" ht="13.8">
      <c r="A220" s="157" t="s">
        <v>1164</v>
      </c>
      <c r="B220" s="147"/>
      <c r="C220" s="147"/>
      <c r="D220" s="147"/>
      <c r="E220" s="147"/>
      <c r="F220" s="147"/>
      <c r="G220" s="147"/>
      <c r="H220" s="147"/>
      <c r="I220" s="158"/>
    </row>
    <row r="221" spans="1:9" ht="13.8">
      <c r="A221" s="157" t="s">
        <v>933</v>
      </c>
      <c r="B221" s="147"/>
      <c r="C221" s="147"/>
      <c r="D221" s="147"/>
      <c r="E221" s="147"/>
      <c r="F221" s="147"/>
      <c r="G221" s="147"/>
      <c r="H221" s="147"/>
      <c r="I221" s="158"/>
    </row>
    <row r="222" spans="1:9" ht="13.8">
      <c r="A222" s="157" t="s">
        <v>934</v>
      </c>
      <c r="B222" s="147"/>
      <c r="C222" s="147"/>
      <c r="D222" s="147"/>
      <c r="E222" s="147"/>
      <c r="F222" s="147"/>
      <c r="G222" s="147"/>
      <c r="H222" s="147"/>
      <c r="I222" s="158"/>
    </row>
    <row r="223" spans="1:9" ht="13.8">
      <c r="A223" s="157" t="s">
        <v>1165</v>
      </c>
      <c r="B223" s="147"/>
      <c r="C223" s="147"/>
      <c r="D223" s="147"/>
      <c r="E223" s="147"/>
      <c r="F223" s="147"/>
      <c r="G223" s="147"/>
      <c r="H223" s="147"/>
      <c r="I223" s="158"/>
    </row>
    <row r="224" spans="1:9" ht="13.8">
      <c r="A224" s="157" t="s">
        <v>838</v>
      </c>
      <c r="B224" s="147"/>
      <c r="C224" s="147"/>
      <c r="D224" s="147"/>
      <c r="E224" s="147"/>
      <c r="F224" s="147"/>
      <c r="G224" s="147"/>
      <c r="H224" s="147"/>
      <c r="I224" s="158"/>
    </row>
    <row r="225" spans="1:9" ht="13.8">
      <c r="A225" s="157" t="s">
        <v>839</v>
      </c>
      <c r="B225" s="147"/>
      <c r="C225" s="147"/>
      <c r="D225" s="147"/>
      <c r="E225" s="147"/>
      <c r="F225" s="147"/>
      <c r="G225" s="147"/>
      <c r="H225" s="147"/>
      <c r="I225" s="158"/>
    </row>
    <row r="226" spans="1:9" ht="13.8">
      <c r="A226" s="157" t="s">
        <v>840</v>
      </c>
      <c r="B226" s="147"/>
      <c r="C226" s="147"/>
      <c r="D226" s="147"/>
      <c r="E226" s="147"/>
      <c r="F226" s="147"/>
      <c r="G226" s="147"/>
      <c r="H226" s="147"/>
      <c r="I226" s="158"/>
    </row>
    <row r="227" spans="1:9" ht="13.8">
      <c r="A227" s="157" t="s">
        <v>1166</v>
      </c>
      <c r="B227" s="147"/>
      <c r="C227" s="147"/>
      <c r="D227" s="147"/>
      <c r="E227" s="147"/>
      <c r="F227" s="147"/>
      <c r="G227" s="147"/>
      <c r="H227" s="147"/>
      <c r="I227" s="158"/>
    </row>
    <row r="228" spans="1:9" ht="13.8">
      <c r="A228" s="157" t="s">
        <v>841</v>
      </c>
      <c r="B228" s="147"/>
      <c r="C228" s="147"/>
      <c r="D228" s="147"/>
      <c r="E228" s="147"/>
      <c r="F228" s="147"/>
      <c r="G228" s="147"/>
      <c r="H228" s="147"/>
      <c r="I228" s="158"/>
    </row>
    <row r="229" spans="1:9" ht="13.8">
      <c r="A229" s="157" t="s">
        <v>842</v>
      </c>
      <c r="B229" s="147"/>
      <c r="C229" s="147"/>
      <c r="D229" s="147"/>
      <c r="E229" s="147"/>
      <c r="F229" s="147"/>
      <c r="G229" s="147"/>
      <c r="H229" s="147"/>
      <c r="I229" s="158"/>
    </row>
    <row r="230" spans="1:9" ht="13.8">
      <c r="A230" s="157" t="s">
        <v>843</v>
      </c>
      <c r="B230" s="147"/>
      <c r="C230" s="147"/>
      <c r="D230" s="147"/>
      <c r="E230" s="147"/>
      <c r="F230" s="147"/>
      <c r="G230" s="147"/>
      <c r="H230" s="147"/>
      <c r="I230" s="158"/>
    </row>
    <row r="231" spans="1:9" ht="13.8">
      <c r="A231" s="157" t="s">
        <v>844</v>
      </c>
      <c r="B231" s="147"/>
      <c r="C231" s="147"/>
      <c r="D231" s="147"/>
      <c r="E231" s="147"/>
      <c r="F231" s="147"/>
      <c r="G231" s="147"/>
      <c r="H231" s="147"/>
      <c r="I231" s="158"/>
    </row>
    <row r="232" spans="1:9" ht="13.8">
      <c r="A232" s="157" t="s">
        <v>1167</v>
      </c>
      <c r="B232" s="147"/>
      <c r="C232" s="147"/>
      <c r="D232" s="147"/>
      <c r="E232" s="147"/>
      <c r="F232" s="147"/>
      <c r="G232" s="147"/>
      <c r="H232" s="147"/>
      <c r="I232" s="158"/>
    </row>
    <row r="233" spans="1:9" ht="13.8">
      <c r="A233" s="157" t="s">
        <v>845</v>
      </c>
      <c r="B233" s="147"/>
      <c r="C233" s="147"/>
      <c r="D233" s="147"/>
      <c r="E233" s="147"/>
      <c r="F233" s="147"/>
      <c r="G233" s="147"/>
      <c r="H233" s="147"/>
      <c r="I233" s="158"/>
    </row>
    <row r="234" spans="1:9" ht="13.8">
      <c r="A234" s="157" t="s">
        <v>846</v>
      </c>
      <c r="B234" s="147"/>
      <c r="C234" s="147"/>
      <c r="D234" s="147"/>
      <c r="E234" s="147"/>
      <c r="F234" s="147"/>
      <c r="G234" s="147"/>
      <c r="H234" s="147"/>
      <c r="I234" s="158"/>
    </row>
    <row r="235" spans="1:9" ht="13.8">
      <c r="A235" s="157" t="s">
        <v>847</v>
      </c>
      <c r="B235" s="147"/>
      <c r="C235" s="147"/>
      <c r="D235" s="147"/>
      <c r="E235" s="147"/>
      <c r="F235" s="147"/>
      <c r="G235" s="147"/>
      <c r="H235" s="147"/>
      <c r="I235" s="158"/>
    </row>
    <row r="236" spans="1:9" ht="13.8">
      <c r="A236" s="157" t="s">
        <v>848</v>
      </c>
      <c r="B236" s="147"/>
      <c r="C236" s="147"/>
      <c r="D236" s="147"/>
      <c r="E236" s="147"/>
      <c r="F236" s="147"/>
      <c r="G236" s="147"/>
      <c r="H236" s="147"/>
      <c r="I236" s="158"/>
    </row>
    <row r="237" spans="1:9" ht="13.8">
      <c r="A237" s="157" t="s">
        <v>849</v>
      </c>
      <c r="B237" s="147"/>
      <c r="C237" s="147"/>
      <c r="D237" s="147"/>
      <c r="E237" s="147"/>
      <c r="F237" s="147"/>
      <c r="G237" s="147"/>
      <c r="H237" s="147"/>
      <c r="I237" s="158"/>
    </row>
    <row r="238" spans="1:9" ht="13.8">
      <c r="A238" s="157" t="s">
        <v>850</v>
      </c>
      <c r="B238" s="147"/>
      <c r="C238" s="147"/>
      <c r="D238" s="147"/>
      <c r="E238" s="147"/>
      <c r="F238" s="147"/>
      <c r="G238" s="147"/>
      <c r="H238" s="147"/>
      <c r="I238" s="158"/>
    </row>
    <row r="239" spans="1:9" ht="13.8">
      <c r="A239" s="157" t="s">
        <v>851</v>
      </c>
      <c r="B239" s="147"/>
      <c r="C239" s="147"/>
      <c r="D239" s="147"/>
      <c r="E239" s="147"/>
      <c r="F239" s="147"/>
      <c r="G239" s="147"/>
      <c r="H239" s="147"/>
      <c r="I239" s="158"/>
    </row>
    <row r="240" spans="1:9" ht="13.8">
      <c r="A240" s="157" t="s">
        <v>1168</v>
      </c>
      <c r="B240" s="147"/>
      <c r="C240" s="147"/>
      <c r="D240" s="147"/>
      <c r="E240" s="147"/>
      <c r="F240" s="147"/>
      <c r="G240" s="147"/>
      <c r="H240" s="147"/>
      <c r="I240" s="158"/>
    </row>
    <row r="241" spans="1:9" ht="13.8">
      <c r="A241" s="157" t="s">
        <v>852</v>
      </c>
      <c r="B241" s="147"/>
      <c r="C241" s="147"/>
      <c r="D241" s="147"/>
      <c r="E241" s="147"/>
      <c r="F241" s="147"/>
      <c r="G241" s="147"/>
      <c r="H241" s="147"/>
      <c r="I241" s="158"/>
    </row>
    <row r="242" spans="1:9" ht="13.8">
      <c r="A242" s="157" t="s">
        <v>853</v>
      </c>
      <c r="B242" s="147"/>
      <c r="C242" s="147"/>
      <c r="D242" s="147"/>
      <c r="E242" s="147"/>
      <c r="F242" s="147"/>
      <c r="G242" s="147"/>
      <c r="H242" s="147"/>
      <c r="I242" s="158"/>
    </row>
    <row r="243" spans="1:9" ht="13.8">
      <c r="A243" s="157" t="s">
        <v>1169</v>
      </c>
      <c r="B243" s="147"/>
      <c r="C243" s="147"/>
      <c r="D243" s="147"/>
      <c r="E243" s="147"/>
      <c r="F243" s="147"/>
      <c r="G243" s="147"/>
      <c r="H243" s="147"/>
      <c r="I243" s="158"/>
    </row>
    <row r="244" spans="1:9" ht="13.8">
      <c r="A244" s="157" t="s">
        <v>854</v>
      </c>
      <c r="B244" s="147"/>
      <c r="C244" s="147"/>
      <c r="D244" s="147"/>
      <c r="E244" s="147"/>
      <c r="F244" s="147"/>
      <c r="G244" s="147"/>
      <c r="H244" s="147"/>
      <c r="I244" s="158"/>
    </row>
    <row r="245" spans="1:9" ht="13.8">
      <c r="A245" s="157" t="s">
        <v>855</v>
      </c>
      <c r="B245" s="147"/>
      <c r="C245" s="147"/>
      <c r="D245" s="147"/>
      <c r="E245" s="147"/>
      <c r="F245" s="147"/>
      <c r="G245" s="147"/>
      <c r="H245" s="147"/>
      <c r="I245" s="158"/>
    </row>
    <row r="246" spans="1:9" ht="13.8">
      <c r="A246" s="157" t="s">
        <v>1170</v>
      </c>
      <c r="B246" s="147"/>
      <c r="C246" s="147"/>
      <c r="D246" s="147"/>
      <c r="E246" s="147"/>
      <c r="F246" s="147"/>
      <c r="G246" s="147"/>
      <c r="H246" s="147"/>
      <c r="I246" s="158"/>
    </row>
    <row r="247" spans="1:9" ht="13.8">
      <c r="A247" s="157" t="s">
        <v>856</v>
      </c>
      <c r="B247" s="147"/>
      <c r="C247" s="147"/>
      <c r="D247" s="147"/>
      <c r="E247" s="147"/>
      <c r="F247" s="147"/>
      <c r="G247" s="147"/>
      <c r="H247" s="147"/>
      <c r="I247" s="158"/>
    </row>
    <row r="248" spans="1:9" ht="13.8">
      <c r="A248" s="157" t="s">
        <v>857</v>
      </c>
      <c r="B248" s="147"/>
      <c r="C248" s="147"/>
      <c r="D248" s="147"/>
      <c r="E248" s="147"/>
      <c r="F248" s="147"/>
      <c r="G248" s="147"/>
      <c r="H248" s="147"/>
      <c r="I248" s="158"/>
    </row>
    <row r="249" spans="1:9" ht="13.8">
      <c r="A249" s="157" t="s">
        <v>1171</v>
      </c>
      <c r="B249" s="147"/>
      <c r="C249" s="147"/>
      <c r="D249" s="147"/>
      <c r="E249" s="147"/>
      <c r="F249" s="147"/>
      <c r="G249" s="147"/>
      <c r="H249" s="147"/>
      <c r="I249" s="158"/>
    </row>
    <row r="250" spans="1:9" ht="13.8">
      <c r="A250" s="157" t="s">
        <v>1172</v>
      </c>
      <c r="B250" s="147"/>
      <c r="C250" s="147"/>
      <c r="D250" s="147"/>
      <c r="E250" s="147"/>
      <c r="F250" s="147"/>
      <c r="G250" s="147"/>
      <c r="H250" s="147"/>
      <c r="I250" s="158"/>
    </row>
    <row r="251" spans="1:9" ht="13.8">
      <c r="A251" s="157" t="s">
        <v>872</v>
      </c>
      <c r="B251" s="147"/>
      <c r="C251" s="147"/>
      <c r="D251" s="147"/>
      <c r="E251" s="147"/>
      <c r="F251" s="147"/>
      <c r="G251" s="147"/>
      <c r="H251" s="147"/>
      <c r="I251" s="158"/>
    </row>
    <row r="252" spans="1:9" ht="13.8">
      <c r="A252" s="157" t="s">
        <v>873</v>
      </c>
      <c r="B252" s="147"/>
      <c r="C252" s="147"/>
      <c r="D252" s="147"/>
      <c r="E252" s="147"/>
      <c r="F252" s="147"/>
      <c r="G252" s="147"/>
      <c r="H252" s="147"/>
      <c r="I252" s="158"/>
    </row>
    <row r="253" spans="1:9" ht="13.8">
      <c r="A253" s="157" t="s">
        <v>874</v>
      </c>
      <c r="B253" s="147"/>
      <c r="C253" s="147"/>
      <c r="D253" s="147"/>
      <c r="E253" s="147"/>
      <c r="F253" s="147"/>
      <c r="G253" s="147"/>
      <c r="H253" s="147"/>
      <c r="I253" s="158"/>
    </row>
    <row r="254" spans="1:9" ht="13.8">
      <c r="A254" s="157" t="s">
        <v>1173</v>
      </c>
      <c r="B254" s="147"/>
      <c r="C254" s="147"/>
      <c r="D254" s="147"/>
      <c r="E254" s="147"/>
      <c r="F254" s="147"/>
      <c r="G254" s="147"/>
      <c r="H254" s="147"/>
      <c r="I254" s="158"/>
    </row>
    <row r="255" spans="1:9" ht="13.8">
      <c r="A255" s="157" t="s">
        <v>875</v>
      </c>
      <c r="B255" s="147"/>
      <c r="C255" s="147"/>
      <c r="D255" s="147"/>
      <c r="E255" s="147"/>
      <c r="F255" s="147"/>
      <c r="G255" s="147"/>
      <c r="H255" s="147"/>
      <c r="I255" s="158"/>
    </row>
    <row r="256" spans="1:9" ht="13.8">
      <c r="A256" s="157" t="s">
        <v>876</v>
      </c>
      <c r="B256" s="147"/>
      <c r="C256" s="147"/>
      <c r="D256" s="147"/>
      <c r="E256" s="147"/>
      <c r="F256" s="147"/>
      <c r="G256" s="147"/>
      <c r="H256" s="147"/>
      <c r="I256" s="158"/>
    </row>
    <row r="257" spans="1:9" ht="13.8">
      <c r="A257" s="157" t="s">
        <v>877</v>
      </c>
      <c r="B257" s="147"/>
      <c r="C257" s="147"/>
      <c r="D257" s="147"/>
      <c r="E257" s="147"/>
      <c r="F257" s="147"/>
      <c r="G257" s="147"/>
      <c r="H257" s="147"/>
      <c r="I257" s="158"/>
    </row>
    <row r="258" spans="1:9" ht="13.8">
      <c r="A258" s="157" t="s">
        <v>878</v>
      </c>
      <c r="B258" s="147"/>
      <c r="C258" s="147"/>
      <c r="D258" s="147"/>
      <c r="E258" s="147"/>
      <c r="F258" s="147"/>
      <c r="G258" s="147"/>
      <c r="H258" s="147"/>
      <c r="I258" s="158"/>
    </row>
    <row r="259" spans="1:9" ht="13.8">
      <c r="A259" s="157" t="s">
        <v>1174</v>
      </c>
      <c r="B259" s="147"/>
      <c r="C259" s="147"/>
      <c r="D259" s="147"/>
      <c r="E259" s="147"/>
      <c r="F259" s="147"/>
      <c r="G259" s="147"/>
      <c r="H259" s="147"/>
      <c r="I259" s="158"/>
    </row>
    <row r="260" spans="1:9" ht="13.8">
      <c r="A260" s="157" t="s">
        <v>879</v>
      </c>
      <c r="B260" s="147"/>
      <c r="C260" s="147"/>
      <c r="D260" s="147"/>
      <c r="E260" s="147"/>
      <c r="F260" s="147"/>
      <c r="G260" s="147"/>
      <c r="H260" s="147"/>
      <c r="I260" s="158"/>
    </row>
    <row r="261" spans="1:9" ht="13.8">
      <c r="A261" s="157" t="s">
        <v>880</v>
      </c>
      <c r="B261" s="147"/>
      <c r="C261" s="147"/>
      <c r="D261" s="147"/>
      <c r="E261" s="147"/>
      <c r="F261" s="147"/>
      <c r="G261" s="147"/>
      <c r="H261" s="147"/>
      <c r="I261" s="158"/>
    </row>
    <row r="262" spans="1:9" ht="13.8">
      <c r="A262" s="157" t="s">
        <v>881</v>
      </c>
      <c r="B262" s="147"/>
      <c r="C262" s="147"/>
      <c r="D262" s="147"/>
      <c r="E262" s="147"/>
      <c r="F262" s="147"/>
      <c r="G262" s="147"/>
      <c r="H262" s="147"/>
      <c r="I262" s="158"/>
    </row>
    <row r="263" spans="1:9" ht="13.8">
      <c r="A263" s="157" t="s">
        <v>882</v>
      </c>
      <c r="B263" s="147"/>
      <c r="C263" s="147"/>
      <c r="D263" s="147"/>
      <c r="E263" s="147"/>
      <c r="F263" s="147"/>
      <c r="G263" s="147"/>
      <c r="H263" s="147"/>
      <c r="I263" s="158"/>
    </row>
    <row r="264" spans="1:9" ht="13.8">
      <c r="A264" s="157" t="s">
        <v>883</v>
      </c>
      <c r="B264" s="147"/>
      <c r="C264" s="147"/>
      <c r="D264" s="147"/>
      <c r="E264" s="147"/>
      <c r="F264" s="147"/>
      <c r="G264" s="147"/>
      <c r="H264" s="147"/>
      <c r="I264" s="158"/>
    </row>
    <row r="265" spans="1:9" ht="13.8">
      <c r="A265" s="157" t="s">
        <v>884</v>
      </c>
      <c r="B265" s="147"/>
      <c r="C265" s="147"/>
      <c r="D265" s="147"/>
      <c r="E265" s="147"/>
      <c r="F265" s="147"/>
      <c r="G265" s="147"/>
      <c r="H265" s="147"/>
      <c r="I265" s="158"/>
    </row>
    <row r="266" spans="1:9" ht="13.8">
      <c r="A266" s="157" t="s">
        <v>885</v>
      </c>
      <c r="B266" s="147"/>
      <c r="C266" s="147"/>
      <c r="D266" s="147"/>
      <c r="E266" s="147"/>
      <c r="F266" s="147"/>
      <c r="G266" s="147"/>
      <c r="H266" s="147"/>
      <c r="I266" s="158"/>
    </row>
    <row r="267" spans="1:9" ht="13.8">
      <c r="A267" s="157" t="s">
        <v>1090</v>
      </c>
      <c r="B267" s="147"/>
      <c r="C267" s="147"/>
      <c r="D267" s="147"/>
      <c r="E267" s="147"/>
      <c r="F267" s="147"/>
      <c r="G267" s="147"/>
      <c r="H267" s="147"/>
      <c r="I267" s="158"/>
    </row>
    <row r="268" spans="1:9" ht="13.8">
      <c r="A268" s="157" t="s">
        <v>1175</v>
      </c>
      <c r="B268" s="147"/>
      <c r="C268" s="147"/>
      <c r="D268" s="147"/>
      <c r="E268" s="147"/>
      <c r="F268" s="147"/>
      <c r="G268" s="147"/>
      <c r="H268" s="147"/>
      <c r="I268" s="158"/>
    </row>
    <row r="269" spans="1:9" ht="13.8">
      <c r="A269" s="157" t="s">
        <v>886</v>
      </c>
      <c r="B269" s="147"/>
      <c r="C269" s="147"/>
      <c r="D269" s="147"/>
      <c r="E269" s="147"/>
      <c r="F269" s="147"/>
      <c r="G269" s="147"/>
      <c r="H269" s="147"/>
      <c r="I269" s="158"/>
    </row>
    <row r="270" spans="1:9" ht="13.8">
      <c r="A270" s="157" t="s">
        <v>887</v>
      </c>
      <c r="B270" s="147"/>
      <c r="C270" s="147"/>
      <c r="D270" s="147"/>
      <c r="E270" s="147"/>
      <c r="F270" s="147"/>
      <c r="G270" s="147"/>
      <c r="H270" s="147"/>
      <c r="I270" s="158"/>
    </row>
    <row r="271" spans="1:9" ht="13.8">
      <c r="A271" s="157" t="s">
        <v>888</v>
      </c>
      <c r="B271" s="147"/>
      <c r="C271" s="147"/>
      <c r="D271" s="147"/>
      <c r="E271" s="147"/>
      <c r="F271" s="147"/>
      <c r="G271" s="147"/>
      <c r="H271" s="147"/>
      <c r="I271" s="158"/>
    </row>
    <row r="272" spans="1:9" ht="13.8">
      <c r="A272" s="157" t="s">
        <v>889</v>
      </c>
      <c r="B272" s="147"/>
      <c r="C272" s="147"/>
      <c r="D272" s="147"/>
      <c r="E272" s="147"/>
      <c r="F272" s="147"/>
      <c r="G272" s="147"/>
      <c r="H272" s="147"/>
      <c r="I272" s="158"/>
    </row>
    <row r="273" spans="1:9" ht="13.8">
      <c r="A273" s="157" t="s">
        <v>1176</v>
      </c>
      <c r="B273" s="147"/>
      <c r="C273" s="147"/>
      <c r="D273" s="147"/>
      <c r="E273" s="147"/>
      <c r="F273" s="147"/>
      <c r="G273" s="147"/>
      <c r="H273" s="147"/>
      <c r="I273" s="158"/>
    </row>
    <row r="274" spans="1:9" ht="13.8">
      <c r="A274" s="157" t="s">
        <v>890</v>
      </c>
      <c r="B274" s="147"/>
      <c r="C274" s="147"/>
      <c r="D274" s="147"/>
      <c r="E274" s="147"/>
      <c r="F274" s="147"/>
      <c r="G274" s="147"/>
      <c r="H274" s="147"/>
      <c r="I274" s="158"/>
    </row>
    <row r="275" spans="1:9" ht="13.8">
      <c r="A275" s="157" t="s">
        <v>891</v>
      </c>
      <c r="B275" s="147"/>
      <c r="C275" s="147"/>
      <c r="D275" s="147"/>
      <c r="E275" s="147"/>
      <c r="F275" s="147"/>
      <c r="G275" s="147"/>
      <c r="H275" s="147"/>
      <c r="I275" s="158"/>
    </row>
    <row r="276" spans="1:9" ht="13.8">
      <c r="A276" s="157" t="s">
        <v>892</v>
      </c>
      <c r="B276" s="147"/>
      <c r="C276" s="147"/>
      <c r="D276" s="147"/>
      <c r="E276" s="147"/>
      <c r="F276" s="147"/>
      <c r="G276" s="147"/>
      <c r="H276" s="147"/>
      <c r="I276" s="158"/>
    </row>
    <row r="277" spans="1:9" ht="13.8">
      <c r="A277" s="157" t="s">
        <v>893</v>
      </c>
      <c r="B277" s="147"/>
      <c r="C277" s="147"/>
      <c r="D277" s="147"/>
      <c r="E277" s="147"/>
      <c r="F277" s="147"/>
      <c r="G277" s="147"/>
      <c r="H277" s="147"/>
      <c r="I277" s="158"/>
    </row>
    <row r="278" spans="1:9" ht="13.8">
      <c r="A278" s="157" t="s">
        <v>894</v>
      </c>
      <c r="B278" s="147"/>
      <c r="C278" s="147"/>
      <c r="D278" s="147"/>
      <c r="E278" s="147"/>
      <c r="F278" s="147"/>
      <c r="G278" s="147"/>
      <c r="H278" s="147"/>
      <c r="I278" s="158"/>
    </row>
    <row r="279" spans="1:9" ht="13.8">
      <c r="A279" s="157" t="s">
        <v>895</v>
      </c>
      <c r="B279" s="147"/>
      <c r="C279" s="147"/>
      <c r="D279" s="147"/>
      <c r="E279" s="147"/>
      <c r="F279" s="147"/>
      <c r="G279" s="147"/>
      <c r="H279" s="147"/>
      <c r="I279" s="158"/>
    </row>
    <row r="280" spans="1:9" ht="13.8">
      <c r="A280" s="157" t="s">
        <v>896</v>
      </c>
      <c r="B280" s="147"/>
      <c r="C280" s="147"/>
      <c r="D280" s="147"/>
      <c r="E280" s="147"/>
      <c r="F280" s="147"/>
      <c r="G280" s="147"/>
      <c r="H280" s="147"/>
      <c r="I280" s="158"/>
    </row>
    <row r="281" spans="1:9" ht="13.8">
      <c r="A281" s="157" t="s">
        <v>1177</v>
      </c>
      <c r="B281" s="147"/>
      <c r="C281" s="147"/>
      <c r="D281" s="147"/>
      <c r="E281" s="147"/>
      <c r="F281" s="147"/>
      <c r="G281" s="147"/>
      <c r="H281" s="147"/>
      <c r="I281" s="158"/>
    </row>
    <row r="282" spans="1:9" ht="13.8">
      <c r="A282" s="157" t="s">
        <v>897</v>
      </c>
      <c r="B282" s="147"/>
      <c r="C282" s="147"/>
      <c r="D282" s="147"/>
      <c r="E282" s="147"/>
      <c r="F282" s="147"/>
      <c r="G282" s="147"/>
      <c r="H282" s="147"/>
      <c r="I282" s="158"/>
    </row>
    <row r="283" spans="1:9" ht="13.8">
      <c r="A283" s="157" t="s">
        <v>898</v>
      </c>
      <c r="B283" s="147"/>
      <c r="C283" s="147"/>
      <c r="D283" s="147"/>
      <c r="E283" s="147"/>
      <c r="F283" s="147"/>
      <c r="G283" s="147"/>
      <c r="H283" s="147"/>
      <c r="I283" s="158"/>
    </row>
    <row r="284" spans="1:9" ht="13.8">
      <c r="A284" s="157" t="s">
        <v>1178</v>
      </c>
      <c r="B284" s="147"/>
      <c r="C284" s="147"/>
      <c r="D284" s="147"/>
      <c r="E284" s="147"/>
      <c r="F284" s="147"/>
      <c r="G284" s="147"/>
      <c r="H284" s="147"/>
      <c r="I284" s="158"/>
    </row>
    <row r="285" spans="1:9" ht="13.8">
      <c r="A285" s="157" t="s">
        <v>899</v>
      </c>
      <c r="B285" s="147"/>
      <c r="C285" s="147"/>
      <c r="D285" s="147"/>
      <c r="E285" s="147"/>
      <c r="F285" s="147"/>
      <c r="G285" s="147"/>
      <c r="H285" s="147"/>
      <c r="I285" s="158"/>
    </row>
    <row r="286" spans="1:9" ht="13.8">
      <c r="A286" s="157" t="s">
        <v>900</v>
      </c>
      <c r="B286" s="147"/>
      <c r="C286" s="147"/>
      <c r="D286" s="147"/>
      <c r="E286" s="147"/>
      <c r="F286" s="147"/>
      <c r="G286" s="147"/>
      <c r="H286" s="147"/>
      <c r="I286" s="158"/>
    </row>
    <row r="287" spans="1:9" ht="13.8">
      <c r="A287" s="157" t="s">
        <v>1179</v>
      </c>
      <c r="B287" s="147"/>
      <c r="C287" s="147"/>
      <c r="D287" s="147"/>
      <c r="E287" s="147"/>
      <c r="F287" s="147"/>
      <c r="G287" s="147"/>
      <c r="H287" s="147"/>
      <c r="I287" s="158"/>
    </row>
    <row r="288" spans="1:9" ht="13.8">
      <c r="A288" s="157" t="s">
        <v>858</v>
      </c>
      <c r="B288" s="147"/>
      <c r="C288" s="147"/>
      <c r="D288" s="147"/>
      <c r="E288" s="147"/>
      <c r="F288" s="147"/>
      <c r="G288" s="147"/>
      <c r="H288" s="147"/>
      <c r="I288" s="158"/>
    </row>
    <row r="289" spans="1:9" ht="13.8">
      <c r="A289" s="157" t="s">
        <v>859</v>
      </c>
      <c r="B289" s="147"/>
      <c r="C289" s="147"/>
      <c r="D289" s="147"/>
      <c r="E289" s="147"/>
      <c r="F289" s="147"/>
      <c r="G289" s="147"/>
      <c r="H289" s="147"/>
      <c r="I289" s="158"/>
    </row>
    <row r="290" spans="1:9" ht="13.8">
      <c r="A290" s="157" t="s">
        <v>1058</v>
      </c>
      <c r="B290" s="147"/>
      <c r="C290" s="147"/>
      <c r="D290" s="147"/>
      <c r="E290" s="147"/>
      <c r="F290" s="147"/>
      <c r="G290" s="147"/>
      <c r="H290" s="147"/>
      <c r="I290" s="158"/>
    </row>
    <row r="291" spans="1:9" ht="13.8">
      <c r="A291" s="157" t="s">
        <v>1059</v>
      </c>
      <c r="B291" s="147"/>
      <c r="C291" s="147"/>
      <c r="D291" s="147"/>
      <c r="E291" s="147"/>
      <c r="F291" s="147"/>
      <c r="G291" s="147"/>
      <c r="H291" s="147"/>
      <c r="I291" s="158"/>
    </row>
    <row r="292" spans="1:9" ht="13.8">
      <c r="A292" s="157" t="s">
        <v>1136</v>
      </c>
      <c r="B292" s="147"/>
      <c r="C292" s="147"/>
      <c r="D292" s="147"/>
      <c r="E292" s="147"/>
      <c r="F292" s="147"/>
      <c r="G292" s="147"/>
      <c r="H292" s="147"/>
      <c r="I292" s="158"/>
    </row>
    <row r="293" spans="1:9" ht="13.8">
      <c r="A293" s="157" t="s">
        <v>1063</v>
      </c>
      <c r="B293" s="147"/>
      <c r="C293" s="147"/>
      <c r="D293" s="147"/>
      <c r="E293" s="147"/>
      <c r="F293" s="147"/>
      <c r="G293" s="147"/>
      <c r="H293" s="147"/>
      <c r="I293" s="158"/>
    </row>
    <row r="294" spans="1:9" ht="13.8">
      <c r="A294" s="157" t="s">
        <v>1062</v>
      </c>
      <c r="B294" s="147"/>
      <c r="C294" s="147"/>
      <c r="D294" s="147"/>
      <c r="E294" s="147"/>
      <c r="F294" s="147"/>
      <c r="G294" s="147"/>
      <c r="H294" s="147"/>
      <c r="I294" s="158"/>
    </row>
    <row r="295" spans="1:9" ht="13.8">
      <c r="A295" s="157" t="s">
        <v>1060</v>
      </c>
      <c r="B295" s="147"/>
      <c r="C295" s="147"/>
      <c r="D295" s="147"/>
      <c r="E295" s="147"/>
      <c r="F295" s="147"/>
      <c r="G295" s="147"/>
      <c r="H295" s="147"/>
      <c r="I295" s="158"/>
    </row>
    <row r="296" spans="1:9" ht="13.8">
      <c r="A296" s="157" t="s">
        <v>1061</v>
      </c>
      <c r="B296" s="147"/>
      <c r="C296" s="147"/>
      <c r="D296" s="147"/>
      <c r="E296" s="147"/>
      <c r="F296" s="147"/>
      <c r="G296" s="147"/>
      <c r="H296" s="147"/>
      <c r="I296" s="158"/>
    </row>
    <row r="297" spans="1:9" ht="13.8">
      <c r="A297" s="157" t="s">
        <v>860</v>
      </c>
      <c r="B297" s="147"/>
      <c r="C297" s="147"/>
      <c r="D297" s="147"/>
      <c r="E297" s="147"/>
      <c r="F297" s="147"/>
      <c r="G297" s="147"/>
      <c r="H297" s="147"/>
      <c r="I297" s="158"/>
    </row>
    <row r="298" spans="1:9" ht="13.8">
      <c r="A298" s="157" t="s">
        <v>1064</v>
      </c>
      <c r="B298" s="147"/>
      <c r="C298" s="147"/>
      <c r="D298" s="147"/>
      <c r="E298" s="147"/>
      <c r="F298" s="147"/>
      <c r="G298" s="147"/>
      <c r="H298" s="147"/>
      <c r="I298" s="158"/>
    </row>
    <row r="299" spans="1:9" ht="13.8">
      <c r="A299" s="157" t="s">
        <v>1135</v>
      </c>
      <c r="B299" s="147"/>
      <c r="C299" s="147"/>
      <c r="D299" s="147"/>
      <c r="E299" s="147"/>
      <c r="F299" s="147"/>
      <c r="G299" s="147"/>
      <c r="H299" s="147"/>
      <c r="I299" s="158"/>
    </row>
    <row r="300" spans="1:9" ht="13.8">
      <c r="A300" s="157" t="s">
        <v>1069</v>
      </c>
      <c r="B300" s="147"/>
      <c r="C300" s="147"/>
      <c r="D300" s="147"/>
      <c r="E300" s="147"/>
      <c r="F300" s="147"/>
      <c r="G300" s="147"/>
      <c r="H300" s="147"/>
      <c r="I300" s="158"/>
    </row>
    <row r="301" spans="1:9" ht="13.8">
      <c r="A301" s="157" t="s">
        <v>1068</v>
      </c>
      <c r="B301" s="147"/>
      <c r="C301" s="147"/>
      <c r="D301" s="147"/>
      <c r="E301" s="147"/>
      <c r="F301" s="147"/>
      <c r="G301" s="147"/>
      <c r="H301" s="147"/>
      <c r="I301" s="158"/>
    </row>
    <row r="302" spans="1:9" ht="13.8">
      <c r="A302" s="157" t="s">
        <v>1070</v>
      </c>
      <c r="B302" s="147"/>
      <c r="C302" s="147"/>
      <c r="D302" s="147"/>
      <c r="E302" s="147"/>
      <c r="F302" s="147"/>
      <c r="G302" s="147"/>
      <c r="H302" s="147"/>
      <c r="I302" s="158"/>
    </row>
    <row r="303" spans="1:9" ht="13.8">
      <c r="A303" s="157" t="s">
        <v>1065</v>
      </c>
      <c r="B303" s="147"/>
      <c r="C303" s="147"/>
      <c r="D303" s="147"/>
      <c r="E303" s="147"/>
      <c r="F303" s="147"/>
      <c r="G303" s="147"/>
      <c r="H303" s="147"/>
      <c r="I303" s="158"/>
    </row>
    <row r="304" spans="1:9" ht="13.8">
      <c r="A304" s="157" t="s">
        <v>861</v>
      </c>
      <c r="B304" s="147"/>
      <c r="C304" s="147"/>
      <c r="D304" s="147"/>
      <c r="E304" s="147"/>
      <c r="F304" s="147"/>
      <c r="G304" s="147"/>
      <c r="H304" s="147"/>
      <c r="I304" s="158"/>
    </row>
    <row r="305" spans="1:9" ht="13.8">
      <c r="A305" s="157" t="s">
        <v>1066</v>
      </c>
      <c r="B305" s="147"/>
      <c r="C305" s="147"/>
      <c r="D305" s="147"/>
      <c r="E305" s="147"/>
      <c r="F305" s="147"/>
      <c r="G305" s="147"/>
      <c r="H305" s="147"/>
      <c r="I305" s="158"/>
    </row>
    <row r="306" spans="1:9" ht="13.8">
      <c r="A306" s="157" t="s">
        <v>1137</v>
      </c>
      <c r="B306" s="147"/>
      <c r="C306" s="147"/>
      <c r="D306" s="147"/>
      <c r="E306" s="147"/>
      <c r="F306" s="147"/>
      <c r="G306" s="147"/>
      <c r="H306" s="147"/>
      <c r="I306" s="158"/>
    </row>
    <row r="307" spans="1:9" ht="13.8">
      <c r="A307" s="157" t="s">
        <v>1071</v>
      </c>
      <c r="B307" s="147"/>
      <c r="C307" s="147"/>
      <c r="D307" s="147"/>
      <c r="E307" s="147"/>
      <c r="F307" s="147"/>
      <c r="G307" s="147"/>
      <c r="H307" s="147"/>
      <c r="I307" s="158"/>
    </row>
    <row r="308" spans="1:9" ht="13.8">
      <c r="A308" s="157" t="s">
        <v>1072</v>
      </c>
      <c r="B308" s="147"/>
      <c r="C308" s="147"/>
      <c r="D308" s="147"/>
      <c r="E308" s="147"/>
      <c r="F308" s="147"/>
      <c r="G308" s="147"/>
      <c r="H308" s="147"/>
      <c r="I308" s="158"/>
    </row>
    <row r="309" spans="1:9" ht="13.8">
      <c r="A309" s="157" t="s">
        <v>1073</v>
      </c>
      <c r="B309" s="147"/>
      <c r="C309" s="147"/>
      <c r="D309" s="147"/>
      <c r="E309" s="147"/>
      <c r="F309" s="147"/>
      <c r="G309" s="147"/>
      <c r="H309" s="147"/>
      <c r="I309" s="158"/>
    </row>
    <row r="310" spans="1:9" ht="13.8">
      <c r="A310" s="157" t="s">
        <v>1067</v>
      </c>
      <c r="B310" s="147"/>
      <c r="C310" s="147"/>
      <c r="D310" s="147"/>
      <c r="E310" s="147"/>
      <c r="F310" s="147"/>
      <c r="G310" s="147"/>
      <c r="H310" s="147"/>
      <c r="I310" s="158"/>
    </row>
    <row r="311" spans="1:9" ht="13.8">
      <c r="A311" s="157" t="s">
        <v>862</v>
      </c>
      <c r="B311" s="147"/>
      <c r="C311" s="147"/>
      <c r="D311" s="147"/>
      <c r="E311" s="147"/>
      <c r="F311" s="147"/>
      <c r="G311" s="147"/>
      <c r="H311" s="147"/>
      <c r="I311" s="158"/>
    </row>
    <row r="312" spans="1:9" ht="13.8">
      <c r="A312" s="157" t="s">
        <v>1180</v>
      </c>
      <c r="B312" s="147"/>
      <c r="C312" s="147"/>
      <c r="D312" s="147"/>
      <c r="E312" s="147"/>
      <c r="F312" s="147"/>
      <c r="G312" s="147"/>
      <c r="H312" s="147"/>
      <c r="I312" s="158"/>
    </row>
    <row r="313" spans="1:9" ht="13.8">
      <c r="A313" s="157" t="s">
        <v>863</v>
      </c>
      <c r="B313" s="147"/>
      <c r="C313" s="147"/>
      <c r="D313" s="147"/>
      <c r="E313" s="147"/>
      <c r="F313" s="147"/>
      <c r="G313" s="147"/>
      <c r="H313" s="147"/>
      <c r="I313" s="158"/>
    </row>
    <row r="314" spans="1:9" ht="13.8">
      <c r="A314" s="157" t="s">
        <v>864</v>
      </c>
      <c r="B314" s="147"/>
      <c r="C314" s="147"/>
      <c r="D314" s="147"/>
      <c r="E314" s="147"/>
      <c r="F314" s="147"/>
      <c r="G314" s="147"/>
      <c r="H314" s="147"/>
      <c r="I314" s="158"/>
    </row>
    <row r="315" spans="1:9" ht="13.8">
      <c r="A315" s="157" t="s">
        <v>865</v>
      </c>
      <c r="B315" s="147"/>
      <c r="C315" s="147"/>
      <c r="D315" s="147"/>
      <c r="E315" s="147"/>
      <c r="F315" s="147"/>
      <c r="G315" s="147"/>
      <c r="H315" s="147"/>
      <c r="I315" s="158"/>
    </row>
    <row r="316" spans="1:9" ht="13.8">
      <c r="A316" s="157" t="s">
        <v>866</v>
      </c>
      <c r="B316" s="147"/>
      <c r="C316" s="147"/>
      <c r="D316" s="147"/>
      <c r="E316" s="147"/>
      <c r="F316" s="147"/>
      <c r="G316" s="147"/>
      <c r="H316" s="147"/>
      <c r="I316" s="158"/>
    </row>
    <row r="317" spans="1:9" ht="13.8">
      <c r="A317" s="157" t="s">
        <v>1181</v>
      </c>
      <c r="B317" s="147"/>
      <c r="C317" s="147"/>
      <c r="D317" s="147"/>
      <c r="E317" s="147"/>
      <c r="F317" s="147"/>
      <c r="G317" s="147"/>
      <c r="H317" s="147"/>
      <c r="I317" s="158"/>
    </row>
    <row r="318" spans="1:9" ht="13.8">
      <c r="A318" s="157" t="s">
        <v>1057</v>
      </c>
      <c r="B318" s="147"/>
      <c r="C318" s="147"/>
      <c r="D318" s="147"/>
      <c r="E318" s="147"/>
      <c r="F318" s="147"/>
      <c r="G318" s="147"/>
      <c r="H318" s="147"/>
      <c r="I318" s="158"/>
    </row>
    <row r="319" spans="1:9" ht="13.8">
      <c r="A319" s="157" t="s">
        <v>1056</v>
      </c>
      <c r="B319" s="147"/>
      <c r="C319" s="147"/>
      <c r="D319" s="147"/>
      <c r="E319" s="147"/>
      <c r="F319" s="147"/>
      <c r="G319" s="147"/>
      <c r="H319" s="147"/>
      <c r="I319" s="158"/>
    </row>
    <row r="320" spans="1:9" ht="13.8">
      <c r="A320" s="157" t="s">
        <v>867</v>
      </c>
      <c r="B320" s="147"/>
      <c r="C320" s="147"/>
      <c r="D320" s="147"/>
      <c r="E320" s="147"/>
      <c r="F320" s="147"/>
      <c r="G320" s="147"/>
      <c r="H320" s="147"/>
      <c r="I320" s="158"/>
    </row>
    <row r="321" spans="1:9" ht="13.8">
      <c r="A321" s="157" t="s">
        <v>868</v>
      </c>
      <c r="B321" s="147"/>
      <c r="C321" s="147"/>
      <c r="D321" s="147"/>
      <c r="E321" s="147"/>
      <c r="F321" s="147"/>
      <c r="G321" s="147"/>
      <c r="H321" s="147"/>
      <c r="I321" s="158"/>
    </row>
    <row r="322" spans="1:9" ht="13.8">
      <c r="A322" s="157" t="s">
        <v>869</v>
      </c>
      <c r="B322" s="147"/>
      <c r="C322" s="147"/>
      <c r="D322" s="147"/>
      <c r="E322" s="147"/>
      <c r="F322" s="147"/>
      <c r="G322" s="147"/>
      <c r="H322" s="147"/>
      <c r="I322" s="158"/>
    </row>
    <row r="323" spans="1:9" ht="13.8">
      <c r="A323" s="157" t="s">
        <v>870</v>
      </c>
      <c r="B323" s="147"/>
      <c r="C323" s="147"/>
      <c r="D323" s="147"/>
      <c r="E323" s="147"/>
      <c r="F323" s="147"/>
      <c r="G323" s="147"/>
      <c r="H323" s="147"/>
      <c r="I323" s="158"/>
    </row>
    <row r="324" spans="1:9" ht="13.8">
      <c r="A324" s="157" t="s">
        <v>871</v>
      </c>
      <c r="B324" s="147"/>
      <c r="C324" s="147"/>
      <c r="D324" s="147"/>
      <c r="E324" s="147"/>
      <c r="F324" s="147"/>
      <c r="G324" s="147"/>
      <c r="H324" s="147"/>
      <c r="I324" s="158"/>
    </row>
    <row r="325" spans="1:9" ht="13.8">
      <c r="A325" s="157" t="s">
        <v>1092</v>
      </c>
      <c r="B325" s="147"/>
      <c r="C325" s="147"/>
      <c r="D325" s="147"/>
      <c r="E325" s="147"/>
      <c r="F325" s="147"/>
      <c r="G325" s="147"/>
      <c r="H325" s="147"/>
      <c r="I325" s="158"/>
    </row>
    <row r="326" spans="1:9" ht="13.8">
      <c r="A326" s="157" t="s">
        <v>901</v>
      </c>
      <c r="B326" s="147"/>
      <c r="C326" s="147"/>
      <c r="D326" s="147"/>
      <c r="E326" s="147"/>
      <c r="F326" s="147"/>
      <c r="G326" s="147"/>
      <c r="H326" s="147"/>
      <c r="I326" s="158"/>
    </row>
    <row r="327" spans="1:9" ht="13.8">
      <c r="A327" s="157" t="s">
        <v>902</v>
      </c>
      <c r="B327" s="147"/>
      <c r="C327" s="147"/>
      <c r="D327" s="147"/>
      <c r="E327" s="147"/>
      <c r="F327" s="147"/>
      <c r="G327" s="147"/>
      <c r="H327" s="147"/>
      <c r="I327" s="158"/>
    </row>
    <row r="328" spans="1:9" ht="13.8">
      <c r="A328" s="157" t="s">
        <v>1074</v>
      </c>
      <c r="B328" s="147"/>
      <c r="C328" s="147"/>
      <c r="D328" s="147"/>
      <c r="E328" s="147"/>
      <c r="F328" s="147"/>
      <c r="G328" s="147"/>
      <c r="H328" s="147"/>
      <c r="I328" s="158"/>
    </row>
    <row r="329" spans="1:9" ht="13.8">
      <c r="A329" s="157" t="s">
        <v>1075</v>
      </c>
      <c r="B329" s="147"/>
      <c r="C329" s="147"/>
      <c r="D329" s="147"/>
      <c r="E329" s="147"/>
      <c r="F329" s="147"/>
      <c r="G329" s="147"/>
      <c r="H329" s="147"/>
      <c r="I329" s="158"/>
    </row>
    <row r="330" spans="1:9" ht="13.8">
      <c r="A330" s="157" t="s">
        <v>1182</v>
      </c>
      <c r="B330" s="147"/>
      <c r="C330" s="147"/>
      <c r="D330" s="147"/>
      <c r="E330" s="147"/>
      <c r="F330" s="147"/>
      <c r="G330" s="147"/>
      <c r="H330" s="147"/>
      <c r="I330" s="158"/>
    </row>
    <row r="331" spans="1:9" ht="13.8">
      <c r="A331" s="157" t="s">
        <v>1079</v>
      </c>
      <c r="B331" s="147"/>
      <c r="C331" s="147"/>
      <c r="D331" s="147"/>
      <c r="E331" s="147"/>
      <c r="F331" s="147"/>
      <c r="G331" s="147"/>
      <c r="H331" s="147"/>
      <c r="I331" s="158"/>
    </row>
    <row r="332" spans="1:9" ht="13.8">
      <c r="A332" s="157" t="s">
        <v>1078</v>
      </c>
      <c r="B332" s="147"/>
      <c r="C332" s="147"/>
      <c r="D332" s="147"/>
      <c r="E332" s="147"/>
      <c r="F332" s="147"/>
      <c r="G332" s="147"/>
      <c r="H332" s="147"/>
      <c r="I332" s="158"/>
    </row>
    <row r="333" spans="1:9" ht="13.8">
      <c r="A333" s="157" t="s">
        <v>1076</v>
      </c>
      <c r="B333" s="147"/>
      <c r="C333" s="147"/>
      <c r="D333" s="147"/>
      <c r="E333" s="147"/>
      <c r="F333" s="147"/>
      <c r="G333" s="147"/>
      <c r="H333" s="147"/>
      <c r="I333" s="158"/>
    </row>
    <row r="334" spans="1:9" ht="13.8">
      <c r="A334" s="157" t="s">
        <v>1077</v>
      </c>
      <c r="B334" s="147"/>
      <c r="C334" s="147"/>
      <c r="D334" s="147"/>
      <c r="E334" s="147"/>
      <c r="F334" s="147"/>
      <c r="G334" s="147"/>
      <c r="H334" s="147"/>
      <c r="I334" s="158"/>
    </row>
    <row r="335" spans="1:9" ht="13.8">
      <c r="A335" s="157" t="s">
        <v>903</v>
      </c>
      <c r="B335" s="147"/>
      <c r="C335" s="147"/>
      <c r="D335" s="147"/>
      <c r="E335" s="147"/>
      <c r="F335" s="147"/>
      <c r="G335" s="147"/>
      <c r="H335" s="147"/>
      <c r="I335" s="158"/>
    </row>
    <row r="336" spans="1:9" ht="13.8">
      <c r="A336" s="157" t="s">
        <v>1080</v>
      </c>
      <c r="B336" s="147"/>
      <c r="C336" s="147"/>
      <c r="D336" s="147"/>
      <c r="E336" s="147"/>
      <c r="F336" s="147"/>
      <c r="G336" s="147"/>
      <c r="H336" s="147"/>
      <c r="I336" s="158"/>
    </row>
    <row r="337" spans="1:9" ht="13.8">
      <c r="A337" s="157" t="s">
        <v>1183</v>
      </c>
      <c r="B337" s="147"/>
      <c r="C337" s="147"/>
      <c r="D337" s="147"/>
      <c r="E337" s="147"/>
      <c r="F337" s="147"/>
      <c r="G337" s="147"/>
      <c r="H337" s="147"/>
      <c r="I337" s="158"/>
    </row>
    <row r="338" spans="1:9" ht="13.8">
      <c r="A338" s="157" t="s">
        <v>1085</v>
      </c>
      <c r="B338" s="147"/>
      <c r="C338" s="147"/>
      <c r="D338" s="147"/>
      <c r="E338" s="147"/>
      <c r="F338" s="147"/>
      <c r="G338" s="147"/>
      <c r="H338" s="147"/>
      <c r="I338" s="158"/>
    </row>
    <row r="339" spans="1:9" ht="13.8">
      <c r="A339" s="157" t="s">
        <v>1084</v>
      </c>
      <c r="B339" s="147"/>
      <c r="C339" s="147"/>
      <c r="D339" s="147"/>
      <c r="E339" s="147"/>
      <c r="F339" s="147"/>
      <c r="G339" s="147"/>
      <c r="H339" s="147"/>
      <c r="I339" s="158"/>
    </row>
    <row r="340" spans="1:9" ht="13.8">
      <c r="A340" s="157" t="s">
        <v>1086</v>
      </c>
      <c r="B340" s="147"/>
      <c r="C340" s="147"/>
      <c r="D340" s="147"/>
      <c r="E340" s="147"/>
      <c r="F340" s="147"/>
      <c r="G340" s="147"/>
      <c r="H340" s="147"/>
      <c r="I340" s="158"/>
    </row>
    <row r="341" spans="1:9" ht="13.8">
      <c r="A341" s="157" t="s">
        <v>1081</v>
      </c>
      <c r="B341" s="147"/>
      <c r="C341" s="147"/>
      <c r="D341" s="147"/>
      <c r="E341" s="147"/>
      <c r="F341" s="147"/>
      <c r="G341" s="147"/>
      <c r="H341" s="147"/>
      <c r="I341" s="158"/>
    </row>
    <row r="342" spans="1:9" ht="13.8">
      <c r="A342" s="157" t="s">
        <v>904</v>
      </c>
      <c r="B342" s="147"/>
      <c r="C342" s="147"/>
      <c r="D342" s="147"/>
      <c r="E342" s="147"/>
      <c r="F342" s="147"/>
      <c r="G342" s="147"/>
      <c r="H342" s="147"/>
      <c r="I342" s="158"/>
    </row>
    <row r="343" spans="1:9" ht="13.8">
      <c r="A343" s="157" t="s">
        <v>1082</v>
      </c>
      <c r="B343" s="147"/>
      <c r="C343" s="147"/>
      <c r="D343" s="147"/>
      <c r="E343" s="147"/>
      <c r="F343" s="147"/>
      <c r="G343" s="147"/>
      <c r="H343" s="147"/>
      <c r="I343" s="158"/>
    </row>
    <row r="344" spans="1:9" ht="13.8">
      <c r="A344" s="157" t="s">
        <v>1184</v>
      </c>
      <c r="B344" s="147"/>
      <c r="C344" s="147"/>
      <c r="D344" s="147"/>
      <c r="E344" s="147"/>
      <c r="F344" s="147"/>
      <c r="G344" s="147"/>
      <c r="H344" s="147"/>
      <c r="I344" s="158"/>
    </row>
    <row r="345" spans="1:9" ht="13.8">
      <c r="A345" s="157" t="s">
        <v>1087</v>
      </c>
      <c r="B345" s="147"/>
      <c r="C345" s="147"/>
      <c r="D345" s="147"/>
      <c r="E345" s="147"/>
      <c r="F345" s="147"/>
      <c r="G345" s="147"/>
      <c r="H345" s="147"/>
      <c r="I345" s="158"/>
    </row>
    <row r="346" spans="1:9" ht="13.8">
      <c r="A346" s="157" t="s">
        <v>1088</v>
      </c>
      <c r="B346" s="147"/>
      <c r="C346" s="147"/>
      <c r="D346" s="147"/>
      <c r="E346" s="147"/>
      <c r="F346" s="147"/>
      <c r="G346" s="147"/>
      <c r="H346" s="147"/>
      <c r="I346" s="158"/>
    </row>
    <row r="347" spans="1:9" ht="13.8">
      <c r="A347" s="157" t="s">
        <v>1089</v>
      </c>
      <c r="B347" s="147"/>
      <c r="C347" s="147"/>
      <c r="D347" s="147"/>
      <c r="E347" s="147"/>
      <c r="F347" s="147"/>
      <c r="G347" s="147"/>
      <c r="H347" s="147"/>
      <c r="I347" s="158"/>
    </row>
    <row r="348" spans="1:9" ht="13.8">
      <c r="A348" s="157" t="s">
        <v>1083</v>
      </c>
      <c r="B348" s="147"/>
      <c r="C348" s="147"/>
      <c r="D348" s="147"/>
      <c r="E348" s="147"/>
      <c r="F348" s="147"/>
      <c r="G348" s="147"/>
      <c r="H348" s="147"/>
      <c r="I348" s="158"/>
    </row>
    <row r="349" spans="1:9" ht="13.8">
      <c r="A349" s="157" t="s">
        <v>905</v>
      </c>
      <c r="B349" s="147"/>
      <c r="C349" s="147"/>
      <c r="D349" s="147"/>
      <c r="E349" s="147"/>
      <c r="F349" s="147"/>
      <c r="G349" s="147"/>
      <c r="H349" s="147"/>
      <c r="I349" s="158"/>
    </row>
    <row r="350" spans="1:9" ht="13.8">
      <c r="A350" s="157" t="s">
        <v>1093</v>
      </c>
      <c r="B350" s="147"/>
      <c r="C350" s="147"/>
      <c r="D350" s="147"/>
      <c r="E350" s="147"/>
      <c r="F350" s="147"/>
      <c r="G350" s="147"/>
      <c r="H350" s="147"/>
      <c r="I350" s="158"/>
    </row>
    <row r="351" spans="1:9" ht="13.8">
      <c r="A351" s="157" t="s">
        <v>906</v>
      </c>
      <c r="B351" s="147"/>
      <c r="C351" s="147"/>
      <c r="D351" s="147"/>
      <c r="E351" s="147"/>
      <c r="F351" s="147"/>
      <c r="G351" s="147"/>
      <c r="H351" s="147"/>
      <c r="I351" s="158"/>
    </row>
    <row r="352" spans="1:9" ht="13.8">
      <c r="A352" s="157" t="s">
        <v>907</v>
      </c>
      <c r="B352" s="147"/>
      <c r="C352" s="147"/>
      <c r="D352" s="147"/>
      <c r="E352" s="147"/>
      <c r="F352" s="147"/>
      <c r="G352" s="147"/>
      <c r="H352" s="147"/>
      <c r="I352" s="158"/>
    </row>
    <row r="353" spans="1:9" ht="13.8">
      <c r="A353" s="157" t="s">
        <v>908</v>
      </c>
      <c r="B353" s="147"/>
      <c r="C353" s="147"/>
      <c r="D353" s="147"/>
      <c r="E353" s="147"/>
      <c r="F353" s="147"/>
      <c r="G353" s="147"/>
      <c r="H353" s="147"/>
      <c r="I353" s="158"/>
    </row>
    <row r="354" spans="1:9" ht="13.8">
      <c r="A354" s="157" t="s">
        <v>909</v>
      </c>
      <c r="B354" s="147"/>
      <c r="C354" s="147"/>
      <c r="D354" s="147"/>
      <c r="E354" s="147"/>
      <c r="F354" s="147"/>
      <c r="G354" s="147"/>
      <c r="H354" s="147"/>
      <c r="I354" s="158"/>
    </row>
    <row r="355" spans="1:9" ht="13.8">
      <c r="A355" s="157" t="s">
        <v>910</v>
      </c>
      <c r="B355" s="147"/>
      <c r="C355" s="147"/>
      <c r="D355" s="147"/>
      <c r="E355" s="147"/>
      <c r="F355" s="147"/>
      <c r="G355" s="147"/>
      <c r="H355" s="147"/>
      <c r="I355" s="158"/>
    </row>
    <row r="356" spans="1:9" ht="13.8">
      <c r="A356" s="157" t="s">
        <v>911</v>
      </c>
      <c r="B356" s="147"/>
      <c r="C356" s="147"/>
      <c r="D356" s="147"/>
      <c r="E356" s="147"/>
      <c r="F356" s="147"/>
      <c r="G356" s="147"/>
      <c r="H356" s="147"/>
      <c r="I356" s="158"/>
    </row>
    <row r="357" spans="1:9" ht="13.8">
      <c r="A357" s="157" t="s">
        <v>912</v>
      </c>
      <c r="B357" s="147"/>
      <c r="C357" s="147"/>
      <c r="D357" s="147"/>
      <c r="E357" s="147"/>
      <c r="F357" s="147"/>
      <c r="G357" s="147"/>
      <c r="H357" s="147"/>
      <c r="I357" s="158"/>
    </row>
    <row r="358" spans="1:9" ht="13.8">
      <c r="A358" s="157" t="s">
        <v>913</v>
      </c>
      <c r="B358" s="147"/>
      <c r="C358" s="147"/>
      <c r="D358" s="147"/>
      <c r="E358" s="147"/>
      <c r="F358" s="147"/>
      <c r="G358" s="147"/>
      <c r="H358" s="147"/>
      <c r="I358" s="158"/>
    </row>
    <row r="359" spans="1:9" ht="13.8">
      <c r="A359" s="157" t="s">
        <v>1185</v>
      </c>
      <c r="B359" s="147"/>
      <c r="C359" s="147"/>
      <c r="D359" s="147"/>
      <c r="E359" s="147"/>
      <c r="F359" s="147"/>
      <c r="G359" s="147"/>
      <c r="H359" s="147"/>
      <c r="I359" s="158"/>
    </row>
    <row r="360" spans="1:9" ht="13.8">
      <c r="A360" s="157" t="s">
        <v>935</v>
      </c>
      <c r="B360" s="147"/>
      <c r="C360" s="147"/>
      <c r="D360" s="147"/>
      <c r="E360" s="147"/>
      <c r="F360" s="147"/>
      <c r="G360" s="147"/>
      <c r="H360" s="147"/>
      <c r="I360" s="158"/>
    </row>
    <row r="361" spans="1:9" ht="13.8">
      <c r="A361" s="157" t="s">
        <v>936</v>
      </c>
      <c r="B361" s="147"/>
      <c r="C361" s="147"/>
      <c r="D361" s="147"/>
      <c r="E361" s="147"/>
      <c r="F361" s="147"/>
      <c r="G361" s="147"/>
      <c r="H361" s="147"/>
      <c r="I361" s="158"/>
    </row>
    <row r="362" spans="1:9" ht="13.8">
      <c r="A362" s="157" t="s">
        <v>937</v>
      </c>
      <c r="B362" s="147"/>
      <c r="C362" s="147"/>
      <c r="D362" s="147"/>
      <c r="E362" s="147"/>
      <c r="F362" s="147"/>
      <c r="G362" s="147"/>
      <c r="H362" s="147"/>
      <c r="I362" s="158"/>
    </row>
    <row r="363" spans="1:9" ht="13.8">
      <c r="A363" s="157" t="s">
        <v>938</v>
      </c>
      <c r="B363" s="147"/>
      <c r="C363" s="147"/>
      <c r="D363" s="147"/>
      <c r="E363" s="147"/>
      <c r="F363" s="147"/>
      <c r="G363" s="147"/>
      <c r="H363" s="147"/>
      <c r="I363" s="158"/>
    </row>
    <row r="364" spans="1:9" ht="13.8">
      <c r="A364" s="157" t="s">
        <v>939</v>
      </c>
      <c r="B364" s="147"/>
      <c r="C364" s="147"/>
      <c r="D364" s="147"/>
      <c r="E364" s="147"/>
      <c r="F364" s="147"/>
      <c r="G364" s="147"/>
      <c r="H364" s="147"/>
      <c r="I364" s="158"/>
    </row>
    <row r="365" spans="1:9" ht="13.8">
      <c r="A365" s="157" t="s">
        <v>1055</v>
      </c>
      <c r="B365" s="147"/>
      <c r="C365" s="147"/>
      <c r="D365" s="147"/>
      <c r="E365" s="147"/>
      <c r="F365" s="147"/>
      <c r="G365" s="147"/>
      <c r="H365" s="147"/>
      <c r="I365" s="158"/>
    </row>
    <row r="366" spans="1:9" ht="13.8">
      <c r="A366" s="157" t="s">
        <v>940</v>
      </c>
      <c r="B366" s="147"/>
      <c r="C366" s="147"/>
      <c r="D366" s="147"/>
      <c r="E366" s="147"/>
      <c r="F366" s="147"/>
      <c r="G366" s="147"/>
      <c r="H366" s="147"/>
      <c r="I366" s="158"/>
    </row>
    <row r="367" spans="1:9" ht="13.8">
      <c r="A367" s="157" t="s">
        <v>941</v>
      </c>
      <c r="B367" s="147"/>
      <c r="C367" s="147"/>
      <c r="D367" s="147"/>
      <c r="E367" s="147"/>
      <c r="F367" s="147"/>
      <c r="G367" s="147"/>
      <c r="H367" s="147"/>
      <c r="I367" s="158"/>
    </row>
    <row r="368" spans="1:9" ht="13.8">
      <c r="A368" s="157" t="s">
        <v>942</v>
      </c>
      <c r="B368" s="147"/>
      <c r="C368" s="147"/>
      <c r="D368" s="147"/>
      <c r="E368" s="147"/>
      <c r="F368" s="147"/>
      <c r="G368" s="147"/>
      <c r="H368" s="147"/>
      <c r="I368" s="158"/>
    </row>
    <row r="369" spans="1:9" ht="13.8">
      <c r="A369" s="157" t="s">
        <v>943</v>
      </c>
      <c r="B369" s="147"/>
      <c r="C369" s="147"/>
      <c r="D369" s="147"/>
      <c r="E369" s="147"/>
      <c r="F369" s="147"/>
      <c r="G369" s="147"/>
      <c r="H369" s="147"/>
      <c r="I369" s="158"/>
    </row>
    <row r="370" spans="1:9" ht="13.8">
      <c r="A370" s="157" t="s">
        <v>944</v>
      </c>
      <c r="B370" s="147"/>
      <c r="C370" s="147"/>
      <c r="D370" s="147"/>
      <c r="E370" s="147"/>
      <c r="F370" s="147"/>
      <c r="G370" s="147"/>
      <c r="H370" s="147"/>
      <c r="I370" s="158"/>
    </row>
    <row r="371" spans="1:9" ht="13.8">
      <c r="A371" s="157" t="s">
        <v>1186</v>
      </c>
      <c r="B371" s="147"/>
      <c r="C371" s="147"/>
      <c r="D371" s="147"/>
      <c r="E371" s="147"/>
      <c r="F371" s="147"/>
      <c r="G371" s="147"/>
      <c r="H371" s="147"/>
      <c r="I371" s="158"/>
    </row>
    <row r="372" spans="1:9" ht="13.8">
      <c r="A372" s="157" t="s">
        <v>914</v>
      </c>
      <c r="B372" s="147"/>
      <c r="C372" s="147"/>
      <c r="D372" s="147"/>
      <c r="E372" s="147"/>
      <c r="F372" s="147"/>
      <c r="G372" s="147"/>
      <c r="H372" s="147"/>
      <c r="I372" s="158"/>
    </row>
    <row r="373" spans="1:9" ht="13.8">
      <c r="A373" s="157" t="s">
        <v>915</v>
      </c>
      <c r="B373" s="147"/>
      <c r="C373" s="147"/>
      <c r="D373" s="147"/>
      <c r="E373" s="147"/>
      <c r="F373" s="147"/>
      <c r="G373" s="147"/>
      <c r="H373" s="147"/>
      <c r="I373" s="158"/>
    </row>
    <row r="374" spans="1:9" ht="13.8">
      <c r="A374" s="157" t="s">
        <v>916</v>
      </c>
      <c r="B374" s="147"/>
      <c r="C374" s="147"/>
      <c r="D374" s="147"/>
      <c r="E374" s="147"/>
      <c r="F374" s="147"/>
      <c r="G374" s="147"/>
      <c r="H374" s="147"/>
      <c r="I374" s="158"/>
    </row>
    <row r="375" spans="1:9" ht="13.8">
      <c r="A375" s="157" t="s">
        <v>1187</v>
      </c>
      <c r="B375" s="147"/>
      <c r="C375" s="147"/>
      <c r="D375" s="147"/>
      <c r="E375" s="147"/>
      <c r="F375" s="147"/>
      <c r="G375" s="147"/>
      <c r="H375" s="147"/>
      <c r="I375" s="158"/>
    </row>
    <row r="376" spans="1:9" ht="13.8">
      <c r="A376" s="157" t="s">
        <v>945</v>
      </c>
      <c r="B376" s="147"/>
      <c r="C376" s="147"/>
      <c r="D376" s="147"/>
      <c r="E376" s="147"/>
      <c r="F376" s="147"/>
      <c r="G376" s="147"/>
      <c r="H376" s="147"/>
      <c r="I376" s="158"/>
    </row>
    <row r="377" spans="1:9" ht="13.8">
      <c r="A377" s="157" t="s">
        <v>946</v>
      </c>
      <c r="B377" s="147"/>
      <c r="C377" s="147"/>
      <c r="D377" s="147"/>
      <c r="E377" s="147"/>
      <c r="F377" s="147"/>
      <c r="G377" s="147"/>
      <c r="H377" s="147"/>
      <c r="I377" s="158"/>
    </row>
    <row r="378" spans="1:9" ht="13.8">
      <c r="A378" s="157" t="s">
        <v>947</v>
      </c>
      <c r="B378" s="147"/>
      <c r="C378" s="147"/>
      <c r="D378" s="147"/>
      <c r="E378" s="147"/>
      <c r="F378" s="147"/>
      <c r="G378" s="147"/>
      <c r="H378" s="147"/>
      <c r="I378" s="158"/>
    </row>
    <row r="379" spans="1:9" ht="13.8">
      <c r="A379" s="157" t="s">
        <v>1094</v>
      </c>
      <c r="B379" s="147"/>
      <c r="C379" s="147"/>
      <c r="D379" s="147"/>
      <c r="E379" s="147"/>
      <c r="F379" s="147"/>
      <c r="G379" s="147"/>
      <c r="H379" s="147"/>
      <c r="I379" s="158"/>
    </row>
    <row r="380" spans="1:9" ht="13.8">
      <c r="A380" s="157" t="s">
        <v>1188</v>
      </c>
      <c r="B380" s="147"/>
      <c r="C380" s="147"/>
      <c r="D380" s="147"/>
      <c r="E380" s="147"/>
      <c r="F380" s="147"/>
      <c r="G380" s="147"/>
      <c r="H380" s="147"/>
      <c r="I380" s="158"/>
    </row>
    <row r="381" spans="1:9" ht="13.8">
      <c r="A381" s="157" t="s">
        <v>917</v>
      </c>
      <c r="B381" s="147"/>
      <c r="C381" s="147"/>
      <c r="D381" s="147"/>
      <c r="E381" s="147"/>
      <c r="F381" s="147"/>
      <c r="G381" s="147"/>
      <c r="H381" s="147"/>
      <c r="I381" s="158"/>
    </row>
    <row r="382" spans="1:9" ht="13.8">
      <c r="A382" s="157" t="s">
        <v>918</v>
      </c>
      <c r="B382" s="147"/>
      <c r="C382" s="147"/>
      <c r="D382" s="147"/>
      <c r="E382" s="147"/>
      <c r="F382" s="147"/>
      <c r="G382" s="147"/>
      <c r="H382" s="147"/>
      <c r="I382" s="158"/>
    </row>
    <row r="383" spans="1:9" ht="13.8">
      <c r="A383" s="157" t="s">
        <v>919</v>
      </c>
      <c r="B383" s="147"/>
      <c r="C383" s="147"/>
      <c r="D383" s="147"/>
      <c r="E383" s="147"/>
      <c r="F383" s="147"/>
      <c r="G383" s="147"/>
      <c r="H383" s="147"/>
      <c r="I383" s="158"/>
    </row>
    <row r="384" spans="1:9" ht="13.8">
      <c r="A384" s="157" t="s">
        <v>1189</v>
      </c>
      <c r="B384" s="147"/>
      <c r="C384" s="147"/>
      <c r="D384" s="147"/>
      <c r="E384" s="147"/>
      <c r="F384" s="147"/>
      <c r="G384" s="147"/>
      <c r="H384" s="147"/>
      <c r="I384" s="158"/>
    </row>
    <row r="385" spans="1:9" ht="13.8">
      <c r="A385" s="157" t="s">
        <v>987</v>
      </c>
      <c r="B385" s="147"/>
      <c r="C385" s="147"/>
      <c r="D385" s="147"/>
      <c r="E385" s="147"/>
      <c r="F385" s="147"/>
      <c r="G385" s="147"/>
      <c r="H385" s="147"/>
      <c r="I385" s="158"/>
    </row>
    <row r="386" spans="1:9" ht="13.8">
      <c r="A386" s="157" t="s">
        <v>1013</v>
      </c>
      <c r="B386" s="147"/>
      <c r="C386" s="147"/>
      <c r="D386" s="147"/>
      <c r="E386" s="147"/>
      <c r="F386" s="147"/>
      <c r="G386" s="147"/>
      <c r="H386" s="147"/>
      <c r="I386" s="158"/>
    </row>
    <row r="387" spans="1:9" ht="13.8">
      <c r="A387" s="157" t="s">
        <v>955</v>
      </c>
      <c r="B387" s="147"/>
      <c r="C387" s="147"/>
      <c r="D387" s="147"/>
      <c r="E387" s="147"/>
      <c r="F387" s="147"/>
      <c r="G387" s="147"/>
      <c r="H387" s="147"/>
      <c r="I387" s="158"/>
    </row>
    <row r="388" spans="1:9" ht="13.8">
      <c r="A388" s="157" t="s">
        <v>988</v>
      </c>
      <c r="B388" s="147"/>
      <c r="C388" s="147"/>
      <c r="D388" s="147"/>
      <c r="E388" s="147"/>
      <c r="F388" s="147"/>
      <c r="G388" s="147"/>
      <c r="H388" s="147"/>
      <c r="I388" s="158"/>
    </row>
    <row r="389" spans="1:9" ht="13.8">
      <c r="A389" s="157" t="s">
        <v>1014</v>
      </c>
      <c r="B389" s="147"/>
      <c r="C389" s="147"/>
      <c r="D389" s="147"/>
      <c r="E389" s="147"/>
      <c r="F389" s="147"/>
      <c r="G389" s="147"/>
      <c r="H389" s="147"/>
      <c r="I389" s="158"/>
    </row>
    <row r="390" spans="1:9" ht="13.8">
      <c r="A390" s="157" t="s">
        <v>1016</v>
      </c>
      <c r="B390" s="147"/>
      <c r="C390" s="147"/>
      <c r="D390" s="147"/>
      <c r="E390" s="147"/>
      <c r="F390" s="147"/>
      <c r="G390" s="147"/>
      <c r="H390" s="147"/>
      <c r="I390" s="158"/>
    </row>
    <row r="391" spans="1:9" ht="13.8">
      <c r="A391" s="157" t="s">
        <v>1017</v>
      </c>
      <c r="B391" s="147"/>
      <c r="C391" s="147"/>
      <c r="D391" s="147"/>
      <c r="E391" s="147"/>
      <c r="F391" s="147"/>
      <c r="G391" s="147"/>
      <c r="H391" s="147"/>
      <c r="I391" s="158"/>
    </row>
    <row r="392" spans="1:9" ht="13.8">
      <c r="A392" s="157" t="s">
        <v>1190</v>
      </c>
      <c r="B392" s="147"/>
      <c r="C392" s="147"/>
      <c r="D392" s="147"/>
      <c r="E392" s="147"/>
      <c r="F392" s="147"/>
      <c r="G392" s="147"/>
      <c r="H392" s="147"/>
      <c r="I392" s="158"/>
    </row>
    <row r="393" spans="1:9" ht="13.8">
      <c r="A393" s="157" t="s">
        <v>1015</v>
      </c>
      <c r="B393" s="147"/>
      <c r="C393" s="147"/>
      <c r="D393" s="147"/>
      <c r="E393" s="147"/>
      <c r="F393" s="147"/>
      <c r="G393" s="147"/>
      <c r="H393" s="147"/>
      <c r="I393" s="158"/>
    </row>
    <row r="394" spans="1:9" ht="13.8">
      <c r="A394" s="157" t="s">
        <v>1018</v>
      </c>
      <c r="B394" s="147"/>
      <c r="C394" s="147"/>
      <c r="D394" s="147"/>
      <c r="E394" s="147"/>
      <c r="F394" s="147"/>
      <c r="G394" s="147"/>
      <c r="H394" s="147"/>
      <c r="I394" s="158"/>
    </row>
    <row r="395" spans="1:9" ht="13.8">
      <c r="A395" s="157" t="s">
        <v>1019</v>
      </c>
      <c r="B395" s="147"/>
      <c r="C395" s="147"/>
      <c r="D395" s="147"/>
      <c r="E395" s="147"/>
      <c r="F395" s="147"/>
      <c r="G395" s="147"/>
      <c r="H395" s="147"/>
      <c r="I395" s="158"/>
    </row>
    <row r="396" spans="1:9" ht="13.8">
      <c r="A396" s="157" t="s">
        <v>1020</v>
      </c>
      <c r="B396" s="147"/>
      <c r="C396" s="147"/>
      <c r="D396" s="147"/>
      <c r="E396" s="147"/>
      <c r="F396" s="147"/>
      <c r="G396" s="147"/>
      <c r="H396" s="147"/>
      <c r="I396" s="158"/>
    </row>
    <row r="397" spans="1:9" ht="13.8">
      <c r="A397" s="157" t="s">
        <v>1021</v>
      </c>
      <c r="B397" s="147"/>
      <c r="C397" s="147"/>
      <c r="D397" s="147"/>
      <c r="E397" s="147"/>
      <c r="F397" s="147"/>
      <c r="G397" s="147"/>
      <c r="H397" s="147"/>
      <c r="I397" s="158"/>
    </row>
    <row r="398" spans="1:9" ht="13.8">
      <c r="A398" s="157" t="s">
        <v>956</v>
      </c>
      <c r="B398" s="147"/>
      <c r="C398" s="147"/>
      <c r="D398" s="147"/>
      <c r="E398" s="147"/>
      <c r="F398" s="147"/>
      <c r="G398" s="147"/>
      <c r="H398" s="147"/>
      <c r="I398" s="158"/>
    </row>
    <row r="399" spans="1:9" ht="13.8">
      <c r="A399" s="157" t="s">
        <v>989</v>
      </c>
      <c r="B399" s="147"/>
      <c r="C399" s="147"/>
      <c r="D399" s="147"/>
      <c r="E399" s="147"/>
      <c r="F399" s="147"/>
      <c r="G399" s="147"/>
      <c r="H399" s="147"/>
      <c r="I399" s="158"/>
    </row>
    <row r="400" spans="1:9" ht="13.8">
      <c r="A400" s="157" t="s">
        <v>1022</v>
      </c>
      <c r="B400" s="147"/>
      <c r="C400" s="147"/>
      <c r="D400" s="147"/>
      <c r="E400" s="147"/>
      <c r="F400" s="147"/>
      <c r="G400" s="147"/>
      <c r="H400" s="147"/>
      <c r="I400" s="158"/>
    </row>
    <row r="401" spans="1:9" ht="13.8">
      <c r="A401" s="157" t="s">
        <v>1023</v>
      </c>
      <c r="B401" s="147"/>
      <c r="C401" s="147"/>
      <c r="D401" s="147"/>
      <c r="E401" s="147"/>
      <c r="F401" s="147"/>
      <c r="G401" s="147"/>
      <c r="H401" s="147"/>
      <c r="I401" s="158"/>
    </row>
    <row r="402" spans="1:9" ht="13.8">
      <c r="A402" s="157" t="s">
        <v>1024</v>
      </c>
      <c r="B402" s="147"/>
      <c r="C402" s="147"/>
      <c r="D402" s="147"/>
      <c r="E402" s="147"/>
      <c r="F402" s="147"/>
      <c r="G402" s="147"/>
      <c r="H402" s="147"/>
      <c r="I402" s="158"/>
    </row>
    <row r="403" spans="1:9" ht="13.8">
      <c r="A403" s="157" t="s">
        <v>1025</v>
      </c>
      <c r="B403" s="147"/>
      <c r="C403" s="147"/>
      <c r="D403" s="147"/>
      <c r="E403" s="147"/>
      <c r="F403" s="147"/>
      <c r="G403" s="147"/>
      <c r="H403" s="147"/>
      <c r="I403" s="158"/>
    </row>
    <row r="404" spans="1:9" ht="13.8">
      <c r="A404" s="157" t="s">
        <v>1026</v>
      </c>
      <c r="B404" s="147"/>
      <c r="C404" s="147"/>
      <c r="D404" s="147"/>
      <c r="E404" s="147"/>
      <c r="F404" s="147"/>
      <c r="G404" s="147"/>
      <c r="H404" s="147"/>
      <c r="I404" s="158"/>
    </row>
    <row r="405" spans="1:9" ht="13.8">
      <c r="A405" s="157" t="s">
        <v>1027</v>
      </c>
      <c r="B405" s="147"/>
      <c r="C405" s="147"/>
      <c r="D405" s="147"/>
      <c r="E405" s="147"/>
      <c r="F405" s="147"/>
      <c r="G405" s="147"/>
      <c r="H405" s="147"/>
      <c r="I405" s="158"/>
    </row>
    <row r="406" spans="1:9" ht="13.8">
      <c r="A406" s="157" t="s">
        <v>1028</v>
      </c>
      <c r="B406" s="147"/>
      <c r="C406" s="147"/>
      <c r="D406" s="147"/>
      <c r="E406" s="147"/>
      <c r="F406" s="147"/>
      <c r="G406" s="147"/>
      <c r="H406" s="147"/>
      <c r="I406" s="158"/>
    </row>
    <row r="407" spans="1:9" ht="13.8">
      <c r="A407" s="157" t="s">
        <v>957</v>
      </c>
      <c r="B407" s="147"/>
      <c r="C407" s="147"/>
      <c r="D407" s="147"/>
      <c r="E407" s="147"/>
      <c r="F407" s="147"/>
      <c r="G407" s="147"/>
      <c r="H407" s="147"/>
      <c r="I407" s="158"/>
    </row>
    <row r="408" spans="1:9" ht="13.8">
      <c r="A408" s="157" t="s">
        <v>990</v>
      </c>
      <c r="B408" s="147"/>
      <c r="C408" s="147"/>
      <c r="D408" s="147"/>
      <c r="E408" s="147"/>
      <c r="F408" s="147"/>
      <c r="G408" s="147"/>
      <c r="H408" s="147"/>
      <c r="I408" s="158"/>
    </row>
    <row r="409" spans="1:9" ht="13.8">
      <c r="A409" s="157" t="s">
        <v>1029</v>
      </c>
      <c r="B409" s="147"/>
      <c r="C409" s="147"/>
      <c r="D409" s="147"/>
      <c r="E409" s="147"/>
      <c r="F409" s="147"/>
      <c r="G409" s="147"/>
      <c r="H409" s="147"/>
      <c r="I409" s="158"/>
    </row>
    <row r="410" spans="1:9" ht="13.8">
      <c r="A410" s="157" t="s">
        <v>1030</v>
      </c>
      <c r="B410" s="147"/>
      <c r="C410" s="147"/>
      <c r="D410" s="147"/>
      <c r="E410" s="147"/>
      <c r="F410" s="147"/>
      <c r="G410" s="147"/>
      <c r="H410" s="147"/>
      <c r="I410" s="158"/>
    </row>
    <row r="411" spans="1:9" ht="13.8">
      <c r="A411" s="157" t="s">
        <v>958</v>
      </c>
      <c r="B411" s="147"/>
      <c r="C411" s="147"/>
      <c r="D411" s="147"/>
      <c r="E411" s="147"/>
      <c r="F411" s="147"/>
      <c r="G411" s="147"/>
      <c r="H411" s="147"/>
      <c r="I411" s="158"/>
    </row>
    <row r="412" spans="1:9" ht="13.8">
      <c r="A412" s="157" t="s">
        <v>991</v>
      </c>
      <c r="B412" s="147"/>
      <c r="C412" s="147"/>
      <c r="D412" s="147"/>
      <c r="E412" s="147"/>
      <c r="F412" s="147"/>
      <c r="G412" s="147"/>
      <c r="H412" s="147"/>
      <c r="I412" s="158"/>
    </row>
    <row r="413" spans="1:9" ht="13.8">
      <c r="A413" s="157" t="s">
        <v>959</v>
      </c>
      <c r="B413" s="147"/>
      <c r="C413" s="147"/>
      <c r="D413" s="147"/>
      <c r="E413" s="147"/>
      <c r="F413" s="147"/>
      <c r="G413" s="147"/>
      <c r="H413" s="147"/>
      <c r="I413" s="158"/>
    </row>
    <row r="414" spans="1:9" ht="13.8">
      <c r="A414" s="157" t="s">
        <v>992</v>
      </c>
      <c r="B414" s="147"/>
      <c r="C414" s="147"/>
      <c r="D414" s="147"/>
      <c r="E414" s="147"/>
      <c r="F414" s="147"/>
      <c r="G414" s="147"/>
      <c r="H414" s="147"/>
      <c r="I414" s="158"/>
    </row>
    <row r="415" spans="1:9" ht="13.8">
      <c r="A415" s="157" t="s">
        <v>1031</v>
      </c>
      <c r="B415" s="147"/>
      <c r="C415" s="147"/>
      <c r="D415" s="147"/>
      <c r="E415" s="147"/>
      <c r="F415" s="147"/>
      <c r="G415" s="147"/>
      <c r="H415" s="147"/>
      <c r="I415" s="158"/>
    </row>
    <row r="416" spans="1:9" ht="13.8">
      <c r="A416" s="157" t="s">
        <v>1032</v>
      </c>
      <c r="B416" s="147"/>
      <c r="C416" s="147"/>
      <c r="D416" s="147"/>
      <c r="E416" s="147"/>
      <c r="F416" s="147"/>
      <c r="G416" s="147"/>
      <c r="H416" s="147"/>
      <c r="I416" s="158"/>
    </row>
    <row r="417" spans="1:9" ht="13.8">
      <c r="A417" s="157" t="s">
        <v>960</v>
      </c>
      <c r="B417" s="147"/>
      <c r="C417" s="147"/>
      <c r="D417" s="147"/>
      <c r="E417" s="147"/>
      <c r="F417" s="147"/>
      <c r="G417" s="147"/>
      <c r="H417" s="147"/>
      <c r="I417" s="158"/>
    </row>
    <row r="418" spans="1:9" ht="13.8">
      <c r="A418" s="157" t="s">
        <v>993</v>
      </c>
      <c r="B418" s="147"/>
      <c r="C418" s="147"/>
      <c r="D418" s="147"/>
      <c r="E418" s="147"/>
      <c r="F418" s="147"/>
      <c r="G418" s="147"/>
      <c r="H418" s="147"/>
      <c r="I418" s="158"/>
    </row>
    <row r="419" spans="1:9" ht="13.8">
      <c r="A419" s="157" t="s">
        <v>1033</v>
      </c>
      <c r="B419" s="147"/>
      <c r="C419" s="147"/>
      <c r="D419" s="147"/>
      <c r="E419" s="147"/>
      <c r="F419" s="147"/>
      <c r="G419" s="147"/>
      <c r="H419" s="147"/>
      <c r="I419" s="158"/>
    </row>
    <row r="420" spans="1:9" ht="13.8">
      <c r="A420" s="157" t="s">
        <v>1034</v>
      </c>
      <c r="B420" s="147"/>
      <c r="C420" s="147"/>
      <c r="D420" s="147"/>
      <c r="E420" s="147"/>
      <c r="F420" s="147"/>
      <c r="G420" s="147"/>
      <c r="H420" s="147"/>
      <c r="I420" s="158"/>
    </row>
    <row r="421" spans="1:9" ht="13.8">
      <c r="A421" s="157" t="s">
        <v>961</v>
      </c>
      <c r="B421" s="147"/>
      <c r="C421" s="147"/>
      <c r="D421" s="147"/>
      <c r="E421" s="147"/>
      <c r="F421" s="147"/>
      <c r="G421" s="147"/>
      <c r="H421" s="147"/>
      <c r="I421" s="158"/>
    </row>
    <row r="422" spans="1:9" ht="13.8">
      <c r="A422" s="157" t="s">
        <v>994</v>
      </c>
      <c r="B422" s="147"/>
      <c r="C422" s="147"/>
      <c r="D422" s="147"/>
      <c r="E422" s="147"/>
      <c r="F422" s="147"/>
      <c r="G422" s="147"/>
      <c r="H422" s="147"/>
      <c r="I422" s="158"/>
    </row>
    <row r="423" spans="1:9" ht="13.8">
      <c r="A423" s="157" t="s">
        <v>1095</v>
      </c>
      <c r="B423" s="147"/>
      <c r="C423" s="147"/>
      <c r="D423" s="147"/>
      <c r="E423" s="147"/>
      <c r="F423" s="147"/>
      <c r="G423" s="147"/>
      <c r="H423" s="147"/>
      <c r="I423" s="158"/>
    </row>
    <row r="424" spans="1:9" ht="13.8">
      <c r="A424" s="157" t="s">
        <v>1191</v>
      </c>
      <c r="B424" s="147"/>
      <c r="C424" s="147"/>
      <c r="D424" s="147"/>
      <c r="E424" s="147"/>
      <c r="F424" s="147"/>
      <c r="G424" s="147"/>
      <c r="H424" s="147"/>
      <c r="I424" s="158"/>
    </row>
    <row r="425" spans="1:9" ht="13.8">
      <c r="A425" s="157" t="s">
        <v>1096</v>
      </c>
      <c r="B425" s="147"/>
      <c r="C425" s="147"/>
      <c r="D425" s="147"/>
      <c r="E425" s="147"/>
      <c r="F425" s="147"/>
      <c r="G425" s="147"/>
      <c r="H425" s="147"/>
      <c r="I425" s="158"/>
    </row>
    <row r="426" spans="1:9" ht="13.8">
      <c r="A426" s="157" t="s">
        <v>1100</v>
      </c>
      <c r="B426" s="147"/>
      <c r="C426" s="147"/>
      <c r="D426" s="147"/>
      <c r="E426" s="147"/>
      <c r="F426" s="147"/>
      <c r="G426" s="147"/>
      <c r="H426" s="147"/>
      <c r="I426" s="158"/>
    </row>
    <row r="427" spans="1:9" ht="13.8">
      <c r="A427" s="157" t="s">
        <v>1097</v>
      </c>
      <c r="B427" s="147"/>
      <c r="C427" s="147"/>
      <c r="D427" s="147"/>
      <c r="E427" s="147"/>
      <c r="F427" s="147"/>
      <c r="G427" s="147"/>
      <c r="H427" s="147"/>
      <c r="I427" s="158"/>
    </row>
    <row r="428" spans="1:9" ht="13.8">
      <c r="A428" s="157" t="s">
        <v>1098</v>
      </c>
      <c r="B428" s="147"/>
      <c r="C428" s="147"/>
      <c r="D428" s="147"/>
      <c r="E428" s="147"/>
      <c r="F428" s="147"/>
      <c r="G428" s="147"/>
      <c r="H428" s="147"/>
      <c r="I428" s="158"/>
    </row>
    <row r="429" spans="1:9" ht="13.8">
      <c r="A429" s="157" t="s">
        <v>1099</v>
      </c>
      <c r="B429" s="147"/>
      <c r="C429" s="147"/>
      <c r="D429" s="147"/>
      <c r="E429" s="147"/>
      <c r="F429" s="147"/>
      <c r="G429" s="147"/>
      <c r="H429" s="147"/>
      <c r="I429" s="158"/>
    </row>
    <row r="430" spans="1:9" ht="13.8">
      <c r="A430" s="157" t="s">
        <v>962</v>
      </c>
      <c r="B430" s="147"/>
      <c r="C430" s="147"/>
      <c r="D430" s="147"/>
      <c r="E430" s="147"/>
      <c r="F430" s="147"/>
      <c r="G430" s="147"/>
      <c r="H430" s="147"/>
      <c r="I430" s="158"/>
    </row>
    <row r="431" spans="1:9" ht="13.8">
      <c r="A431" s="157" t="s">
        <v>1192</v>
      </c>
      <c r="B431" s="147"/>
      <c r="C431" s="147"/>
      <c r="D431" s="147"/>
      <c r="E431" s="147"/>
      <c r="F431" s="147"/>
      <c r="G431" s="147"/>
      <c r="H431" s="147"/>
      <c r="I431" s="158"/>
    </row>
    <row r="432" spans="1:9" ht="13.8">
      <c r="A432" s="157" t="s">
        <v>999</v>
      </c>
      <c r="B432" s="147"/>
      <c r="C432" s="147"/>
      <c r="D432" s="147"/>
      <c r="E432" s="147"/>
      <c r="F432" s="147"/>
      <c r="G432" s="147"/>
      <c r="H432" s="147"/>
      <c r="I432" s="158"/>
    </row>
    <row r="433" spans="1:9" ht="13.8">
      <c r="A433" s="157" t="s">
        <v>967</v>
      </c>
      <c r="B433" s="147"/>
      <c r="C433" s="147"/>
      <c r="D433" s="147"/>
      <c r="E433" s="147"/>
      <c r="F433" s="147"/>
      <c r="G433" s="147"/>
      <c r="H433" s="147"/>
      <c r="I433" s="158"/>
    </row>
    <row r="434" spans="1:9" ht="13.8">
      <c r="A434" s="157" t="s">
        <v>1000</v>
      </c>
      <c r="B434" s="147"/>
      <c r="C434" s="147"/>
      <c r="D434" s="147"/>
      <c r="E434" s="147"/>
      <c r="F434" s="147"/>
      <c r="G434" s="147"/>
      <c r="H434" s="147"/>
      <c r="I434" s="158"/>
    </row>
    <row r="435" spans="1:9" ht="13.8">
      <c r="A435" s="157" t="s">
        <v>968</v>
      </c>
      <c r="B435" s="147"/>
      <c r="C435" s="147"/>
      <c r="D435" s="147"/>
      <c r="E435" s="147"/>
      <c r="F435" s="147"/>
      <c r="G435" s="147"/>
      <c r="H435" s="147"/>
      <c r="I435" s="158"/>
    </row>
    <row r="436" spans="1:9" ht="13.8">
      <c r="A436" s="157" t="s">
        <v>1001</v>
      </c>
      <c r="B436" s="147"/>
      <c r="C436" s="147"/>
      <c r="D436" s="147"/>
      <c r="E436" s="147"/>
      <c r="F436" s="147"/>
      <c r="G436" s="147"/>
      <c r="H436" s="147"/>
      <c r="I436" s="158"/>
    </row>
    <row r="437" spans="1:9" ht="13.8">
      <c r="A437" s="157" t="s">
        <v>1035</v>
      </c>
      <c r="B437" s="147"/>
      <c r="C437" s="147"/>
      <c r="D437" s="147"/>
      <c r="E437" s="147"/>
      <c r="F437" s="147"/>
      <c r="G437" s="147"/>
      <c r="H437" s="147"/>
      <c r="I437" s="158"/>
    </row>
    <row r="438" spans="1:9" ht="13.8">
      <c r="A438" s="157" t="s">
        <v>969</v>
      </c>
      <c r="B438" s="147"/>
      <c r="C438" s="147"/>
      <c r="D438" s="147"/>
      <c r="E438" s="147"/>
      <c r="F438" s="147"/>
      <c r="G438" s="147"/>
      <c r="H438" s="147"/>
      <c r="I438" s="158"/>
    </row>
    <row r="439" spans="1:9" ht="13.8">
      <c r="A439" s="157" t="s">
        <v>1002</v>
      </c>
      <c r="B439" s="147"/>
      <c r="C439" s="147"/>
      <c r="D439" s="147"/>
      <c r="E439" s="147"/>
      <c r="F439" s="147"/>
      <c r="G439" s="147"/>
      <c r="H439" s="147"/>
      <c r="I439" s="158"/>
    </row>
    <row r="440" spans="1:9" ht="13.8">
      <c r="A440" s="157" t="s">
        <v>1193</v>
      </c>
      <c r="B440" s="147"/>
      <c r="C440" s="147"/>
      <c r="D440" s="147"/>
      <c r="E440" s="147"/>
      <c r="F440" s="147"/>
      <c r="G440" s="147"/>
      <c r="H440" s="147"/>
      <c r="I440" s="158"/>
    </row>
    <row r="441" spans="1:9" ht="13.8">
      <c r="A441" s="157" t="s">
        <v>1102</v>
      </c>
      <c r="B441" s="147"/>
      <c r="C441" s="147"/>
      <c r="D441" s="147"/>
      <c r="E441" s="147"/>
      <c r="F441" s="147"/>
      <c r="G441" s="147"/>
      <c r="H441" s="147"/>
      <c r="I441" s="158"/>
    </row>
    <row r="442" spans="1:9" ht="13.8">
      <c r="A442" s="157" t="s">
        <v>1105</v>
      </c>
      <c r="B442" s="147"/>
      <c r="C442" s="147"/>
      <c r="D442" s="147"/>
      <c r="E442" s="147"/>
      <c r="F442" s="147"/>
      <c r="G442" s="147"/>
      <c r="H442" s="147"/>
      <c r="I442" s="158"/>
    </row>
    <row r="443" spans="1:9" ht="13.8">
      <c r="A443" s="157" t="s">
        <v>1104</v>
      </c>
      <c r="B443" s="147"/>
      <c r="C443" s="147"/>
      <c r="D443" s="147"/>
      <c r="E443" s="147"/>
      <c r="F443" s="147"/>
      <c r="G443" s="147"/>
      <c r="H443" s="147"/>
      <c r="I443" s="158"/>
    </row>
    <row r="444" spans="1:9" ht="13.8">
      <c r="A444" s="157" t="s">
        <v>1101</v>
      </c>
      <c r="B444" s="147"/>
      <c r="C444" s="147"/>
      <c r="D444" s="147"/>
      <c r="E444" s="147"/>
      <c r="F444" s="147"/>
      <c r="G444" s="147"/>
      <c r="H444" s="147"/>
      <c r="I444" s="158"/>
    </row>
    <row r="445" spans="1:9" ht="13.8">
      <c r="A445" s="157" t="s">
        <v>1103</v>
      </c>
      <c r="B445" s="147"/>
      <c r="C445" s="147"/>
      <c r="D445" s="147"/>
      <c r="E445" s="147"/>
      <c r="F445" s="147"/>
      <c r="G445" s="147"/>
      <c r="H445" s="147"/>
      <c r="I445" s="158"/>
    </row>
    <row r="446" spans="1:9" ht="13.8">
      <c r="A446" s="157" t="s">
        <v>1106</v>
      </c>
      <c r="B446" s="147"/>
      <c r="C446" s="147"/>
      <c r="D446" s="147"/>
      <c r="E446" s="147"/>
      <c r="F446" s="147"/>
      <c r="G446" s="147"/>
      <c r="H446" s="147"/>
      <c r="I446" s="158"/>
    </row>
    <row r="447" spans="1:9" ht="13.8">
      <c r="A447" s="157" t="s">
        <v>970</v>
      </c>
      <c r="B447" s="147"/>
      <c r="C447" s="147"/>
      <c r="D447" s="147"/>
      <c r="E447" s="147"/>
      <c r="F447" s="147"/>
      <c r="G447" s="147"/>
      <c r="H447" s="147"/>
      <c r="I447" s="158"/>
    </row>
    <row r="448" spans="1:9" ht="13.8">
      <c r="A448" s="157" t="s">
        <v>1194</v>
      </c>
      <c r="B448" s="147"/>
      <c r="C448" s="147"/>
      <c r="D448" s="147"/>
      <c r="E448" s="147"/>
      <c r="F448" s="147"/>
      <c r="G448" s="147"/>
      <c r="H448" s="147"/>
      <c r="I448" s="158"/>
    </row>
    <row r="449" spans="1:9" ht="13.8">
      <c r="A449" s="157" t="s">
        <v>1008</v>
      </c>
      <c r="B449" s="147"/>
      <c r="C449" s="147"/>
      <c r="D449" s="147"/>
      <c r="E449" s="147"/>
      <c r="F449" s="147"/>
      <c r="G449" s="147"/>
      <c r="H449" s="147"/>
      <c r="I449" s="158"/>
    </row>
    <row r="450" spans="1:9" ht="13.8">
      <c r="A450" s="157" t="s">
        <v>976</v>
      </c>
      <c r="B450" s="147"/>
      <c r="C450" s="147"/>
      <c r="D450" s="147"/>
      <c r="E450" s="147"/>
      <c r="F450" s="147"/>
      <c r="G450" s="147"/>
      <c r="H450" s="147"/>
      <c r="I450" s="158"/>
    </row>
    <row r="451" spans="1:9" ht="13.8">
      <c r="A451" s="157" t="s">
        <v>1009</v>
      </c>
      <c r="B451" s="147"/>
      <c r="C451" s="147"/>
      <c r="D451" s="147"/>
      <c r="E451" s="147"/>
      <c r="F451" s="147"/>
      <c r="G451" s="147"/>
      <c r="H451" s="147"/>
      <c r="I451" s="158"/>
    </row>
    <row r="452" spans="1:9" ht="13.8">
      <c r="A452" s="157" t="s">
        <v>977</v>
      </c>
      <c r="B452" s="147"/>
      <c r="C452" s="147"/>
      <c r="D452" s="147"/>
      <c r="E452" s="147"/>
      <c r="F452" s="147"/>
      <c r="G452" s="147"/>
      <c r="H452" s="147"/>
      <c r="I452" s="158"/>
    </row>
    <row r="453" spans="1:9" ht="13.8">
      <c r="A453" s="157" t="s">
        <v>1010</v>
      </c>
      <c r="B453" s="147"/>
      <c r="C453" s="147"/>
      <c r="D453" s="147"/>
      <c r="E453" s="147"/>
      <c r="F453" s="147"/>
      <c r="G453" s="147"/>
      <c r="H453" s="147"/>
      <c r="I453" s="158"/>
    </row>
    <row r="454" spans="1:9" ht="13.8">
      <c r="A454" s="157" t="s">
        <v>1036</v>
      </c>
      <c r="B454" s="147"/>
      <c r="C454" s="147"/>
      <c r="D454" s="147"/>
      <c r="E454" s="147"/>
      <c r="F454" s="147"/>
      <c r="G454" s="147"/>
      <c r="H454" s="147"/>
      <c r="I454" s="158"/>
    </row>
    <row r="455" spans="1:9" ht="13.8">
      <c r="A455" s="157" t="s">
        <v>1037</v>
      </c>
      <c r="B455" s="147"/>
      <c r="C455" s="147"/>
      <c r="D455" s="147"/>
      <c r="E455" s="147"/>
      <c r="F455" s="147"/>
      <c r="G455" s="147"/>
      <c r="H455" s="147"/>
      <c r="I455" s="158"/>
    </row>
    <row r="456" spans="1:9" ht="13.8">
      <c r="A456" s="157" t="s">
        <v>1038</v>
      </c>
      <c r="B456" s="147"/>
      <c r="C456" s="147"/>
      <c r="D456" s="147"/>
      <c r="E456" s="147"/>
      <c r="F456" s="147"/>
      <c r="G456" s="147"/>
      <c r="H456" s="147"/>
      <c r="I456" s="158"/>
    </row>
    <row r="457" spans="1:9" ht="13.8">
      <c r="A457" s="157" t="s">
        <v>1039</v>
      </c>
      <c r="B457" s="147"/>
      <c r="C457" s="147"/>
      <c r="D457" s="147"/>
      <c r="E457" s="147"/>
      <c r="F457" s="147"/>
      <c r="G457" s="147"/>
      <c r="H457" s="147"/>
      <c r="I457" s="158"/>
    </row>
    <row r="458" spans="1:9" ht="13.8">
      <c r="A458" s="157" t="s">
        <v>978</v>
      </c>
      <c r="B458" s="147"/>
      <c r="C458" s="147"/>
      <c r="D458" s="147"/>
      <c r="E458" s="147"/>
      <c r="F458" s="147"/>
      <c r="G458" s="147"/>
      <c r="H458" s="147"/>
      <c r="I458" s="158"/>
    </row>
    <row r="459" spans="1:9" ht="13.8">
      <c r="A459" s="157" t="s">
        <v>1011</v>
      </c>
      <c r="B459" s="147"/>
      <c r="C459" s="147"/>
      <c r="D459" s="147"/>
      <c r="E459" s="147"/>
      <c r="F459" s="147"/>
      <c r="G459" s="147"/>
      <c r="H459" s="147"/>
      <c r="I459" s="158"/>
    </row>
    <row r="460" spans="1:9" ht="13.8">
      <c r="A460" s="157" t="s">
        <v>1108</v>
      </c>
      <c r="B460" s="147"/>
      <c r="C460" s="147"/>
      <c r="D460" s="147"/>
      <c r="E460" s="147"/>
      <c r="F460" s="147"/>
      <c r="G460" s="147"/>
      <c r="H460" s="147"/>
      <c r="I460" s="158"/>
    </row>
    <row r="461" spans="1:9" ht="13.8">
      <c r="A461" s="157" t="s">
        <v>1195</v>
      </c>
      <c r="B461" s="147"/>
      <c r="C461" s="147"/>
      <c r="D461" s="147"/>
      <c r="E461" s="147"/>
      <c r="F461" s="147"/>
      <c r="G461" s="147"/>
      <c r="H461" s="147"/>
      <c r="I461" s="158"/>
    </row>
    <row r="462" spans="1:9" ht="13.8">
      <c r="A462" s="157" t="s">
        <v>1109</v>
      </c>
      <c r="B462" s="147"/>
      <c r="C462" s="147"/>
      <c r="D462" s="147"/>
      <c r="E462" s="147"/>
      <c r="F462" s="147"/>
      <c r="G462" s="147"/>
      <c r="H462" s="147"/>
      <c r="I462" s="158"/>
    </row>
    <row r="463" spans="1:9" ht="13.8">
      <c r="A463" s="157" t="s">
        <v>1113</v>
      </c>
      <c r="B463" s="147"/>
      <c r="C463" s="147"/>
      <c r="D463" s="147"/>
      <c r="E463" s="147"/>
      <c r="F463" s="147"/>
      <c r="G463" s="147"/>
      <c r="H463" s="147"/>
      <c r="I463" s="158"/>
    </row>
    <row r="464" spans="1:9" ht="13.8">
      <c r="A464" s="157" t="s">
        <v>1196</v>
      </c>
      <c r="B464" s="147"/>
      <c r="C464" s="147"/>
      <c r="D464" s="147"/>
      <c r="E464" s="147"/>
      <c r="F464" s="147"/>
      <c r="G464" s="147"/>
      <c r="H464" s="147"/>
      <c r="I464" s="158"/>
    </row>
    <row r="465" spans="1:9" ht="13.8">
      <c r="A465" s="157" t="s">
        <v>1107</v>
      </c>
      <c r="B465" s="147"/>
      <c r="C465" s="147"/>
      <c r="D465" s="147"/>
      <c r="E465" s="147"/>
      <c r="F465" s="147"/>
      <c r="G465" s="147"/>
      <c r="H465" s="147"/>
      <c r="I465" s="158"/>
    </row>
    <row r="466" spans="1:9" ht="13.8">
      <c r="A466" s="157" t="s">
        <v>1110</v>
      </c>
      <c r="B466" s="147"/>
      <c r="C466" s="147"/>
      <c r="D466" s="147"/>
      <c r="E466" s="147"/>
      <c r="F466" s="147"/>
      <c r="G466" s="147"/>
      <c r="H466" s="147"/>
      <c r="I466" s="158"/>
    </row>
    <row r="467" spans="1:9" ht="13.8">
      <c r="A467" s="157" t="s">
        <v>1111</v>
      </c>
      <c r="B467" s="147"/>
      <c r="C467" s="147"/>
      <c r="D467" s="147"/>
      <c r="E467" s="147"/>
      <c r="F467" s="147"/>
      <c r="G467" s="147"/>
      <c r="H467" s="147"/>
      <c r="I467" s="158"/>
    </row>
    <row r="468" spans="1:9" ht="13.8">
      <c r="A468" s="157" t="s">
        <v>1112</v>
      </c>
      <c r="B468" s="147"/>
      <c r="C468" s="147"/>
      <c r="D468" s="147"/>
      <c r="E468" s="147"/>
      <c r="F468" s="147"/>
      <c r="G468" s="147"/>
      <c r="H468" s="147"/>
      <c r="I468" s="158"/>
    </row>
    <row r="469" spans="1:9" ht="13.8">
      <c r="A469" s="157" t="s">
        <v>979</v>
      </c>
      <c r="B469" s="147"/>
      <c r="C469" s="147"/>
      <c r="D469" s="147"/>
      <c r="E469" s="147"/>
      <c r="F469" s="147"/>
      <c r="G469" s="147"/>
      <c r="H469" s="147"/>
      <c r="I469" s="158"/>
    </row>
    <row r="470" spans="1:9" ht="13.8">
      <c r="A470" s="157" t="s">
        <v>1012</v>
      </c>
      <c r="B470" s="147"/>
      <c r="C470" s="147"/>
      <c r="D470" s="147"/>
      <c r="E470" s="147"/>
      <c r="F470" s="147"/>
      <c r="G470" s="147"/>
      <c r="H470" s="147"/>
      <c r="I470" s="158"/>
    </row>
    <row r="471" spans="1:9" ht="13.8">
      <c r="A471" s="157" t="s">
        <v>1197</v>
      </c>
      <c r="B471" s="147"/>
      <c r="C471" s="147"/>
      <c r="D471" s="147"/>
      <c r="E471" s="147"/>
      <c r="F471" s="147"/>
      <c r="G471" s="147"/>
      <c r="H471" s="147"/>
      <c r="I471" s="158"/>
    </row>
    <row r="472" spans="1:9" ht="13.8">
      <c r="A472" s="157" t="s">
        <v>980</v>
      </c>
      <c r="B472" s="147"/>
      <c r="C472" s="147"/>
      <c r="D472" s="147"/>
      <c r="E472" s="147"/>
      <c r="F472" s="147"/>
      <c r="G472" s="147"/>
      <c r="H472" s="147"/>
      <c r="I472" s="158"/>
    </row>
    <row r="473" spans="1:9" ht="13.8">
      <c r="A473" s="157" t="s">
        <v>1040</v>
      </c>
      <c r="B473" s="147"/>
      <c r="C473" s="147"/>
      <c r="D473" s="147"/>
      <c r="E473" s="147"/>
      <c r="F473" s="147"/>
      <c r="G473" s="147"/>
      <c r="H473" s="147"/>
      <c r="I473" s="158"/>
    </row>
    <row r="474" spans="1:9" ht="13.8">
      <c r="A474" s="157" t="s">
        <v>1041</v>
      </c>
      <c r="B474" s="147"/>
      <c r="C474" s="147"/>
      <c r="D474" s="147"/>
      <c r="E474" s="147"/>
      <c r="F474" s="147"/>
      <c r="G474" s="147"/>
      <c r="H474" s="147"/>
      <c r="I474" s="158"/>
    </row>
    <row r="475" spans="1:9" ht="13.8">
      <c r="A475" s="157" t="s">
        <v>948</v>
      </c>
      <c r="B475" s="147"/>
      <c r="C475" s="147"/>
      <c r="D475" s="147"/>
      <c r="E475" s="147"/>
      <c r="F475" s="147"/>
      <c r="G475" s="147"/>
      <c r="H475" s="147"/>
      <c r="I475" s="158"/>
    </row>
    <row r="476" spans="1:9" ht="13.8">
      <c r="A476" s="157" t="s">
        <v>981</v>
      </c>
      <c r="B476" s="147"/>
      <c r="C476" s="147"/>
      <c r="D476" s="147"/>
      <c r="E476" s="147"/>
      <c r="F476" s="147"/>
      <c r="G476" s="147"/>
      <c r="H476" s="147"/>
      <c r="I476" s="158"/>
    </row>
    <row r="477" spans="1:9" ht="13.8">
      <c r="A477" s="157" t="s">
        <v>1042</v>
      </c>
      <c r="B477" s="147"/>
      <c r="C477" s="147"/>
      <c r="D477" s="147"/>
      <c r="E477" s="147"/>
      <c r="F477" s="147"/>
      <c r="G477" s="147"/>
      <c r="H477" s="147"/>
      <c r="I477" s="158"/>
    </row>
    <row r="478" spans="1:9" ht="13.8">
      <c r="A478" s="157" t="s">
        <v>1043</v>
      </c>
      <c r="B478" s="147"/>
      <c r="C478" s="147"/>
      <c r="D478" s="147"/>
      <c r="E478" s="147"/>
      <c r="F478" s="147"/>
      <c r="G478" s="147"/>
      <c r="H478" s="147"/>
      <c r="I478" s="158"/>
    </row>
    <row r="479" spans="1:9" ht="13.8">
      <c r="A479" s="157" t="s">
        <v>1044</v>
      </c>
      <c r="B479" s="147"/>
      <c r="C479" s="147"/>
      <c r="D479" s="147"/>
      <c r="E479" s="147"/>
      <c r="F479" s="147"/>
      <c r="G479" s="147"/>
      <c r="H479" s="147"/>
      <c r="I479" s="158"/>
    </row>
    <row r="480" spans="1:9" ht="13.8">
      <c r="A480" s="157" t="s">
        <v>1045</v>
      </c>
      <c r="B480" s="147"/>
      <c r="C480" s="147"/>
      <c r="D480" s="147"/>
      <c r="E480" s="147"/>
      <c r="F480" s="147"/>
      <c r="G480" s="147"/>
      <c r="H480" s="147"/>
      <c r="I480" s="158"/>
    </row>
    <row r="481" spans="1:9" ht="13.8">
      <c r="A481" s="157" t="s">
        <v>1046</v>
      </c>
      <c r="B481" s="147"/>
      <c r="C481" s="147"/>
      <c r="D481" s="147"/>
      <c r="E481" s="147"/>
      <c r="F481" s="147"/>
      <c r="G481" s="147"/>
      <c r="H481" s="147"/>
      <c r="I481" s="158"/>
    </row>
    <row r="482" spans="1:9" ht="13.8">
      <c r="A482" s="157" t="s">
        <v>949</v>
      </c>
      <c r="B482" s="147"/>
      <c r="C482" s="147"/>
      <c r="D482" s="147"/>
      <c r="E482" s="147"/>
      <c r="F482" s="147"/>
      <c r="G482" s="147"/>
      <c r="H482" s="147"/>
      <c r="I482" s="158"/>
    </row>
    <row r="483" spans="1:9" ht="13.8">
      <c r="A483" s="157" t="s">
        <v>982</v>
      </c>
      <c r="B483" s="147"/>
      <c r="C483" s="147"/>
      <c r="D483" s="147"/>
      <c r="E483" s="147"/>
      <c r="F483" s="147"/>
      <c r="G483" s="147"/>
      <c r="H483" s="147"/>
      <c r="I483" s="158"/>
    </row>
    <row r="484" spans="1:9" ht="13.8">
      <c r="A484" s="157" t="s">
        <v>1047</v>
      </c>
      <c r="B484" s="147"/>
      <c r="C484" s="147"/>
      <c r="D484" s="147"/>
      <c r="E484" s="147"/>
      <c r="F484" s="147"/>
      <c r="G484" s="147"/>
      <c r="H484" s="147"/>
      <c r="I484" s="158"/>
    </row>
    <row r="485" spans="1:9" ht="13.8">
      <c r="A485" s="157" t="s">
        <v>1048</v>
      </c>
      <c r="B485" s="147"/>
      <c r="C485" s="147"/>
      <c r="D485" s="147"/>
      <c r="E485" s="147"/>
      <c r="F485" s="147"/>
      <c r="G485" s="147"/>
      <c r="H485" s="147"/>
      <c r="I485" s="158"/>
    </row>
    <row r="486" spans="1:9" ht="13.8">
      <c r="A486" s="157" t="s">
        <v>1049</v>
      </c>
      <c r="B486" s="147"/>
      <c r="C486" s="147"/>
      <c r="D486" s="147"/>
      <c r="E486" s="147"/>
      <c r="F486" s="147"/>
      <c r="G486" s="147"/>
      <c r="H486" s="147"/>
      <c r="I486" s="158"/>
    </row>
    <row r="487" spans="1:9" ht="13.8">
      <c r="A487" s="157" t="s">
        <v>950</v>
      </c>
      <c r="B487" s="147"/>
      <c r="C487" s="147"/>
      <c r="D487" s="147"/>
      <c r="E487" s="147"/>
      <c r="F487" s="147"/>
      <c r="G487" s="147"/>
      <c r="H487" s="147"/>
      <c r="I487" s="158"/>
    </row>
    <row r="488" spans="1:9" ht="13.8">
      <c r="A488" s="157" t="s">
        <v>983</v>
      </c>
      <c r="B488" s="147"/>
      <c r="C488" s="147"/>
      <c r="D488" s="147"/>
      <c r="E488" s="147"/>
      <c r="F488" s="147"/>
      <c r="G488" s="147"/>
      <c r="H488" s="147"/>
      <c r="I488" s="158"/>
    </row>
    <row r="489" spans="1:9" ht="13.8">
      <c r="A489" s="157" t="s">
        <v>951</v>
      </c>
      <c r="B489" s="147"/>
      <c r="C489" s="147"/>
      <c r="D489" s="147"/>
      <c r="E489" s="147"/>
      <c r="F489" s="147"/>
      <c r="G489" s="147"/>
      <c r="H489" s="147"/>
      <c r="I489" s="158"/>
    </row>
    <row r="490" spans="1:9" ht="13.8">
      <c r="A490" s="157" t="s">
        <v>984</v>
      </c>
      <c r="B490" s="147"/>
      <c r="C490" s="147"/>
      <c r="D490" s="147"/>
      <c r="E490" s="147"/>
      <c r="F490" s="147"/>
      <c r="G490" s="147"/>
      <c r="H490" s="147"/>
      <c r="I490" s="158"/>
    </row>
    <row r="491" spans="1:9" ht="13.8">
      <c r="A491" s="157" t="s">
        <v>952</v>
      </c>
      <c r="B491" s="147"/>
      <c r="C491" s="147"/>
      <c r="D491" s="147"/>
      <c r="E491" s="147"/>
      <c r="F491" s="147"/>
      <c r="G491" s="147"/>
      <c r="H491" s="147"/>
      <c r="I491" s="158"/>
    </row>
    <row r="492" spans="1:9" ht="13.8">
      <c r="A492" s="157" t="s">
        <v>985</v>
      </c>
      <c r="B492" s="147"/>
      <c r="C492" s="147"/>
      <c r="D492" s="147"/>
      <c r="E492" s="147"/>
      <c r="F492" s="147"/>
      <c r="G492" s="147"/>
      <c r="H492" s="147"/>
      <c r="I492" s="158"/>
    </row>
    <row r="493" spans="1:9" ht="13.8">
      <c r="A493" s="157" t="s">
        <v>1050</v>
      </c>
      <c r="B493" s="147"/>
      <c r="C493" s="147"/>
      <c r="D493" s="147"/>
      <c r="E493" s="147"/>
      <c r="F493" s="147"/>
      <c r="G493" s="147"/>
      <c r="H493" s="147"/>
      <c r="I493" s="158"/>
    </row>
    <row r="494" spans="1:9" ht="13.8">
      <c r="A494" s="157" t="s">
        <v>953</v>
      </c>
      <c r="B494" s="147"/>
      <c r="C494" s="147"/>
      <c r="D494" s="147"/>
      <c r="E494" s="147"/>
      <c r="F494" s="147"/>
      <c r="G494" s="147"/>
      <c r="H494" s="147"/>
      <c r="I494" s="158"/>
    </row>
    <row r="495" spans="1:9" ht="13.8">
      <c r="A495" s="157" t="s">
        <v>986</v>
      </c>
      <c r="B495" s="147"/>
      <c r="C495" s="147"/>
      <c r="D495" s="147"/>
      <c r="E495" s="147"/>
      <c r="F495" s="147"/>
      <c r="G495" s="147"/>
      <c r="H495" s="147"/>
      <c r="I495" s="158"/>
    </row>
    <row r="496" spans="1:9" ht="13.8">
      <c r="A496" s="157" t="s">
        <v>1114</v>
      </c>
      <c r="B496" s="147"/>
      <c r="C496" s="147"/>
      <c r="D496" s="147"/>
      <c r="E496" s="147"/>
      <c r="F496" s="147"/>
      <c r="G496" s="147"/>
      <c r="H496" s="147"/>
      <c r="I496" s="158"/>
    </row>
    <row r="497" spans="1:9" ht="13.8">
      <c r="A497" s="157" t="s">
        <v>1198</v>
      </c>
      <c r="B497" s="147"/>
      <c r="C497" s="147"/>
      <c r="D497" s="147"/>
      <c r="E497" s="147"/>
      <c r="F497" s="147"/>
      <c r="G497" s="147"/>
      <c r="H497" s="147"/>
      <c r="I497" s="158"/>
    </row>
    <row r="498" spans="1:9" ht="13.8">
      <c r="A498" s="157" t="s">
        <v>1115</v>
      </c>
      <c r="B498" s="147"/>
      <c r="C498" s="147"/>
      <c r="D498" s="147"/>
      <c r="E498" s="147"/>
      <c r="F498" s="147"/>
      <c r="G498" s="147"/>
      <c r="H498" s="147"/>
      <c r="I498" s="158"/>
    </row>
    <row r="499" spans="1:9" ht="13.8">
      <c r="A499" s="157" t="s">
        <v>1119</v>
      </c>
      <c r="B499" s="147"/>
      <c r="C499" s="147"/>
      <c r="D499" s="147"/>
      <c r="E499" s="147"/>
      <c r="F499" s="147"/>
      <c r="G499" s="147"/>
      <c r="H499" s="147"/>
      <c r="I499" s="158"/>
    </row>
    <row r="500" spans="1:9" ht="13.8">
      <c r="A500" s="157" t="s">
        <v>1116</v>
      </c>
      <c r="B500" s="147"/>
      <c r="C500" s="147"/>
      <c r="D500" s="147"/>
      <c r="E500" s="147"/>
      <c r="F500" s="147"/>
      <c r="G500" s="147"/>
      <c r="H500" s="147"/>
      <c r="I500" s="158"/>
    </row>
    <row r="501" spans="1:9" ht="13.8">
      <c r="A501" s="157" t="s">
        <v>1117</v>
      </c>
      <c r="B501" s="147"/>
      <c r="C501" s="147"/>
      <c r="D501" s="147"/>
      <c r="E501" s="147"/>
      <c r="F501" s="147"/>
      <c r="G501" s="147"/>
      <c r="H501" s="147"/>
      <c r="I501" s="158"/>
    </row>
    <row r="502" spans="1:9" ht="13.8">
      <c r="A502" s="157" t="s">
        <v>1118</v>
      </c>
      <c r="B502" s="147"/>
      <c r="C502" s="147"/>
      <c r="D502" s="147"/>
      <c r="E502" s="147"/>
      <c r="F502" s="147"/>
      <c r="G502" s="147"/>
      <c r="H502" s="147"/>
      <c r="I502" s="158"/>
    </row>
    <row r="503" spans="1:9" ht="13.8">
      <c r="A503" s="157" t="s">
        <v>1051</v>
      </c>
      <c r="B503" s="147"/>
      <c r="C503" s="147"/>
      <c r="D503" s="147"/>
      <c r="E503" s="147"/>
      <c r="F503" s="147"/>
      <c r="G503" s="147"/>
      <c r="H503" s="147"/>
      <c r="I503" s="158"/>
    </row>
    <row r="504" spans="1:9" ht="13.8">
      <c r="A504" s="157" t="s">
        <v>954</v>
      </c>
      <c r="B504" s="147"/>
      <c r="C504" s="147"/>
      <c r="D504" s="147"/>
      <c r="E504" s="147"/>
      <c r="F504" s="147"/>
      <c r="G504" s="147"/>
      <c r="H504" s="147"/>
      <c r="I504" s="158"/>
    </row>
    <row r="505" spans="1:9" ht="13.8">
      <c r="A505" s="157" t="s">
        <v>1199</v>
      </c>
      <c r="B505" s="147"/>
      <c r="C505" s="147"/>
      <c r="D505" s="147"/>
      <c r="E505" s="147"/>
      <c r="F505" s="147"/>
      <c r="G505" s="147"/>
      <c r="H505" s="147"/>
      <c r="I505" s="158"/>
    </row>
    <row r="506" spans="1:9" ht="13.8">
      <c r="A506" s="157" t="s">
        <v>995</v>
      </c>
      <c r="B506" s="147"/>
      <c r="C506" s="147"/>
      <c r="D506" s="147"/>
      <c r="E506" s="147"/>
      <c r="F506" s="147"/>
      <c r="G506" s="147"/>
      <c r="H506" s="147"/>
      <c r="I506" s="158"/>
    </row>
    <row r="507" spans="1:9" ht="13.8">
      <c r="A507" s="157" t="s">
        <v>963</v>
      </c>
      <c r="B507" s="147"/>
      <c r="C507" s="147"/>
      <c r="D507" s="147"/>
      <c r="E507" s="147"/>
      <c r="F507" s="147"/>
      <c r="G507" s="147"/>
      <c r="H507" s="147"/>
      <c r="I507" s="158"/>
    </row>
    <row r="508" spans="1:9" ht="13.8">
      <c r="A508" s="157" t="s">
        <v>996</v>
      </c>
      <c r="B508" s="147"/>
      <c r="C508" s="147"/>
      <c r="D508" s="147"/>
      <c r="E508" s="147"/>
      <c r="F508" s="147"/>
      <c r="G508" s="147"/>
      <c r="H508" s="147"/>
      <c r="I508" s="158"/>
    </row>
    <row r="509" spans="1:9" ht="13.8">
      <c r="A509" s="157" t="s">
        <v>964</v>
      </c>
      <c r="B509" s="147"/>
      <c r="C509" s="147"/>
      <c r="D509" s="147"/>
      <c r="E509" s="147"/>
      <c r="F509" s="147"/>
      <c r="G509" s="147"/>
      <c r="H509" s="147"/>
      <c r="I509" s="158"/>
    </row>
    <row r="510" spans="1:9" ht="13.8">
      <c r="A510" s="157" t="s">
        <v>997</v>
      </c>
      <c r="B510" s="147"/>
      <c r="C510" s="147"/>
      <c r="D510" s="147"/>
      <c r="E510" s="147"/>
      <c r="F510" s="147"/>
      <c r="G510" s="147"/>
      <c r="H510" s="147"/>
      <c r="I510" s="158"/>
    </row>
    <row r="511" spans="1:9" ht="13.8">
      <c r="A511" s="157" t="s">
        <v>1052</v>
      </c>
      <c r="B511" s="147"/>
      <c r="C511" s="147"/>
      <c r="D511" s="147"/>
      <c r="E511" s="147"/>
      <c r="F511" s="147"/>
      <c r="G511" s="147"/>
      <c r="H511" s="147"/>
      <c r="I511" s="158"/>
    </row>
    <row r="512" spans="1:9" ht="13.8">
      <c r="A512" s="157" t="s">
        <v>1053</v>
      </c>
      <c r="B512" s="147"/>
      <c r="C512" s="147"/>
      <c r="D512" s="147"/>
      <c r="E512" s="147"/>
      <c r="F512" s="147"/>
      <c r="G512" s="147"/>
      <c r="H512" s="147"/>
      <c r="I512" s="158"/>
    </row>
    <row r="513" spans="1:9" ht="13.8">
      <c r="A513" s="157" t="s">
        <v>1054</v>
      </c>
      <c r="B513" s="147"/>
      <c r="C513" s="147"/>
      <c r="D513" s="147"/>
      <c r="E513" s="147"/>
      <c r="F513" s="147"/>
      <c r="G513" s="147"/>
      <c r="H513" s="147"/>
      <c r="I513" s="158"/>
    </row>
    <row r="514" spans="1:9" ht="13.8">
      <c r="A514" s="157" t="s">
        <v>965</v>
      </c>
      <c r="B514" s="147"/>
      <c r="C514" s="147"/>
      <c r="D514" s="147"/>
      <c r="E514" s="147"/>
      <c r="F514" s="147"/>
      <c r="G514" s="147"/>
      <c r="H514" s="147"/>
      <c r="I514" s="158"/>
    </row>
    <row r="515" spans="1:9" ht="13.8">
      <c r="A515" s="157" t="s">
        <v>998</v>
      </c>
      <c r="B515" s="147"/>
      <c r="C515" s="147"/>
      <c r="D515" s="147"/>
      <c r="E515" s="147"/>
      <c r="F515" s="147"/>
      <c r="G515" s="147"/>
      <c r="H515" s="147"/>
      <c r="I515" s="158"/>
    </row>
    <row r="516" spans="1:9" ht="13.8">
      <c r="A516" s="157" t="s">
        <v>1200</v>
      </c>
      <c r="B516" s="147"/>
      <c r="C516" s="147"/>
      <c r="D516" s="147"/>
      <c r="E516" s="147"/>
      <c r="F516" s="147"/>
      <c r="G516" s="147"/>
      <c r="H516" s="147"/>
      <c r="I516" s="158"/>
    </row>
    <row r="517" spans="1:9" ht="13.8">
      <c r="A517" s="157" t="s">
        <v>1121</v>
      </c>
      <c r="B517" s="147"/>
      <c r="C517" s="147"/>
      <c r="D517" s="147"/>
      <c r="E517" s="147"/>
      <c r="F517" s="147"/>
      <c r="G517" s="147"/>
      <c r="H517" s="147"/>
      <c r="I517" s="158"/>
    </row>
    <row r="518" spans="1:9" ht="13.8">
      <c r="A518" s="157" t="s">
        <v>1124</v>
      </c>
      <c r="B518" s="147"/>
      <c r="C518" s="147"/>
      <c r="D518" s="147"/>
      <c r="E518" s="147"/>
      <c r="F518" s="147"/>
      <c r="G518" s="147"/>
      <c r="H518" s="147"/>
      <c r="I518" s="158"/>
    </row>
    <row r="519" spans="1:9" ht="13.8">
      <c r="A519" s="157" t="s">
        <v>1123</v>
      </c>
      <c r="B519" s="147"/>
      <c r="C519" s="147"/>
      <c r="D519" s="147"/>
      <c r="E519" s="147"/>
      <c r="F519" s="147"/>
      <c r="G519" s="147"/>
      <c r="H519" s="147"/>
      <c r="I519" s="158"/>
    </row>
    <row r="520" spans="1:9" ht="13.8">
      <c r="A520" s="157" t="s">
        <v>1120</v>
      </c>
      <c r="B520" s="147"/>
      <c r="C520" s="147"/>
      <c r="D520" s="147"/>
      <c r="E520" s="147"/>
      <c r="F520" s="147"/>
      <c r="G520" s="147"/>
      <c r="H520" s="147"/>
      <c r="I520" s="158"/>
    </row>
    <row r="521" spans="1:9" ht="13.8">
      <c r="A521" s="157" t="s">
        <v>1122</v>
      </c>
      <c r="B521" s="147"/>
      <c r="C521" s="147"/>
      <c r="D521" s="147"/>
      <c r="E521" s="147"/>
      <c r="F521" s="147"/>
      <c r="G521" s="147"/>
      <c r="H521" s="147"/>
      <c r="I521" s="158"/>
    </row>
    <row r="522" spans="1:9" ht="13.8">
      <c r="A522" s="157" t="s">
        <v>1125</v>
      </c>
      <c r="B522" s="147"/>
      <c r="C522" s="147"/>
      <c r="D522" s="147"/>
      <c r="E522" s="147"/>
      <c r="F522" s="147"/>
      <c r="G522" s="147"/>
      <c r="H522" s="147"/>
      <c r="I522" s="158"/>
    </row>
    <row r="523" spans="1:9" ht="13.8">
      <c r="A523" s="157" t="s">
        <v>966</v>
      </c>
      <c r="B523" s="147"/>
      <c r="C523" s="147"/>
      <c r="D523" s="147"/>
      <c r="E523" s="147"/>
      <c r="F523" s="147"/>
      <c r="G523" s="147"/>
      <c r="H523" s="147"/>
      <c r="I523" s="158"/>
    </row>
    <row r="524" spans="1:9" ht="13.8">
      <c r="A524" s="157" t="s">
        <v>1201</v>
      </c>
      <c r="B524" s="147"/>
      <c r="C524" s="147"/>
      <c r="D524" s="147"/>
      <c r="E524" s="147"/>
      <c r="F524" s="147"/>
      <c r="G524" s="147"/>
      <c r="H524" s="147"/>
      <c r="I524" s="158"/>
    </row>
    <row r="525" spans="1:9" ht="13.8">
      <c r="A525" s="157" t="s">
        <v>1003</v>
      </c>
      <c r="B525" s="147"/>
      <c r="C525" s="147"/>
      <c r="D525" s="147"/>
      <c r="E525" s="147"/>
      <c r="F525" s="147"/>
      <c r="G525" s="147"/>
      <c r="H525" s="147"/>
      <c r="I525" s="158"/>
    </row>
    <row r="526" spans="1:9" ht="13.8">
      <c r="A526" s="157" t="s">
        <v>971</v>
      </c>
      <c r="B526" s="147"/>
      <c r="C526" s="147"/>
      <c r="D526" s="147"/>
      <c r="E526" s="147"/>
      <c r="F526" s="147"/>
      <c r="G526" s="147"/>
      <c r="H526" s="147"/>
      <c r="I526" s="158"/>
    </row>
    <row r="527" spans="1:9" ht="13.8">
      <c r="A527" s="157" t="s">
        <v>1004</v>
      </c>
      <c r="B527" s="147"/>
      <c r="C527" s="147"/>
      <c r="D527" s="147"/>
      <c r="E527" s="147"/>
      <c r="F527" s="147"/>
      <c r="G527" s="147"/>
      <c r="H527" s="147"/>
      <c r="I527" s="158"/>
    </row>
    <row r="528" spans="1:9" ht="13.8">
      <c r="A528" s="157" t="s">
        <v>972</v>
      </c>
      <c r="B528" s="147"/>
      <c r="C528" s="147"/>
      <c r="D528" s="147"/>
      <c r="E528" s="147"/>
      <c r="F528" s="147"/>
      <c r="G528" s="147"/>
      <c r="H528" s="147"/>
      <c r="I528" s="158"/>
    </row>
    <row r="529" spans="1:9" ht="13.8">
      <c r="A529" s="157" t="s">
        <v>1005</v>
      </c>
      <c r="B529" s="147"/>
      <c r="C529" s="147"/>
      <c r="D529" s="147"/>
      <c r="E529" s="147"/>
      <c r="F529" s="147"/>
      <c r="G529" s="147"/>
      <c r="H529" s="147"/>
      <c r="I529" s="158"/>
    </row>
    <row r="530" spans="1:9" ht="13.8">
      <c r="A530" s="157" t="s">
        <v>973</v>
      </c>
      <c r="B530" s="147"/>
      <c r="C530" s="147"/>
      <c r="D530" s="147"/>
      <c r="E530" s="147"/>
      <c r="F530" s="147"/>
      <c r="G530" s="147"/>
      <c r="H530" s="147"/>
      <c r="I530" s="158"/>
    </row>
    <row r="531" spans="1:9" ht="13.8">
      <c r="A531" s="157" t="s">
        <v>1006</v>
      </c>
      <c r="B531" s="147"/>
      <c r="C531" s="147"/>
      <c r="D531" s="147"/>
      <c r="E531" s="147"/>
      <c r="F531" s="147"/>
      <c r="G531" s="147"/>
      <c r="H531" s="147"/>
      <c r="I531" s="158"/>
    </row>
    <row r="532" spans="1:9" ht="13.8">
      <c r="A532" s="157" t="s">
        <v>974</v>
      </c>
      <c r="B532" s="147"/>
      <c r="C532" s="147"/>
      <c r="D532" s="147"/>
      <c r="E532" s="147"/>
      <c r="F532" s="147"/>
      <c r="G532" s="147"/>
      <c r="H532" s="147"/>
      <c r="I532" s="158"/>
    </row>
    <row r="533" spans="1:9" ht="13.8">
      <c r="A533" s="157" t="s">
        <v>1007</v>
      </c>
      <c r="B533" s="147"/>
      <c r="C533" s="147"/>
      <c r="D533" s="147"/>
      <c r="E533" s="147"/>
      <c r="F533" s="147"/>
      <c r="G533" s="147"/>
      <c r="H533" s="147"/>
      <c r="I533" s="158"/>
    </row>
    <row r="534" spans="1:9" ht="13.8">
      <c r="A534" s="157" t="s">
        <v>1127</v>
      </c>
      <c r="B534" s="147"/>
      <c r="C534" s="147"/>
      <c r="D534" s="147"/>
      <c r="E534" s="147"/>
      <c r="F534" s="147"/>
      <c r="G534" s="147"/>
      <c r="H534" s="147"/>
      <c r="I534" s="158"/>
    </row>
    <row r="535" spans="1:9" ht="13.8">
      <c r="A535" s="157" t="s">
        <v>1202</v>
      </c>
      <c r="B535" s="147"/>
      <c r="C535" s="147"/>
      <c r="D535" s="147"/>
      <c r="E535" s="147"/>
      <c r="F535" s="147"/>
      <c r="G535" s="147"/>
      <c r="H535" s="147"/>
      <c r="I535" s="158"/>
    </row>
    <row r="536" spans="1:9" ht="13.8">
      <c r="A536" s="157" t="s">
        <v>1128</v>
      </c>
      <c r="B536" s="147"/>
      <c r="C536" s="147"/>
      <c r="D536" s="147"/>
      <c r="E536" s="147"/>
      <c r="F536" s="147"/>
      <c r="G536" s="147"/>
      <c r="H536" s="147"/>
      <c r="I536" s="158"/>
    </row>
    <row r="537" spans="1:9" ht="13.8">
      <c r="A537" s="157" t="s">
        <v>1132</v>
      </c>
      <c r="B537" s="147"/>
      <c r="C537" s="147"/>
      <c r="D537" s="147"/>
      <c r="E537" s="147"/>
      <c r="F537" s="147"/>
      <c r="G537" s="147"/>
      <c r="H537" s="147"/>
      <c r="I537" s="158"/>
    </row>
    <row r="538" spans="1:9" ht="13.8">
      <c r="A538" s="157" t="s">
        <v>1203</v>
      </c>
      <c r="B538" s="147"/>
      <c r="C538" s="147"/>
      <c r="D538" s="147"/>
      <c r="E538" s="147"/>
      <c r="F538" s="147"/>
      <c r="G538" s="147"/>
      <c r="H538" s="147"/>
      <c r="I538" s="158"/>
    </row>
    <row r="539" spans="1:9" ht="13.8">
      <c r="A539" s="157" t="s">
        <v>1126</v>
      </c>
      <c r="B539" s="147"/>
      <c r="C539" s="147"/>
      <c r="D539" s="147"/>
      <c r="E539" s="147"/>
      <c r="F539" s="147"/>
      <c r="G539" s="147"/>
      <c r="H539" s="147"/>
      <c r="I539" s="158"/>
    </row>
    <row r="540" spans="1:9" ht="13.8">
      <c r="A540" s="157" t="s">
        <v>1129</v>
      </c>
      <c r="B540" s="147"/>
      <c r="C540" s="147"/>
      <c r="D540" s="147"/>
      <c r="E540" s="147"/>
      <c r="F540" s="147"/>
      <c r="G540" s="147"/>
      <c r="H540" s="147"/>
      <c r="I540" s="158"/>
    </row>
    <row r="541" spans="1:9" ht="13.8">
      <c r="A541" s="157" t="s">
        <v>1130</v>
      </c>
      <c r="B541" s="147"/>
      <c r="C541" s="147"/>
      <c r="D541" s="147"/>
      <c r="E541" s="147"/>
      <c r="F541" s="147"/>
      <c r="G541" s="147"/>
      <c r="H541" s="147"/>
      <c r="I541" s="158"/>
    </row>
    <row r="542" spans="1:9" ht="13.8">
      <c r="A542" s="157" t="s">
        <v>1131</v>
      </c>
      <c r="B542" s="147"/>
      <c r="C542" s="147"/>
      <c r="D542" s="147"/>
      <c r="E542" s="147"/>
      <c r="F542" s="147"/>
      <c r="G542" s="147"/>
      <c r="H542" s="147"/>
      <c r="I542" s="158"/>
    </row>
    <row r="543" spans="1:9" ht="13.8">
      <c r="A543" s="157" t="s">
        <v>975</v>
      </c>
      <c r="B543" s="147"/>
      <c r="C543" s="147"/>
      <c r="D543" s="147"/>
      <c r="E543" s="147"/>
      <c r="F543" s="147"/>
      <c r="G543" s="147"/>
      <c r="H543" s="147"/>
      <c r="I543" s="158"/>
    </row>
    <row r="544" spans="1:9" ht="13.8">
      <c r="A544" s="157" t="s">
        <v>1145</v>
      </c>
      <c r="B544" s="147"/>
      <c r="C544" s="147"/>
      <c r="D544" s="147"/>
      <c r="E544" s="147"/>
      <c r="F544" s="147"/>
      <c r="G544" s="147"/>
      <c r="H544" s="147"/>
      <c r="I544" s="158"/>
    </row>
    <row r="545" spans="1:9" ht="13.8">
      <c r="A545" s="157" t="s">
        <v>1146</v>
      </c>
      <c r="B545" s="147"/>
      <c r="C545" s="147"/>
      <c r="D545" s="147"/>
      <c r="E545" s="147"/>
      <c r="F545" s="147"/>
      <c r="G545" s="147"/>
      <c r="H545" s="147"/>
      <c r="I545" s="158"/>
    </row>
    <row r="546" spans="1:9" ht="13.8">
      <c r="A546" s="157" t="s">
        <v>1147</v>
      </c>
      <c r="B546" s="147"/>
      <c r="C546" s="147"/>
      <c r="D546" s="147"/>
      <c r="E546" s="147"/>
      <c r="F546" s="147"/>
      <c r="G546" s="147"/>
      <c r="H546" s="147"/>
      <c r="I546" s="158"/>
    </row>
    <row r="547" spans="1:9" ht="13.8">
      <c r="A547" s="157" t="s">
        <v>1148</v>
      </c>
      <c r="B547" s="147"/>
      <c r="C547" s="147"/>
      <c r="D547" s="147"/>
      <c r="E547" s="147"/>
      <c r="F547" s="147"/>
      <c r="G547" s="147"/>
      <c r="H547" s="147"/>
      <c r="I547" s="158"/>
    </row>
    <row r="548" spans="1:9" ht="13.8">
      <c r="A548" s="157" t="s">
        <v>1149</v>
      </c>
      <c r="B548" s="147"/>
      <c r="C548" s="147"/>
      <c r="D548" s="147"/>
      <c r="E548" s="147"/>
      <c r="F548" s="147"/>
      <c r="G548" s="147"/>
      <c r="H548" s="147"/>
      <c r="I548" s="158"/>
    </row>
    <row r="549" spans="1:9" ht="13.8">
      <c r="A549" s="157" t="s">
        <v>1150</v>
      </c>
      <c r="B549" s="147"/>
      <c r="C549" s="147"/>
      <c r="D549" s="147"/>
      <c r="E549" s="147"/>
      <c r="F549" s="147"/>
      <c r="G549" s="147"/>
      <c r="H549" s="147"/>
      <c r="I549" s="158"/>
    </row>
    <row r="550" spans="1:9" ht="13.8">
      <c r="A550" s="157" t="s">
        <v>1151</v>
      </c>
      <c r="B550" s="147"/>
      <c r="C550" s="147"/>
      <c r="D550" s="147"/>
      <c r="E550" s="147"/>
      <c r="F550" s="147"/>
      <c r="G550" s="147"/>
      <c r="H550" s="147"/>
      <c r="I550" s="158"/>
    </row>
    <row r="551" spans="1:9" ht="13.8">
      <c r="A551" s="157" t="s">
        <v>1152</v>
      </c>
      <c r="B551" s="147"/>
      <c r="C551" s="147"/>
      <c r="D551" s="147"/>
      <c r="E551" s="147"/>
      <c r="F551" s="147"/>
      <c r="G551" s="147"/>
      <c r="H551" s="147"/>
      <c r="I551" s="158"/>
    </row>
    <row r="552" spans="1:9" ht="13.8">
      <c r="A552" s="157" t="s">
        <v>1153</v>
      </c>
      <c r="B552" s="147"/>
      <c r="C552" s="147"/>
      <c r="D552" s="147"/>
      <c r="E552" s="147"/>
      <c r="F552" s="147"/>
      <c r="G552" s="147"/>
      <c r="H552" s="147"/>
      <c r="I552" s="158"/>
    </row>
    <row r="553" spans="1:9" ht="13.8">
      <c r="A553" s="157" t="s">
        <v>1154</v>
      </c>
      <c r="B553" s="147"/>
      <c r="C553" s="147"/>
      <c r="D553" s="147"/>
      <c r="E553" s="147"/>
      <c r="F553" s="147"/>
      <c r="G553" s="147"/>
      <c r="H553" s="147"/>
      <c r="I553" s="158"/>
    </row>
    <row r="554" spans="1:9" ht="13.8">
      <c r="A554" s="157" t="s">
        <v>1155</v>
      </c>
      <c r="B554" s="147"/>
      <c r="C554" s="147"/>
      <c r="D554" s="147"/>
      <c r="E554" s="147"/>
      <c r="F554" s="147"/>
      <c r="G554" s="147"/>
      <c r="H554" s="147"/>
      <c r="I554" s="158"/>
    </row>
    <row r="555" spans="1:9" ht="13.8">
      <c r="A555" s="157" t="s">
        <v>1156</v>
      </c>
      <c r="B555" s="147"/>
      <c r="C555" s="147"/>
      <c r="D555" s="147"/>
      <c r="E555" s="147"/>
      <c r="F555" s="147"/>
      <c r="G555" s="147"/>
      <c r="H555" s="147"/>
      <c r="I555" s="158"/>
    </row>
    <row r="556" spans="1:9" ht="13.8">
      <c r="A556" s="157" t="s">
        <v>1157</v>
      </c>
      <c r="B556" s="147"/>
      <c r="C556" s="147"/>
      <c r="D556" s="147"/>
      <c r="E556" s="147"/>
      <c r="F556" s="147"/>
      <c r="G556" s="147"/>
      <c r="H556" s="147"/>
      <c r="I556" s="158"/>
    </row>
    <row r="557" spans="1:9" ht="13.8">
      <c r="A557" s="157" t="s">
        <v>1158</v>
      </c>
      <c r="B557" s="147"/>
      <c r="C557" s="147"/>
      <c r="D557" s="147"/>
      <c r="E557" s="147"/>
      <c r="F557" s="147"/>
      <c r="G557" s="147"/>
      <c r="H557" s="147"/>
      <c r="I557" s="158"/>
    </row>
    <row r="558" spans="1:9" ht="13.8">
      <c r="A558" s="157" t="s">
        <v>1159</v>
      </c>
      <c r="B558" s="147"/>
      <c r="C558" s="147"/>
      <c r="D558" s="147"/>
      <c r="E558" s="147"/>
      <c r="F558" s="147"/>
      <c r="G558" s="147"/>
      <c r="H558" s="147"/>
      <c r="I558" s="158"/>
    </row>
    <row r="559" spans="1:9" ht="14.4" thickBot="1">
      <c r="A559" s="681" t="s">
        <v>1160</v>
      </c>
      <c r="B559" s="166"/>
      <c r="C559" s="166"/>
      <c r="D559" s="166"/>
      <c r="E559" s="166"/>
      <c r="F559" s="166"/>
      <c r="G559" s="166"/>
      <c r="H559" s="166"/>
      <c r="I559" s="167"/>
    </row>
  </sheetData>
  <mergeCells count="1">
    <mergeCell ref="C3:F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oToMain">
              <controlPr defaultSize="0" print="0" autoFill="0" autoPict="0" macro="[0]!GoToMain">
                <anchor>
                  <from>
                    <xdr:col>0</xdr:col>
                    <xdr:colOff>0</xdr:colOff>
                    <xdr:row>0</xdr:row>
                    <xdr:rowOff>0</xdr:rowOff>
                  </from>
                  <to>
                    <xdr:col>0</xdr:col>
                    <xdr:colOff>365760</xdr:colOff>
                    <xdr:row>1</xdr:row>
                    <xdr:rowOff>68580</xdr:rowOff>
                  </to>
                </anchor>
              </controlPr>
            </control>
          </mc:Choice>
        </mc:AlternateContent>
        <mc:AlternateContent xmlns:mc="http://schemas.openxmlformats.org/markup-compatibility/2006">
          <mc:Choice Requires="x14">
            <control shapeId="3074" r:id="rId4" name="GoToLast">
              <controlPr defaultSize="0" print="0" autoFill="0" autoPict="0" macro="[0]!GoToLastSelection">
                <anchor moveWithCells="1" sizeWithCells="1">
                  <from>
                    <xdr:col>0</xdr:col>
                    <xdr:colOff>373380</xdr:colOff>
                    <xdr:row>0</xdr:row>
                    <xdr:rowOff>0</xdr:rowOff>
                  </from>
                  <to>
                    <xdr:col>0</xdr:col>
                    <xdr:colOff>731520</xdr:colOff>
                    <xdr:row>1</xdr:row>
                    <xdr:rowOff>68580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omplements2"/>
  <dimension ref="A1:A16"/>
  <sheetViews>
    <sheetView workbookViewId="0">
      <selection sqref="A1:A8"/>
    </sheetView>
  </sheetViews>
  <sheetFormatPr baseColWidth="10" defaultRowHeight="13.2"/>
  <sheetData>
    <row r="1" spans="1:1" ht="13.8">
      <c r="A1" s="230"/>
    </row>
    <row r="2" spans="1:1" ht="13.8">
      <c r="A2" s="230"/>
    </row>
    <row r="3" spans="1:1" ht="13.8">
      <c r="A3" s="230"/>
    </row>
    <row r="4" spans="1:1" ht="13.8">
      <c r="A4" s="230"/>
    </row>
    <row r="5" spans="1:1" ht="13.8">
      <c r="A5" s="230"/>
    </row>
    <row r="6" spans="1:1" ht="13.8">
      <c r="A6" s="230"/>
    </row>
    <row r="7" spans="1:1" ht="13.8">
      <c r="A7" s="230"/>
    </row>
    <row r="8" spans="1:1" ht="13.8">
      <c r="A8" s="230"/>
    </row>
    <row r="9" spans="1:1" ht="13.8">
      <c r="A9" s="230"/>
    </row>
    <row r="10" spans="1:1" ht="13.8">
      <c r="A10" s="230"/>
    </row>
    <row r="11" spans="1:1" ht="13.8">
      <c r="A11" s="230"/>
    </row>
    <row r="12" spans="1:1" ht="13.8">
      <c r="A12" s="230"/>
    </row>
    <row r="13" spans="1:1" ht="13.8">
      <c r="A13" s="230"/>
    </row>
    <row r="14" spans="1:1" ht="13.8">
      <c r="A14" s="230"/>
    </row>
    <row r="15" spans="1:1" ht="13.8">
      <c r="A15" s="230"/>
    </row>
    <row r="16" spans="1:1" ht="13.8">
      <c r="A16" s="23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A37A29-5ACD-4EE1-AD4E-9287346880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35</vt:i4>
      </vt:variant>
      <vt:variant>
        <vt:lpstr>Plages nommées</vt:lpstr>
      </vt:variant>
      <vt:variant>
        <vt:i4>2037</vt:i4>
      </vt:variant>
    </vt:vector>
  </HeadingPairs>
  <TitlesOfParts>
    <vt:vector size="2072" baseType="lpstr">
      <vt:lpstr>PagePrincipale</vt:lpstr>
      <vt:lpstr>A (2)</vt:lpstr>
      <vt:lpstr>BalanceN</vt:lpstr>
      <vt:lpstr>BalanceN-1</vt:lpstr>
      <vt:lpstr>Balance N-1 corrigée</vt:lpstr>
      <vt:lpstr>A (3)</vt:lpstr>
      <vt:lpstr>T00</vt:lpstr>
      <vt:lpstr>T01</vt:lpstr>
      <vt:lpstr>T02</vt:lpstr>
      <vt:lpstr>T03</vt:lpstr>
      <vt:lpstr>T04</vt:lpstr>
      <vt:lpstr>T05</vt:lpstr>
      <vt:lpstr>T06</vt:lpstr>
      <vt:lpstr>T07</vt:lpstr>
      <vt:lpstr>T08</vt:lpstr>
      <vt:lpstr>T09</vt:lpstr>
      <vt:lpstr>T10</vt:lpstr>
      <vt:lpstr>T11</vt:lpstr>
      <vt:lpstr>T12</vt:lpstr>
      <vt:lpstr>T13</vt:lpstr>
      <vt:lpstr>T14</vt:lpstr>
      <vt:lpstr>T15</vt:lpstr>
      <vt:lpstr>T16</vt:lpstr>
      <vt:lpstr>T17</vt:lpstr>
      <vt:lpstr>T18</vt:lpstr>
      <vt:lpstr>T19</vt:lpstr>
      <vt:lpstr>T20</vt:lpstr>
      <vt:lpstr>T21</vt:lpstr>
      <vt:lpstr>T22</vt:lpstr>
      <vt:lpstr>T23</vt:lpstr>
      <vt:lpstr>T24</vt:lpstr>
      <vt:lpstr>T25</vt:lpstr>
      <vt:lpstr>T26</vt:lpstr>
      <vt:lpstr>Verifications</vt:lpstr>
      <vt:lpstr>Erreurs_XML</vt:lpstr>
      <vt:lpstr>CADRE_NEANT_T01_1_OPTION</vt:lpstr>
      <vt:lpstr>CADRE_NEANT_T01_2_OPTION</vt:lpstr>
      <vt:lpstr>CADRE_NEANT_T02_OPTION</vt:lpstr>
      <vt:lpstr>CADRE_NEANT_T03_OPTION</vt:lpstr>
      <vt:lpstr>CADRE_NEANT_T04_OPTION</vt:lpstr>
      <vt:lpstr>CADRE_NEANT_T05_OPTION</vt:lpstr>
      <vt:lpstr>CADRE_NEANT_T06_OPTION</vt:lpstr>
      <vt:lpstr>CADRE_NEANT_T07_OPTION</vt:lpstr>
      <vt:lpstr>CADRE_NEANT_T08_OPTION</vt:lpstr>
      <vt:lpstr>CADRE_NEANT_T09_OPTION</vt:lpstr>
      <vt:lpstr>CADRE_NEANT_T10_OPTION</vt:lpstr>
      <vt:lpstr>CADRE_NEANT_T11_OPTION</vt:lpstr>
      <vt:lpstr>CADRE_NEANT_T12_OPTION</vt:lpstr>
      <vt:lpstr>CADRE_NEANT_T13_OPTION</vt:lpstr>
      <vt:lpstr>CADRE_NEANT_T14_OPTION</vt:lpstr>
      <vt:lpstr>CADRE_NEANT_T16_OPTION</vt:lpstr>
      <vt:lpstr>CADRE_NEANT_T17_OPTION</vt:lpstr>
      <vt:lpstr>CADRE_NEANT_T18_1_OPTION</vt:lpstr>
      <vt:lpstr>CADRE_NEANT_T18_2_OPTION</vt:lpstr>
      <vt:lpstr>CADRE_NEANT_T19_OPTION</vt:lpstr>
      <vt:lpstr>CADRE_NEANT_T20_OPTION</vt:lpstr>
      <vt:lpstr>CADRE_NEANT_T21_OPTION</vt:lpstr>
      <vt:lpstr>CADRE_NEANT_T22_OPTION</vt:lpstr>
      <vt:lpstr>CADRE_NEANT_T23_OPTION</vt:lpstr>
      <vt:lpstr>CADRE_NEANT_T24_OPTION</vt:lpstr>
      <vt:lpstr>CADRE_NEANT_T25_OPTION</vt:lpstr>
      <vt:lpstr>CADRE_NEANT_T26_OPTION</vt:lpstr>
      <vt:lpstr>LAST_CELL_ACTIVE</vt:lpstr>
      <vt:lpstr>LAST_CELL_ACTIVE_COLOR</vt:lpstr>
      <vt:lpstr>LAST_CELL_SELECTED</vt:lpstr>
      <vt:lpstr>LAST_SHEET_SELECTED</vt:lpstr>
      <vt:lpstr>NBL_Ent.12_Cod.10061</vt:lpstr>
      <vt:lpstr>NBL_Ent.12_Cod.1078</vt:lpstr>
      <vt:lpstr>NBL_Ent.12_Cod.1079</vt:lpstr>
      <vt:lpstr>NBL_Ent.12_Cod.1080</vt:lpstr>
      <vt:lpstr>NBL_Ent.12_Cod.1081</vt:lpstr>
      <vt:lpstr>NBL_Ent.12_Cod.1082</vt:lpstr>
      <vt:lpstr>NBL_Ent.12_Cod.1083</vt:lpstr>
      <vt:lpstr>NBL_Ent.12_Cod.1084</vt:lpstr>
      <vt:lpstr>NBL_Ent.12_Cod.1085</vt:lpstr>
      <vt:lpstr>NBL_Ent.12_Cod.1086</vt:lpstr>
      <vt:lpstr>NBL_Ent.201_Cod.14088</vt:lpstr>
      <vt:lpstr>NBL_Ent.201_Cod.14089</vt:lpstr>
      <vt:lpstr>NBL_Ent.201_Cod.14090</vt:lpstr>
      <vt:lpstr>NBL_Ent.201_Cod.14091</vt:lpstr>
      <vt:lpstr>NBL_Ent.201_Cod.14092</vt:lpstr>
      <vt:lpstr>NBL_Ent.201_Cod.14093</vt:lpstr>
      <vt:lpstr>NBL_Ent.23_Cod.1098</vt:lpstr>
      <vt:lpstr>NBL_Ent.23_Cod.1099</vt:lpstr>
      <vt:lpstr>NBL_Ent.23_Cod.1100</vt:lpstr>
      <vt:lpstr>NBL_Ent.23_Cod.1101</vt:lpstr>
      <vt:lpstr>NBL_Ent.23_Cod.1102</vt:lpstr>
      <vt:lpstr>NBL_Ent.23_Cod.1103</vt:lpstr>
      <vt:lpstr>NBL_Ent.23_Cod.1104</vt:lpstr>
      <vt:lpstr>NBL_Ent.23_Cod.1105</vt:lpstr>
      <vt:lpstr>NBL_Ent.23_Cod.1106</vt:lpstr>
      <vt:lpstr>NBL_Ent.23_Cod.1107</vt:lpstr>
      <vt:lpstr>NBL_Ent.23_Cod.1108</vt:lpstr>
      <vt:lpstr>NBL_Ent.240_Cod.14353</vt:lpstr>
      <vt:lpstr>NBL_Ent.240_Cod.14355</vt:lpstr>
      <vt:lpstr>NBL_Ent.240_Cod.14356</vt:lpstr>
      <vt:lpstr>NBL_Ent.240_Cod.14990</vt:lpstr>
      <vt:lpstr>NBL_Ent.27_Cod.1208</vt:lpstr>
      <vt:lpstr>NBL_Ent.27_Cod.1209</vt:lpstr>
      <vt:lpstr>NBL_Ent.27_Cod.1210</vt:lpstr>
      <vt:lpstr>NBL_Ent.27_Cod.1211</vt:lpstr>
      <vt:lpstr>NBL_Ent.27_Cod.1212</vt:lpstr>
      <vt:lpstr>NBL_Ent.27_Cod.1213</vt:lpstr>
      <vt:lpstr>NBL_Ent.27_Cod.1214</vt:lpstr>
      <vt:lpstr>NBL_Ent.27_Cod.1215</vt:lpstr>
      <vt:lpstr>NBL_Ent.27_Cod.1216</vt:lpstr>
      <vt:lpstr>NBL_Ent.27_Cod.1217</vt:lpstr>
      <vt:lpstr>NBL_Ent.27_Cod.1218</vt:lpstr>
      <vt:lpstr>NBL_Ent.27_Cod.1219</vt:lpstr>
      <vt:lpstr>NBL_Ent.27_Cod.1220</vt:lpstr>
      <vt:lpstr>NBL_Ent.27_Cod.1221</vt:lpstr>
      <vt:lpstr>NBL_Ent.27_Cod.1222</vt:lpstr>
      <vt:lpstr>NBL_Ent.27_Cod.1223</vt:lpstr>
      <vt:lpstr>NBL_Ent.27_Cod.1224</vt:lpstr>
      <vt:lpstr>NBL_Ent.27_Cod.1225</vt:lpstr>
      <vt:lpstr>NBL_Ent.27_Cod.1226</vt:lpstr>
      <vt:lpstr>NBL_Ent.27_Cod.1227</vt:lpstr>
      <vt:lpstr>NBL_Ent.27_Cod.1228</vt:lpstr>
      <vt:lpstr>NBL_Ent.27_Cod.1229</vt:lpstr>
      <vt:lpstr>NBL_Ent.27_Cod.1250</vt:lpstr>
      <vt:lpstr>NBL_Ent.27_Cod.1251</vt:lpstr>
      <vt:lpstr>NBL_Ent.27_Cod.1252</vt:lpstr>
      <vt:lpstr>NBL_Ent.27_Cod.1253</vt:lpstr>
      <vt:lpstr>NBL_Ent.27_Cod.14968</vt:lpstr>
      <vt:lpstr>NBL_Ent.27_Cod.14969</vt:lpstr>
      <vt:lpstr>NBL_Ent.27_Cod.14970</vt:lpstr>
      <vt:lpstr>NBL_Ent.27_Cod.14971</vt:lpstr>
      <vt:lpstr>NBL_Ent.28_Cod.1267</vt:lpstr>
      <vt:lpstr>NBL_Ent.28_Cod.1268</vt:lpstr>
      <vt:lpstr>NBL_Ent.28_Cod.1269</vt:lpstr>
      <vt:lpstr>NBL_Ent.28_Cod.1270</vt:lpstr>
      <vt:lpstr>NBL_Ent.28_Cod.1271</vt:lpstr>
      <vt:lpstr>NBL_Ent.28_Cod.1272</vt:lpstr>
      <vt:lpstr>NBL_Ent.28_Cod.1273</vt:lpstr>
      <vt:lpstr>NBL_Ent.28_Cod.1274</vt:lpstr>
      <vt:lpstr>NBL_Ent.28_Cod.14040</vt:lpstr>
      <vt:lpstr>NBL_Ent.28_Cod.14041</vt:lpstr>
      <vt:lpstr>NBL_Ent.28_Cod.14964</vt:lpstr>
      <vt:lpstr>NBL_Ent.28_Cod.14965</vt:lpstr>
      <vt:lpstr>NBL_Ent.28_Cod.17919</vt:lpstr>
      <vt:lpstr>NBL_Ent.38_Cod.1929</vt:lpstr>
      <vt:lpstr>NBL_Ent.38_Cod.1930</vt:lpstr>
      <vt:lpstr>NBL_Ent.38_Cod.1931</vt:lpstr>
      <vt:lpstr>NBL_Ent.38_Cod.1932</vt:lpstr>
      <vt:lpstr>NBL_Ent.38_Cod.1933</vt:lpstr>
      <vt:lpstr>NBL_Ent.38_Cod.1934</vt:lpstr>
      <vt:lpstr>NBL_Ent.38_Cod.1935</vt:lpstr>
      <vt:lpstr>NBL_Ent.38_Cod.1936</vt:lpstr>
      <vt:lpstr>NBL_Ent.39_Cod.14065</vt:lpstr>
      <vt:lpstr>NBL_Ent.39_Cod.2044</vt:lpstr>
      <vt:lpstr>NBL_Ent.39_Cod.2045</vt:lpstr>
      <vt:lpstr>NBL_Ent.39_Cod.2046</vt:lpstr>
      <vt:lpstr>NBL_Ent.39_Cod.2047</vt:lpstr>
      <vt:lpstr>NBL_Ent.39_Cod.2048</vt:lpstr>
      <vt:lpstr>NBL_Ent.39_Cod.2049</vt:lpstr>
      <vt:lpstr>NBL_Ent.39_Cod.2050</vt:lpstr>
      <vt:lpstr>NBL_Ent.39_Cod.2051</vt:lpstr>
      <vt:lpstr>NBL_Ent.39_Cod.2052</vt:lpstr>
      <vt:lpstr>NBL_Ent.39_Cod.2053</vt:lpstr>
      <vt:lpstr>NBL_Ent.41_Cod.13536</vt:lpstr>
      <vt:lpstr>NBL_Ent.41_Cod.13537</vt:lpstr>
      <vt:lpstr>NBL_Ent.41_Cod.14560</vt:lpstr>
      <vt:lpstr>NBL_Ent.41_Cod.17887</vt:lpstr>
      <vt:lpstr>NBL_Ent.41_Cod.2094</vt:lpstr>
      <vt:lpstr>NBL_Ent.41_Cod.2095</vt:lpstr>
      <vt:lpstr>NBL_Ent.41_Cod.2096</vt:lpstr>
      <vt:lpstr>NBL_Ent.41_Cod.2097</vt:lpstr>
      <vt:lpstr>NBL_Ent.41_Cod.2098</vt:lpstr>
      <vt:lpstr>NBL_Ent.41_Cod.2099</vt:lpstr>
      <vt:lpstr>NBL_Ent.41_Cod.2100</vt:lpstr>
      <vt:lpstr>NBL_Ent.41_Cod.2101</vt:lpstr>
      <vt:lpstr>NBL_Ent.7_Cod.7830</vt:lpstr>
      <vt:lpstr>NBL_Ent.7_Cod.821</vt:lpstr>
      <vt:lpstr>NBL_Ent.7_Cod.822</vt:lpstr>
      <vt:lpstr>NBL_Ent.7_Cod.823</vt:lpstr>
      <vt:lpstr>NBL_Ent.7_Cod.824</vt:lpstr>
      <vt:lpstr>NBL_Ent.7_Cod.825</vt:lpstr>
      <vt:lpstr>NBL_Ent.7_Cod.826</vt:lpstr>
      <vt:lpstr>NBL_Ent.7_Cod.827</vt:lpstr>
      <vt:lpstr>NBL_Ent.7_Cod.828</vt:lpstr>
      <vt:lpstr>NBL_Ent.7_Cod.829</vt:lpstr>
      <vt:lpstr>NBL_Ent.7_Cod.830</vt:lpstr>
      <vt:lpstr>NBL_Ent.7_Cod.831</vt:lpstr>
      <vt:lpstr>Nbre_Erreurs_Verifications_N</vt:lpstr>
      <vt:lpstr>Nbre_Erreurs_Verifications_N_1</vt:lpstr>
      <vt:lpstr>NEANT_TAB1_OPTION</vt:lpstr>
      <vt:lpstr>NEANT_TAB11_OPTION</vt:lpstr>
      <vt:lpstr>NEANT_TAB12_OPTION</vt:lpstr>
      <vt:lpstr>NEANT_TAB2_OPTION</vt:lpstr>
      <vt:lpstr>NEANT_TAB200_OPTION</vt:lpstr>
      <vt:lpstr>NEANT_TAB201_OPTION</vt:lpstr>
      <vt:lpstr>NEANT_TAB202_OPTION</vt:lpstr>
      <vt:lpstr>NEANT_TAB203_OPTION</vt:lpstr>
      <vt:lpstr>NEANT_TAB220_OPTION</vt:lpstr>
      <vt:lpstr>NEANT_TAB23_OPTION</vt:lpstr>
      <vt:lpstr>NEANT_TAB24_OPTION</vt:lpstr>
      <vt:lpstr>NEANT_TAB240_OPTION</vt:lpstr>
      <vt:lpstr>NEANT_TAB26_OPTION</vt:lpstr>
      <vt:lpstr>NEANT_TAB27_OPTION</vt:lpstr>
      <vt:lpstr>NEANT_TAB28_OPTION</vt:lpstr>
      <vt:lpstr>NEANT_TAB32_OPTION</vt:lpstr>
      <vt:lpstr>NEANT_TAB34_OPTION</vt:lpstr>
      <vt:lpstr>NEANT_TAB36_OPTION</vt:lpstr>
      <vt:lpstr>NEANT_TAB37_OPTION</vt:lpstr>
      <vt:lpstr>NEANT_TAB38_OPTION</vt:lpstr>
      <vt:lpstr>NEANT_TAB39_OPTION</vt:lpstr>
      <vt:lpstr>NEANT_TAB40_OPTION</vt:lpstr>
      <vt:lpstr>NEANT_TAB41_OPTION</vt:lpstr>
      <vt:lpstr>NEANT_TAB5_OPTION</vt:lpstr>
      <vt:lpstr>NEANT_TAB6_OPTION</vt:lpstr>
      <vt:lpstr>NEANT_TAB7_OPTION</vt:lpstr>
      <vt:lpstr>PCNG_MN</vt:lpstr>
      <vt:lpstr>Point0_N</vt:lpstr>
      <vt:lpstr>Point0_N_1</vt:lpstr>
      <vt:lpstr>SIMPL_Balance_N_0_NbreComptes</vt:lpstr>
      <vt:lpstr>SIMPL_Balance_N_0_NbreKeys</vt:lpstr>
      <vt:lpstr>SIMPL_Balance_N_1_NbreComptes</vt:lpstr>
      <vt:lpstr>SIMPL_Balance_N_1_NbreKeys</vt:lpstr>
      <vt:lpstr>SIMPL_Cell_adresse</vt:lpstr>
      <vt:lpstr>SIMPL_Cell_exerciceFiscalAu</vt:lpstr>
      <vt:lpstr>SIMPL_Cell_exerciceFiscalDu</vt:lpstr>
      <vt:lpstr>SIMPL_Cell_identifiantCommun</vt:lpstr>
      <vt:lpstr>SIMPL_Cell_identifiantFiscal</vt:lpstr>
      <vt:lpstr>SIMPL_Cell_societe</vt:lpstr>
      <vt:lpstr>SIMPL_Cell_ville</vt:lpstr>
      <vt:lpstr>SIMPL_CheckVersion_Nbre</vt:lpstr>
      <vt:lpstr>SIMPL_CheckVersion_Option</vt:lpstr>
      <vt:lpstr>SIMPL_Ent.12_Cod.10061_Lin.0_Typ.Texte_Extra.0</vt:lpstr>
      <vt:lpstr>SIMPL_Ent.12_Cod.1078_Lin.0_Typ.Date_Extra.0</vt:lpstr>
      <vt:lpstr>SIMPL_Ent.12_Cod.1079_Lin.0_Typ.Double_Extra.0</vt:lpstr>
      <vt:lpstr>SIMPL_Ent.12_Cod.1080_Lin.0_Typ.Double_Extra.0</vt:lpstr>
      <vt:lpstr>SIMPL_Ent.12_Cod.1081_Lin.0_Typ.Double_Extra.0</vt:lpstr>
      <vt:lpstr>SIMPL_Ent.12_Cod.1082_Lin.0_Typ.Double_Extra.0</vt:lpstr>
      <vt:lpstr>SIMPL_Ent.12_Cod.1083_Lin.0_Typ.Entier_Extra.0</vt:lpstr>
      <vt:lpstr>SIMPL_Ent.12_Cod.1084_Lin.0_Typ.Double_Extra.0</vt:lpstr>
      <vt:lpstr>SIMPL_Ent.12_Cod.1085_Lin.0_Typ.Double_Extra.0</vt:lpstr>
      <vt:lpstr>SIMPL_Ent.12_Cod.1086_Lin.0_Typ.Texte_Extra.0</vt:lpstr>
      <vt:lpstr>SIMPL_Ent.201_Cod.14088_Lin.0_Typ.Texte_Extra.0</vt:lpstr>
      <vt:lpstr>SIMPL_Ent.201_Cod.14089_Lin.0_Typ.Texte_Extra.0</vt:lpstr>
      <vt:lpstr>SIMPL_Ent.201_Cod.14090_Lin.0_Typ.Texte_Extra.0</vt:lpstr>
      <vt:lpstr>SIMPL_Ent.201_Cod.14091_Lin.0_Typ.Texte_Extra.0</vt:lpstr>
      <vt:lpstr>SIMPL_Ent.201_Cod.14092_Lin.0_Typ.Texte_Extra.0</vt:lpstr>
      <vt:lpstr>SIMPL_Ent.201_Cod.14093_Lin.0_Typ.Texte_Extra.0</vt:lpstr>
      <vt:lpstr>SIMPL_Ent.23_Cod.1098_Lin.0_Typ.Texte_Extra.0</vt:lpstr>
      <vt:lpstr>SIMPL_Ent.23_Cod.1099_Lin.0_Typ.Date_Extra.0</vt:lpstr>
      <vt:lpstr>SIMPL_Ent.23_Cod.1100_Lin.0_Typ.Entier_Extra.0</vt:lpstr>
      <vt:lpstr>SIMPL_Ent.23_Cod.1101_Lin.0_Typ.Double_Extra.0</vt:lpstr>
      <vt:lpstr>SIMPL_Ent.23_Cod.1102_Lin.0_Typ.Double_Extra.0</vt:lpstr>
      <vt:lpstr>SIMPL_Ent.23_Cod.1103_Lin.0_Typ.Double_Extra.0</vt:lpstr>
      <vt:lpstr>SIMPL_Ent.23_Cod.1104_Lin.0_Typ.Double_Extra.0</vt:lpstr>
      <vt:lpstr>SIMPL_Ent.23_Cod.1105_Lin.0_Typ.Double_Extra.0</vt:lpstr>
      <vt:lpstr>SIMPL_Ent.23_Cod.1106_Lin.0_Typ.Double_Extra.0</vt:lpstr>
      <vt:lpstr>SIMPL_Ent.23_Cod.1107_Lin.0_Typ.Double_Extra.0</vt:lpstr>
      <vt:lpstr>SIMPL_Ent.23_Cod.1108_Lin.0_Typ.Texte_Extra.0</vt:lpstr>
      <vt:lpstr>SIMPL_Ent.240_Cod.14353_Lin.0_Typ.Double_Extra.0</vt:lpstr>
      <vt:lpstr>SIMPL_Ent.240_Cod.14990_Lin.0_Typ.Double_Extra.0</vt:lpstr>
      <vt:lpstr>SIMPL_Ent.27_Cod.1208_Lin.0_Typ.Texte_Extra.0</vt:lpstr>
      <vt:lpstr>SIMPL_Ent.27_Cod.1209_Lin.0_Typ.Texte_Extra.0</vt:lpstr>
      <vt:lpstr>SIMPL_Ent.27_Cod.1210_Lin.0_Typ.Entier_Extra.0</vt:lpstr>
      <vt:lpstr>SIMPL_Ent.27_Cod.1211_Lin.0_Typ.Double_Extra.0</vt:lpstr>
      <vt:lpstr>SIMPL_Ent.27_Cod.1212_Lin.0_Typ.Date_Extra.0</vt:lpstr>
      <vt:lpstr>SIMPL_Ent.27_Cod.1213_Lin.0_Typ.Entier_Extra.0</vt:lpstr>
      <vt:lpstr>SIMPL_Ent.27_Cod.1214_Lin.0_Typ.Texte_Extra.0</vt:lpstr>
      <vt:lpstr>SIMPL_Ent.27_Cod.1215_Lin.0_Typ.Double_Extra.0</vt:lpstr>
      <vt:lpstr>SIMPL_Ent.27_Cod.1216_Lin.0_Typ.Double_Extra.0</vt:lpstr>
      <vt:lpstr>SIMPL_Ent.27_Cod.1217_Lin.0_Typ.Double_Extra.0</vt:lpstr>
      <vt:lpstr>SIMPL_Ent.27_Cod.1218_Lin.0_Typ.Double_Extra.0</vt:lpstr>
      <vt:lpstr>SIMPL_Ent.27_Cod.1219_Lin.0_Typ.Double_Extra.0</vt:lpstr>
      <vt:lpstr>SIMPL_Ent.27_Cod.1220_Lin.0_Typ.Texte_Extra.0</vt:lpstr>
      <vt:lpstr>SIMPL_Ent.27_Cod.1221_Lin.0_Typ.Texte_Extra.0</vt:lpstr>
      <vt:lpstr>SIMPL_Ent.27_Cod.1222_Lin.0_Typ.Texte_Extra.0</vt:lpstr>
      <vt:lpstr>SIMPL_Ent.27_Cod.1223_Lin.0_Typ.Texte_Extra.0</vt:lpstr>
      <vt:lpstr>SIMPL_Ent.27_Cod.1224_Lin.0_Typ.Double_Extra.0</vt:lpstr>
      <vt:lpstr>SIMPL_Ent.27_Cod.1225_Lin.0_Typ.Date_Extra.0</vt:lpstr>
      <vt:lpstr>SIMPL_Ent.27_Cod.1226_Lin.0_Typ.Entier_Extra.0</vt:lpstr>
      <vt:lpstr>SIMPL_Ent.27_Cod.1227_Lin.0_Typ.Texte_Extra.0</vt:lpstr>
      <vt:lpstr>SIMPL_Ent.27_Cod.1228_Lin.0_Typ.Double_Extra.0</vt:lpstr>
      <vt:lpstr>SIMPL_Ent.27_Cod.1229_Lin.0_Typ.Double_Extra.0</vt:lpstr>
      <vt:lpstr>SIMPL_Ent.27_Cod.1250_Lin.0_Typ.Double_Extra.0</vt:lpstr>
      <vt:lpstr>SIMPL_Ent.27_Cod.1251_Lin.0_Typ.Double_Extra.0</vt:lpstr>
      <vt:lpstr>SIMPL_Ent.27_Cod.1252_Lin.0_Typ.Double_Extra.0</vt:lpstr>
      <vt:lpstr>SIMPL_Ent.27_Cod.1253_Lin.0_Typ.Texte_Extra.0</vt:lpstr>
      <vt:lpstr>SIMPL_Ent.27_Cod.14968_Lin.0_Typ.Texte_Extra.0</vt:lpstr>
      <vt:lpstr>SIMPL_Ent.27_Cod.14969_Lin.0_Typ.Texte_Extra.0</vt:lpstr>
      <vt:lpstr>SIMPL_Ent.27_Cod.14970_Lin.0_Typ.Texte_Extra.0</vt:lpstr>
      <vt:lpstr>SIMPL_Ent.27_Cod.14971_Lin.0_Typ.Texte_Extra.0</vt:lpstr>
      <vt:lpstr>SIMPL_Ent.28_Cod.1267_Lin.0_Typ.Texte_Extra.0</vt:lpstr>
      <vt:lpstr>SIMPL_Ent.28_Cod.1268_Lin.0_Typ.Texte_Extra.0</vt:lpstr>
      <vt:lpstr>SIMPL_Ent.28_Cod.1269_Lin.0_Typ.Texte_Extra.0</vt:lpstr>
      <vt:lpstr>SIMPL_Ent.28_Cod.1270_Lin.0_Typ.Date_Extra.0</vt:lpstr>
      <vt:lpstr>SIMPL_Ent.28_Cod.1271_Lin.0_Typ.Double_Extra.0</vt:lpstr>
      <vt:lpstr>SIMPL_Ent.28_Cod.1272_Lin.0_Typ.Double_Extra.0</vt:lpstr>
      <vt:lpstr>SIMPL_Ent.28_Cod.1273_Lin.0_Typ.Texte_Extra.0</vt:lpstr>
      <vt:lpstr>SIMPL_Ent.28_Cod.1274_Lin.0_Typ.Texte_Extra.0</vt:lpstr>
      <vt:lpstr>SIMPL_Ent.28_Cod.14040_Lin.0_Typ.Entier_Extra.0</vt:lpstr>
      <vt:lpstr>SIMPL_Ent.28_Cod.14041_Lin.0_Typ.Texte_Extra.0</vt:lpstr>
      <vt:lpstr>SIMPL_Ent.28_Cod.14964_Lin.0_Typ.Texte_Extra.0</vt:lpstr>
      <vt:lpstr>SIMPL_Ent.28_Cod.14965_Lin.0_Typ.Texte_Extra.0</vt:lpstr>
      <vt:lpstr>SIMPL_Ent.28_Cod.17919_Lin.0_Typ.Texte_Extra.0</vt:lpstr>
      <vt:lpstr>SIMPL_Ent.38_Cod.1929_Lin.0_Typ.Date_Extra.0</vt:lpstr>
      <vt:lpstr>SIMPL_Ent.38_Cod.1930_Lin.0_Typ.Entier_Extra.0</vt:lpstr>
      <vt:lpstr>SIMPL_Ent.38_Cod.1931_Lin.0_Typ.Double_Extra.0</vt:lpstr>
      <vt:lpstr>SIMPL_Ent.38_Cod.1932_Lin.0_Typ.Double_Extra.0</vt:lpstr>
      <vt:lpstr>SIMPL_Ent.38_Cod.1933_Lin.0_Typ.Double_Extra.0</vt:lpstr>
      <vt:lpstr>SIMPL_Ent.38_Cod.1934_Lin.0_Typ.Double_Extra.0</vt:lpstr>
      <vt:lpstr>SIMPL_Ent.38_Cod.1935_Lin.0_Typ.Double_Extra.0</vt:lpstr>
      <vt:lpstr>SIMPL_Ent.38_Cod.1936_Lin.0_Typ.Double_Extra.0</vt:lpstr>
      <vt:lpstr>SIMPL_Ent.39_Cod.14065_Lin.0_Typ.Entier_Extra.0</vt:lpstr>
      <vt:lpstr>SIMPL_Ent.39_Cod.2044_Lin.0_Typ.Texte_Extra.0</vt:lpstr>
      <vt:lpstr>SIMPL_Ent.39_Cod.2045_Lin.0_Typ.Texte_Extra.0</vt:lpstr>
      <vt:lpstr>SIMPL_Ent.39_Cod.2046_Lin.0_Typ.Double_Extra.0</vt:lpstr>
      <vt:lpstr>SIMPL_Ent.39_Cod.2047_Lin.0_Typ.Double_Extra.0</vt:lpstr>
      <vt:lpstr>SIMPL_Ent.39_Cod.2048_Lin.0_Typ.Double_Extra.0</vt:lpstr>
      <vt:lpstr>SIMPL_Ent.39_Cod.2049_Lin.0_Typ.Double_Extra.0</vt:lpstr>
      <vt:lpstr>SIMPL_Ent.39_Cod.2050_Lin.0_Typ.Date_Extra.0</vt:lpstr>
      <vt:lpstr>SIMPL_Ent.39_Cod.2051_Lin.0_Typ.Double_Extra.0</vt:lpstr>
      <vt:lpstr>SIMPL_Ent.39_Cod.2052_Lin.0_Typ.Double_Extra.0</vt:lpstr>
      <vt:lpstr>SIMPL_Ent.39_Cod.2053_Lin.0_Typ.Double_Extra.0</vt:lpstr>
      <vt:lpstr>SIMPL_Ent.41_Cod.13536_Lin.0_Typ.Entier_Extra.0</vt:lpstr>
      <vt:lpstr>SIMPL_Ent.41_Cod.13537_Lin.0_Typ.Texte_Extra.0</vt:lpstr>
      <vt:lpstr>SIMPL_Ent.41_Cod.14560_Lin.0_Typ.Texte_Extra.0</vt:lpstr>
      <vt:lpstr>SIMPL_Ent.41_Cod.17887_Lin.0_Typ.Texte_Extra.0</vt:lpstr>
      <vt:lpstr>SIMPL_Ent.41_Cod.2094_Lin.0_Typ.Texte_Extra.0</vt:lpstr>
      <vt:lpstr>SIMPL_Ent.41_Cod.2095_Lin.0_Typ.Texte_Extra.0</vt:lpstr>
      <vt:lpstr>SIMPL_Ent.41_Cod.2096_Lin.0_Typ.Entier_Extra.0</vt:lpstr>
      <vt:lpstr>SIMPL_Ent.41_Cod.2097_Lin.0_Typ.Entier_Extra.0</vt:lpstr>
      <vt:lpstr>SIMPL_Ent.41_Cod.2098_Lin.0_Typ.Double_Extra.0</vt:lpstr>
      <vt:lpstr>SIMPL_Ent.41_Cod.2099_Lin.0_Typ.Double_Extra.0</vt:lpstr>
      <vt:lpstr>SIMPL_Ent.41_Cod.2100_Lin.0_Typ.Double_Extra.0</vt:lpstr>
      <vt:lpstr>SIMPL_Ent.41_Cod.2101_Lin.0_Typ.Double_Extra.0</vt:lpstr>
      <vt:lpstr>SIMPL_Ent.7_Cod.7830_Lin.0_Typ.Double_Extra.0</vt:lpstr>
      <vt:lpstr>SIMPL_Ent.7_Cod.821_Lin.0_Typ.Texte_Extra.0</vt:lpstr>
      <vt:lpstr>SIMPL_Ent.7_Cod.822_Lin.0_Typ.Double_Extra.0</vt:lpstr>
      <vt:lpstr>SIMPL_Ent.7_Cod.823_Lin.0_Typ.Double_Extra.0</vt:lpstr>
      <vt:lpstr>SIMPL_Ent.7_Cod.824_Lin.0_Typ.Texte_Extra.0</vt:lpstr>
      <vt:lpstr>SIMPL_Ent.7_Cod.825_Lin.0_Typ.Double_Extra.0</vt:lpstr>
      <vt:lpstr>SIMPL_Ent.7_Cod.826_Lin.0_Typ.Double_Extra.0</vt:lpstr>
      <vt:lpstr>SIMPL_Ent.7_Cod.827_Lin.0_Typ.Texte_Extra.0</vt:lpstr>
      <vt:lpstr>SIMPL_Ent.7_Cod.828_Lin.0_Typ.Double_Extra.0</vt:lpstr>
      <vt:lpstr>SIMPL_Ent.7_Cod.829_Lin.0_Typ.Texte_Extra.0</vt:lpstr>
      <vt:lpstr>SIMPL_Ent.7_Cod.830_Lin.0_Typ.Double_Extra.0</vt:lpstr>
      <vt:lpstr>SIMPL_Ent.7_Cod.831_Lin.0_Typ.Double_Extra.0</vt:lpstr>
      <vt:lpstr>SIMPL_Erreur_Adr</vt:lpstr>
      <vt:lpstr>SIMPL_Erreur_Not</vt:lpstr>
      <vt:lpstr>SIMPL_Erreur_Val</vt:lpstr>
      <vt:lpstr>SIMPL_Liste_Tableaux</vt:lpstr>
      <vt:lpstr>SIMPL_Liste_Tableaux_Selection</vt:lpstr>
      <vt:lpstr>SIMPL_Liste_Tableaux_Selection_Adresse</vt:lpstr>
      <vt:lpstr>SIMPL_Liste_Tableaux_Selection_Feuille</vt:lpstr>
      <vt:lpstr>SIMPL_Tab.1_Cod.13339_Lin.1_Typ.Double_Extra.0</vt:lpstr>
      <vt:lpstr>SIMPL_Tab.1_Cod.13343_Lin.1_Typ.Double_Extra.0</vt:lpstr>
      <vt:lpstr>SIMPL_Tab.1_Cod.13368_Lin.0_Typ.Double_Extra.0</vt:lpstr>
      <vt:lpstr>SIMPL_Tab.1_Cod.13369_Lin.0_Typ.Double_Extra.0</vt:lpstr>
      <vt:lpstr>SIMPL_Tab.1_Cod.13370_Lin.0_Typ.Double_Extra.0</vt:lpstr>
      <vt:lpstr>SIMPL_Tab.1_Cod.13371_Lin.0_Typ.Double_Extra.0</vt:lpstr>
      <vt:lpstr>SIMPL_Tab.1_Cod.13372_Lin.0_Typ.Double_Extra.0</vt:lpstr>
      <vt:lpstr>SIMPL_Tab.1_Cod.13373_Lin.0_Typ.Double_Extra.0</vt:lpstr>
      <vt:lpstr>SIMPL_Tab.1_Cod.13374_Lin.0_Typ.Double_Extra.0</vt:lpstr>
      <vt:lpstr>SIMPL_Tab.1_Cod.13375_Lin.0_Typ.Double_Extra.0</vt:lpstr>
      <vt:lpstr>SIMPL_Tab.1_Cod.13376_Lin.0_Typ.Double_Extra.0</vt:lpstr>
      <vt:lpstr>SIMPL_Tab.1_Cod.13377_Lin.0_Typ.Double_Extra.0</vt:lpstr>
      <vt:lpstr>SIMPL_Tab.1_Cod.13378_Lin.0_Typ.Double_Extra.0</vt:lpstr>
      <vt:lpstr>SIMPL_Tab.1_Cod.13379_Lin.0_Typ.Double_Extra.0</vt:lpstr>
      <vt:lpstr>SIMPL_Tab.1_Cod.13380_Lin.0_Typ.Double_Extra.0</vt:lpstr>
      <vt:lpstr>SIMPL_Tab.1_Cod.13381_Lin.0_Typ.Double_Extra.0</vt:lpstr>
      <vt:lpstr>SIMPL_Tab.1_Cod.13382_Lin.0_Typ.Double_Extra.0</vt:lpstr>
      <vt:lpstr>SIMPL_Tab.1_Cod.13383_Lin.0_Typ.Double_Extra.0</vt:lpstr>
      <vt:lpstr>SIMPL_Tab.1_Cod.13384_Lin.0_Typ.Double_Extra.0</vt:lpstr>
      <vt:lpstr>SIMPL_Tab.1_Cod.13385_Lin.0_Typ.Double_Extra.0</vt:lpstr>
      <vt:lpstr>SIMPL_Tab.1_Cod.13386_Lin.0_Typ.Double_Extra.0</vt:lpstr>
      <vt:lpstr>SIMPL_Tab.1_Cod.13387_Lin.0_Typ.Double_Extra.0</vt:lpstr>
      <vt:lpstr>SIMPL_Tab.1_Cod.13388_Lin.0_Typ.Double_Extra.0</vt:lpstr>
      <vt:lpstr>SIMPL_Tab.1_Cod.13389_Lin.0_Typ.Double_Extra.0</vt:lpstr>
      <vt:lpstr>SIMPL_Tab.1_Cod.13390_Lin.0_Typ.Double_Extra.0</vt:lpstr>
      <vt:lpstr>SIMPL_Tab.1_Cod.13391_Lin.0_Typ.Double_Extra.0</vt:lpstr>
      <vt:lpstr>SIMPL_Tab.1_Cod.13392_Lin.1_Typ.Double_Extra.0</vt:lpstr>
      <vt:lpstr>SIMPL_Tab.1_Cod.13393_Lin.0_Typ.Double_Extra.0</vt:lpstr>
      <vt:lpstr>SIMPL_Tab.1_Cod.13394_Lin.0_Typ.Double_Extra.0</vt:lpstr>
      <vt:lpstr>SIMPL_Tab.1_Cod.13395_Lin.0_Typ.Double_Extra.0</vt:lpstr>
      <vt:lpstr>SIMPL_Tab.1_Cod.13396_Lin.1_Typ.Double_Extra.0</vt:lpstr>
      <vt:lpstr>SIMPL_Tab.1_Cod.13397_Lin.0_Typ.Double_Extra.0</vt:lpstr>
      <vt:lpstr>SIMPL_Tab.1_Cod.13398_Lin.0_Typ.Double_Extra.0</vt:lpstr>
      <vt:lpstr>SIMPL_Tab.1_Cod.13399_Lin.0_Typ.Double_Extra.0</vt:lpstr>
      <vt:lpstr>SIMPL_Tab.1_Cod.13400_Lin.0_Typ.Double_Extra.0</vt:lpstr>
      <vt:lpstr>SIMPL_Tab.1_Cod.13401_Lin.0_Typ.Double_Extra.0</vt:lpstr>
      <vt:lpstr>SIMPL_Tab.1_Cod.13402_Lin.0_Typ.Double_Extra.0</vt:lpstr>
      <vt:lpstr>SIMPL_Tab.1_Cod.13403_Lin.0_Typ.Double_Extra.0</vt:lpstr>
      <vt:lpstr>SIMPL_Tab.1_Cod.13404_Lin.0_Typ.Double_Extra.0</vt:lpstr>
      <vt:lpstr>SIMPL_Tab.1_Cod.13405_Lin.0_Typ.Double_Extra.0</vt:lpstr>
      <vt:lpstr>SIMPL_Tab.1_Cod.13406_Lin.0_Typ.Double_Extra.0</vt:lpstr>
      <vt:lpstr>SIMPL_Tab.1_Cod.13407_Lin.0_Typ.Double_Extra.0</vt:lpstr>
      <vt:lpstr>SIMPL_Tab.1_Cod.13408_Lin.0_Typ.Double_Extra.0</vt:lpstr>
      <vt:lpstr>SIMPL_Tab.1_Cod.13409_Lin.0_Typ.Double_Extra.0</vt:lpstr>
      <vt:lpstr>SIMPL_Tab.1_Cod.13410_Lin.0_Typ.Double_Extra.0</vt:lpstr>
      <vt:lpstr>SIMPL_Tab.1_Cod.13411_Lin.0_Typ.Double_Extra.0</vt:lpstr>
      <vt:lpstr>SIMPL_Tab.1_Cod.13412_Lin.0_Typ.Double_Extra.0</vt:lpstr>
      <vt:lpstr>SIMPL_Tab.1_Cod.13413_Lin.0_Typ.Double_Extra.0</vt:lpstr>
      <vt:lpstr>SIMPL_Tab.1_Cod.13414_Lin.0_Typ.Double_Extra.0</vt:lpstr>
      <vt:lpstr>SIMPL_Tab.1_Cod.13415_Lin.0_Typ.Double_Extra.0</vt:lpstr>
      <vt:lpstr>SIMPL_Tab.1_Cod.13416_Lin.0_Typ.Double_Extra.0</vt:lpstr>
      <vt:lpstr>SIMPL_Tab.1_Cod.13417_Lin.0_Typ.Double_Extra.0</vt:lpstr>
      <vt:lpstr>SIMPL_Tab.1_Cod.13418_Lin.0_Typ.Double_Extra.0</vt:lpstr>
      <vt:lpstr>SIMPL_Tab.1_Cod.13419_Lin.0_Typ.Double_Extra.0</vt:lpstr>
      <vt:lpstr>SIMPL_Tab.1_Cod.13420_Lin.0_Typ.Double_Extra.0</vt:lpstr>
      <vt:lpstr>SIMPL_Tab.1_Cod.13421_Lin.0_Typ.Double_Extra.0</vt:lpstr>
      <vt:lpstr>SIMPL_Tab.1_Cod.13422_Lin.0_Typ.Double_Extra.0</vt:lpstr>
      <vt:lpstr>SIMPL_Tab.1_Cod.13423_Lin.0_Typ.Double_Extra.0</vt:lpstr>
      <vt:lpstr>SIMPL_Tab.1_Cod.13424_Lin.0_Typ.Double_Extra.0</vt:lpstr>
      <vt:lpstr>SIMPL_Tab.1_Cod.13425_Lin.1_Typ.Double_Extra.0</vt:lpstr>
      <vt:lpstr>SIMPL_Tab.1_Cod.13426_Lin.0_Typ.Double_Extra.0</vt:lpstr>
      <vt:lpstr>SIMPL_Tab.1_Cod.13427_Lin.0_Typ.Double_Extra.0</vt:lpstr>
      <vt:lpstr>SIMPL_Tab.1_Cod.13428_Lin.0_Typ.Double_Extra.0</vt:lpstr>
      <vt:lpstr>SIMPL_Tab.1_Cod.13429_Lin.1_Typ.Double_Extra.0</vt:lpstr>
      <vt:lpstr>SIMPL_Tab.1_Cod.13430_Lin.0_Typ.Double_Extra.0</vt:lpstr>
      <vt:lpstr>SIMPL_Tab.1_Cod.13431_Lin.0_Typ.Double_Extra.0</vt:lpstr>
      <vt:lpstr>SIMPL_Tab.1_Cod.13432_Lin.0_Typ.Double_Extra.0</vt:lpstr>
      <vt:lpstr>SIMPL_Tab.1_Cod.13433_Lin.0_Typ.Double_Extra.0</vt:lpstr>
      <vt:lpstr>SIMPL_Tab.1_Cod.13434_Lin.0_Typ.Double_Extra.0</vt:lpstr>
      <vt:lpstr>SIMPL_Tab.1_Cod.13435_Lin.0_Typ.Double_Extra.0</vt:lpstr>
      <vt:lpstr>SIMPL_Tab.1_Cod.13436_Lin.0_Typ.Double_Extra.0</vt:lpstr>
      <vt:lpstr>SIMPL_Tab.1_Cod.13437_Lin.0_Typ.Double_Extra.0</vt:lpstr>
      <vt:lpstr>SIMPL_Tab.1_Cod.13438_Lin.0_Typ.Double_Extra.0</vt:lpstr>
      <vt:lpstr>SIMPL_Tab.1_Cod.13439_Lin.0_Typ.Double_Extra.0</vt:lpstr>
      <vt:lpstr>SIMPL_Tab.1_Cod.13440_Lin.0_Typ.Double_Extra.0</vt:lpstr>
      <vt:lpstr>SIMPL_Tab.1_Cod.13441_Lin.0_Typ.Double_Extra.0</vt:lpstr>
      <vt:lpstr>SIMPL_Tab.1_Cod.13442_Lin.0_Typ.Double_Extra.0</vt:lpstr>
      <vt:lpstr>SIMPL_Tab.1_Cod.13443_Lin.0_Typ.Double_Extra.0</vt:lpstr>
      <vt:lpstr>SIMPL_Tab.1_Cod.13444_Lin.0_Typ.Double_Extra.0</vt:lpstr>
      <vt:lpstr>SIMPL_Tab.1_Cod.13445_Lin.0_Typ.Double_Extra.0</vt:lpstr>
      <vt:lpstr>SIMPL_Tab.1_Cod.13446_Lin.0_Typ.Double_Extra.0</vt:lpstr>
      <vt:lpstr>SIMPL_Tab.1_Cod.13447_Lin.0_Typ.Double_Extra.0</vt:lpstr>
      <vt:lpstr>SIMPL_Tab.1_Cod.13448_Lin.0_Typ.Double_Extra.0</vt:lpstr>
      <vt:lpstr>SIMPL_Tab.1_Cod.13449_Lin.0_Typ.Double_Extra.0</vt:lpstr>
      <vt:lpstr>SIMPL_Tab.1_Cod.13450_Lin.0_Typ.Double_Extra.0</vt:lpstr>
      <vt:lpstr>SIMPL_Tab.1_Cod.13451_Lin.0_Typ.Double_Extra.0</vt:lpstr>
      <vt:lpstr>SIMPL_Tab.1_Cod.13452_Lin.0_Typ.Double_Extra.0</vt:lpstr>
      <vt:lpstr>SIMPL_Tab.1_Cod.13453_Lin.0_Typ.Double_Extra.0</vt:lpstr>
      <vt:lpstr>SIMPL_Tab.1_Cod.14001_Lin.0_Typ.Double_Extra.0</vt:lpstr>
      <vt:lpstr>SIMPL_Tab.1_Cod.14002_Lin.0_Typ.Double_Extra.0</vt:lpstr>
      <vt:lpstr>'T15'!SIMPL_Tab.10_Cod.10022_Lin.0_Typ.Double_Extra.0</vt:lpstr>
      <vt:lpstr>'T15'!SIMPL_Tab.10_Cod.10023_Lin.0_Typ.Double_Extra.0</vt:lpstr>
      <vt:lpstr>'T15'!SIMPL_Tab.10_Cod.10024_Lin.0_Typ.Double_Extra.0</vt:lpstr>
      <vt:lpstr>'T15'!SIMPL_Tab.10_Cod.10025_Lin.0_Typ.Double_Extra.0</vt:lpstr>
      <vt:lpstr>'T15'!SIMPL_Tab.10_Cod.10026_Lin.0_Typ.Double_Extra.0</vt:lpstr>
      <vt:lpstr>'T15'!SIMPL_Tab.10_Cod.10027_Lin.0_Typ.Double_Extra.0</vt:lpstr>
      <vt:lpstr>'T15'!SIMPL_Tab.10_Cod.10028_Lin.0_Typ.Double_Extra.0</vt:lpstr>
      <vt:lpstr>'T15'!SIMPL_Tab.10_Cod.10029_Lin.0_Typ.Double_Extra.0</vt:lpstr>
      <vt:lpstr>'T15'!SIMPL_Tab.10_Cod.10040_Lin.0_Typ.Double_Extra.0</vt:lpstr>
      <vt:lpstr>'T15'!SIMPL_Tab.10_Cod.10041_Lin.0_Typ.Double_Extra.0</vt:lpstr>
      <vt:lpstr>'T15'!SIMPL_Tab.10_Cod.10042_Lin.0_Typ.Double_Extra.0</vt:lpstr>
      <vt:lpstr>'T15'!SIMPL_Tab.10_Cod.10043_Lin.0_Typ.Double_Extra.0</vt:lpstr>
      <vt:lpstr>'T15'!SIMPL_Tab.10_Cod.873_Lin.0_Typ.Double_Extra.0</vt:lpstr>
      <vt:lpstr>'T15'!SIMPL_Tab.10_Cod.874_Lin.0_Typ.Double_Extra.0</vt:lpstr>
      <vt:lpstr>'T15'!SIMPL_Tab.10_Cod.875_Lin.0_Typ.Double_Extra.0</vt:lpstr>
      <vt:lpstr>'T15'!SIMPL_Tab.10_Cod.877_Lin.0_Typ.Double_Extra.0</vt:lpstr>
      <vt:lpstr>'T15'!SIMPL_Tab.10_Cod.878_Lin.0_Typ.Double_Extra.0</vt:lpstr>
      <vt:lpstr>'T15'!SIMPL_Tab.10_Cod.879_Lin.0_Typ.Double_Extra.0</vt:lpstr>
      <vt:lpstr>'T15'!SIMPL_Tab.10_Cod.881_Lin.0_Typ.Double_Extra.0</vt:lpstr>
      <vt:lpstr>'T15'!SIMPL_Tab.10_Cod.882_Lin.0_Typ.Double_Extra.0</vt:lpstr>
      <vt:lpstr>'T15'!SIMPL_Tab.10_Cod.883_Lin.0_Typ.Double_Extra.0</vt:lpstr>
      <vt:lpstr>'T15'!SIMPL_Tab.10_Cod.885_Lin.0_Typ.Double_Extra.0</vt:lpstr>
      <vt:lpstr>'T15'!SIMPL_Tab.10_Cod.886_Lin.0_Typ.Double_Extra.0</vt:lpstr>
      <vt:lpstr>'T15'!SIMPL_Tab.10_Cod.887_Lin.0_Typ.Double_Extra.0</vt:lpstr>
      <vt:lpstr>'T15'!SIMPL_Tab.10_Cod.893_Lin.0_Typ.Double_Extra.0</vt:lpstr>
      <vt:lpstr>'T15'!SIMPL_Tab.10_Cod.894_Lin.0_Typ.Double_Extra.0</vt:lpstr>
      <vt:lpstr>'T15'!SIMPL_Tab.10_Cod.895_Lin.0_Typ.Double_Extra.0</vt:lpstr>
      <vt:lpstr>'T15'!SIMPL_Tab.10_Cod.897_Lin.0_Typ.Double_Extra.0</vt:lpstr>
      <vt:lpstr>'T15'!SIMPL_Tab.10_Cod.898_Lin.0_Typ.Double_Extra.0</vt:lpstr>
      <vt:lpstr>'T15'!SIMPL_Tab.10_Cod.899_Lin.0_Typ.Double_Extra.0</vt:lpstr>
      <vt:lpstr>'T15'!SIMPL_Tab.10_Cod.901_Lin.0_Typ.Double_Extra.0</vt:lpstr>
      <vt:lpstr>'T15'!SIMPL_Tab.10_Cod.902_Lin.0_Typ.Double_Extra.0</vt:lpstr>
      <vt:lpstr>'T15'!SIMPL_Tab.10_Cod.903_Lin.0_Typ.Double_Extra.0</vt:lpstr>
      <vt:lpstr>'T15'!SIMPL_Tab.10_Cod.905_Lin.0_Typ.Double_Extra.0</vt:lpstr>
      <vt:lpstr>'T15'!SIMPL_Tab.10_Cod.906_Lin.0_Typ.Double_Extra.0</vt:lpstr>
      <vt:lpstr>'T15'!SIMPL_Tab.10_Cod.907_Lin.0_Typ.Double_Extra.0</vt:lpstr>
      <vt:lpstr>'T15'!SIMPL_Tab.10_Cod.909_Lin.0_Typ.Double_Extra.0</vt:lpstr>
      <vt:lpstr>'T15'!SIMPL_Tab.10_Cod.910_Lin.0_Typ.Double_Extra.0</vt:lpstr>
      <vt:lpstr>'T15'!SIMPL_Tab.10_Cod.911_Lin.0_Typ.Double_Extra.0</vt:lpstr>
      <vt:lpstr>'T15'!SIMPL_Tab.10_Cod.921_Lin.0_Typ.Double_Extra.0</vt:lpstr>
      <vt:lpstr>'T15'!SIMPL_Tab.10_Cod.922_Lin.0_Typ.Double_Extra.0</vt:lpstr>
      <vt:lpstr>'T15'!SIMPL_Tab.10_Cod.923_Lin.0_Typ.Double_Extra.0</vt:lpstr>
      <vt:lpstr>'T15'!SIMPL_Tab.10_Cod.925_Lin.0_Typ.Double_Extra.0</vt:lpstr>
      <vt:lpstr>'T15'!SIMPL_Tab.10_Cod.926_Lin.0_Typ.Double_Extra.0</vt:lpstr>
      <vt:lpstr>'T15'!SIMPL_Tab.10_Cod.927_Lin.0_Typ.Double_Extra.0</vt:lpstr>
      <vt:lpstr>'T15'!SIMPL_Tab.10_Cod.929_Lin.0_Typ.Double_Extra.0</vt:lpstr>
      <vt:lpstr>'T15'!SIMPL_Tab.10_Cod.930_Lin.0_Typ.Double_Extra.0</vt:lpstr>
      <vt:lpstr>'T15'!SIMPL_Tab.10_Cod.931_Lin.0_Typ.Double_Extra.0</vt:lpstr>
      <vt:lpstr>'T15'!SIMPL_Tab.10_Cod.933_Lin.0_Typ.Double_Extra.0</vt:lpstr>
      <vt:lpstr>'T15'!SIMPL_Tab.10_Cod.934_Lin.0_Typ.Double_Extra.0</vt:lpstr>
      <vt:lpstr>'T15'!SIMPL_Tab.10_Cod.935_Lin.0_Typ.Double_Extra.0</vt:lpstr>
      <vt:lpstr>'T15'!SIMPL_Tab.10_Cod.937_Lin.0_Typ.Double_Extra.0</vt:lpstr>
      <vt:lpstr>'T15'!SIMPL_Tab.10_Cod.938_Lin.0_Typ.Double_Extra.0</vt:lpstr>
      <vt:lpstr>'T15'!SIMPL_Tab.10_Cod.939_Lin.0_Typ.Double_Extra.0</vt:lpstr>
      <vt:lpstr>'T15'!SIMPL_Tab.10_Cod.949_Lin.0_Typ.Double_Extra.0</vt:lpstr>
      <vt:lpstr>'T15'!SIMPL_Tab.10_Cod.950_Lin.0_Typ.Double_Extra.0</vt:lpstr>
      <vt:lpstr>'T15'!SIMPL_Tab.10_Cod.951_Lin.0_Typ.Double_Extra.0</vt:lpstr>
      <vt:lpstr>SIMPL_Tab.11_Cod.1000_Lin.0_Typ.Double_Extra.0</vt:lpstr>
      <vt:lpstr>SIMPL_Tab.11_Cod.1001_Lin.0_Typ.Double_Extra.0</vt:lpstr>
      <vt:lpstr>SIMPL_Tab.11_Cod.1002_Lin.0_Typ.Double_Extra.0</vt:lpstr>
      <vt:lpstr>SIMPL_Tab.11_Cod.1003_Lin.0_Typ.Double_Extra.0</vt:lpstr>
      <vt:lpstr>SIMPL_Tab.11_Cod.1004_Lin.0_Typ.Double_Extra.0</vt:lpstr>
      <vt:lpstr>SIMPL_Tab.11_Cod.1005_Lin.0_Typ.Double_Extra.0</vt:lpstr>
      <vt:lpstr>SIMPL_Tab.11_Cod.1006_Lin.0_Typ.Double_Extra.0</vt:lpstr>
      <vt:lpstr>SIMPL_Tab.11_Cod.10064_Lin.0_Typ.Double_Extra.0</vt:lpstr>
      <vt:lpstr>SIMPL_Tab.11_Cod.10065_Lin.0_Typ.Double_Extra.0</vt:lpstr>
      <vt:lpstr>SIMPL_Tab.11_Cod.10066_Lin.0_Typ.Double_Extra.0</vt:lpstr>
      <vt:lpstr>SIMPL_Tab.11_Cod.10067_Lin.0_Typ.Double_Extra.0</vt:lpstr>
      <vt:lpstr>SIMPL_Tab.11_Cod.10068_Lin.0_Typ.Double_Extra.0</vt:lpstr>
      <vt:lpstr>SIMPL_Tab.11_Cod.10069_Lin.0_Typ.Double_Extra.0</vt:lpstr>
      <vt:lpstr>SIMPL_Tab.11_Cod.1007_Lin.0_Typ.Double_Extra.0</vt:lpstr>
      <vt:lpstr>SIMPL_Tab.11_Cod.10070_Lin.0_Typ.Double_Extra.0</vt:lpstr>
      <vt:lpstr>SIMPL_Tab.11_Cod.10071_Lin.0_Typ.Double_Extra.0</vt:lpstr>
      <vt:lpstr>SIMPL_Tab.11_Cod.10073_Lin.0_Typ.Double_Extra.0</vt:lpstr>
      <vt:lpstr>SIMPL_Tab.11_Cod.10074_Lin.0_Typ.Double_Extra.0</vt:lpstr>
      <vt:lpstr>SIMPL_Tab.11_Cod.10075_Lin.0_Typ.Double_Extra.0</vt:lpstr>
      <vt:lpstr>SIMPL_Tab.11_Cod.10076_Lin.0_Typ.Double_Extra.0</vt:lpstr>
      <vt:lpstr>SIMPL_Tab.11_Cod.10077_Lin.0_Typ.Double_Extra.0</vt:lpstr>
      <vt:lpstr>SIMPL_Tab.11_Cod.10078_Lin.0_Typ.Double_Extra.0</vt:lpstr>
      <vt:lpstr>SIMPL_Tab.11_Cod.10079_Lin.0_Typ.Double_Extra.0</vt:lpstr>
      <vt:lpstr>SIMPL_Tab.11_Cod.1008_Lin.0_Typ.Double_Extra.0</vt:lpstr>
      <vt:lpstr>SIMPL_Tab.11_Cod.10080_Lin.0_Typ.Double_Extra.0</vt:lpstr>
      <vt:lpstr>SIMPL_Tab.11_Cod.10082_Lin.0_Typ.Double_Extra.0</vt:lpstr>
      <vt:lpstr>SIMPL_Tab.11_Cod.10083_Lin.0_Typ.Double_Extra.0</vt:lpstr>
      <vt:lpstr>SIMPL_Tab.11_Cod.10084_Lin.0_Typ.Double_Extra.0</vt:lpstr>
      <vt:lpstr>SIMPL_Tab.11_Cod.10085_Lin.0_Typ.Double_Extra.0</vt:lpstr>
      <vt:lpstr>SIMPL_Tab.11_Cod.10086_Lin.0_Typ.Double_Extra.0</vt:lpstr>
      <vt:lpstr>SIMPL_Tab.11_Cod.10087_Lin.0_Typ.Double_Extra.0</vt:lpstr>
      <vt:lpstr>SIMPL_Tab.11_Cod.10088_Lin.0_Typ.Double_Extra.0</vt:lpstr>
      <vt:lpstr>SIMPL_Tab.11_Cod.10089_Lin.0_Typ.Double_Extra.0</vt:lpstr>
      <vt:lpstr>SIMPL_Tab.11_Cod.1009_Lin.0_Typ.Double_Extra.0</vt:lpstr>
      <vt:lpstr>SIMPL_Tab.11_Cod.1010_Lin.0_Typ.Double_Extra.0</vt:lpstr>
      <vt:lpstr>SIMPL_Tab.11_Cod.1011_Lin.0_Typ.Double_Extra.0</vt:lpstr>
      <vt:lpstr>SIMPL_Tab.11_Cod.1012_Lin.0_Typ.Double_Extra.0</vt:lpstr>
      <vt:lpstr>SIMPL_Tab.11_Cod.1013_Lin.0_Typ.Double_Extra.0</vt:lpstr>
      <vt:lpstr>SIMPL_Tab.11_Cod.1014_Lin.0_Typ.Double_Extra.0</vt:lpstr>
      <vt:lpstr>SIMPL_Tab.11_Cod.1015_Lin.0_Typ.Double_Extra.0</vt:lpstr>
      <vt:lpstr>SIMPL_Tab.11_Cod.1016_Lin.0_Typ.Double_Extra.0</vt:lpstr>
      <vt:lpstr>SIMPL_Tab.11_Cod.1017_Lin.0_Typ.Double_Extra.0</vt:lpstr>
      <vt:lpstr>SIMPL_Tab.11_Cod.1018_Lin.0_Typ.Double_Extra.0</vt:lpstr>
      <vt:lpstr>SIMPL_Tab.11_Cod.1019_Lin.0_Typ.Double_Extra.0</vt:lpstr>
      <vt:lpstr>SIMPL_Tab.11_Cod.1020_Lin.0_Typ.Double_Extra.0</vt:lpstr>
      <vt:lpstr>SIMPL_Tab.11_Cod.1021_Lin.0_Typ.Double_Extra.0</vt:lpstr>
      <vt:lpstr>SIMPL_Tab.11_Cod.1022_Lin.0_Typ.Double_Extra.0</vt:lpstr>
      <vt:lpstr>SIMPL_Tab.11_Cod.1023_Lin.0_Typ.Double_Extra.0</vt:lpstr>
      <vt:lpstr>SIMPL_Tab.11_Cod.1024_Lin.0_Typ.Double_Extra.0</vt:lpstr>
      <vt:lpstr>SIMPL_Tab.11_Cod.1025_Lin.0_Typ.Double_Extra.0</vt:lpstr>
      <vt:lpstr>SIMPL_Tab.11_Cod.1026_Lin.0_Typ.Double_Extra.0</vt:lpstr>
      <vt:lpstr>SIMPL_Tab.11_Cod.1027_Lin.0_Typ.Double_Extra.0</vt:lpstr>
      <vt:lpstr>SIMPL_Tab.11_Cod.1028_Lin.0_Typ.Double_Extra.0</vt:lpstr>
      <vt:lpstr>SIMPL_Tab.11_Cod.1029_Lin.0_Typ.Double_Extra.0</vt:lpstr>
      <vt:lpstr>SIMPL_Tab.11_Cod.1030_Lin.0_Typ.Double_Extra.0</vt:lpstr>
      <vt:lpstr>SIMPL_Tab.11_Cod.1031_Lin.0_Typ.Double_Extra.0</vt:lpstr>
      <vt:lpstr>SIMPL_Tab.11_Cod.1032_Lin.0_Typ.Double_Extra.0</vt:lpstr>
      <vt:lpstr>SIMPL_Tab.11_Cod.1033_Lin.0_Typ.Double_Extra.0</vt:lpstr>
      <vt:lpstr>SIMPL_Tab.11_Cod.1034_Lin.0_Typ.Double_Extra.0</vt:lpstr>
      <vt:lpstr>SIMPL_Tab.11_Cod.1035_Lin.0_Typ.Double_Extra.0</vt:lpstr>
      <vt:lpstr>SIMPL_Tab.11_Cod.1036_Lin.0_Typ.Double_Extra.0</vt:lpstr>
      <vt:lpstr>SIMPL_Tab.11_Cod.1037_Lin.0_Typ.Double_Extra.0</vt:lpstr>
      <vt:lpstr>SIMPL_Tab.11_Cod.1038_Lin.0_Typ.Double_Extra.0</vt:lpstr>
      <vt:lpstr>SIMPL_Tab.11_Cod.1039_Lin.0_Typ.Double_Extra.0</vt:lpstr>
      <vt:lpstr>SIMPL_Tab.11_Cod.1040_Lin.0_Typ.Double_Extra.0</vt:lpstr>
      <vt:lpstr>SIMPL_Tab.11_Cod.1041_Lin.0_Typ.Double_Extra.0</vt:lpstr>
      <vt:lpstr>SIMPL_Tab.11_Cod.1042_Lin.0_Typ.Double_Extra.0</vt:lpstr>
      <vt:lpstr>SIMPL_Tab.11_Cod.1043_Lin.0_Typ.Double_Extra.0</vt:lpstr>
      <vt:lpstr>SIMPL_Tab.11_Cod.1044_Lin.0_Typ.Double_Extra.0</vt:lpstr>
      <vt:lpstr>SIMPL_Tab.11_Cod.1045_Lin.0_Typ.Double_Extra.0</vt:lpstr>
      <vt:lpstr>SIMPL_Tab.11_Cod.1046_Lin.0_Typ.Double_Extra.0</vt:lpstr>
      <vt:lpstr>SIMPL_Tab.11_Cod.1047_Lin.0_Typ.Double_Extra.0</vt:lpstr>
      <vt:lpstr>SIMPL_Tab.11_Cod.1048_Lin.0_Typ.Double_Extra.0</vt:lpstr>
      <vt:lpstr>SIMPL_Tab.11_Cod.1049_Lin.0_Typ.Double_Extra.0</vt:lpstr>
      <vt:lpstr>SIMPL_Tab.11_Cod.1050_Lin.0_Typ.Double_Extra.0</vt:lpstr>
      <vt:lpstr>SIMPL_Tab.11_Cod.1051_Lin.0_Typ.Double_Extra.0</vt:lpstr>
      <vt:lpstr>SIMPL_Tab.11_Cod.1052_Lin.0_Typ.Double_Extra.0</vt:lpstr>
      <vt:lpstr>SIMPL_Tab.11_Cod.1053_Lin.0_Typ.Double_Extra.0</vt:lpstr>
      <vt:lpstr>SIMPL_Tab.11_Cod.1054_Lin.0_Typ.Double_Extra.0</vt:lpstr>
      <vt:lpstr>SIMPL_Tab.11_Cod.1055_Lin.0_Typ.Double_Extra.0</vt:lpstr>
      <vt:lpstr>SIMPL_Tab.11_Cod.1056_Lin.0_Typ.Double_Extra.0</vt:lpstr>
      <vt:lpstr>SIMPL_Tab.11_Cod.1057_Lin.0_Typ.Double_Extra.0</vt:lpstr>
      <vt:lpstr>SIMPL_Tab.11_Cod.1058_Lin.0_Typ.Double_Extra.0</vt:lpstr>
      <vt:lpstr>SIMPL_Tab.11_Cod.1059_Lin.0_Typ.Double_Extra.0</vt:lpstr>
      <vt:lpstr>SIMPL_Tab.11_Cod.1060_Lin.0_Typ.Double_Extra.0</vt:lpstr>
      <vt:lpstr>SIMPL_Tab.11_Cod.1061_Lin.0_Typ.Double_Extra.0</vt:lpstr>
      <vt:lpstr>SIMPL_Tab.11_Cod.1062_Lin.0_Typ.Double_Extra.0</vt:lpstr>
      <vt:lpstr>SIMPL_Tab.11_Cod.1063_Lin.0_Typ.Double_Extra.0</vt:lpstr>
      <vt:lpstr>SIMPL_Tab.11_Cod.1064_Lin.0_Typ.Double_Extra.0</vt:lpstr>
      <vt:lpstr>SIMPL_Tab.11_Cod.1065_Lin.0_Typ.Double_Extra.0</vt:lpstr>
      <vt:lpstr>SIMPL_Tab.11_Cod.1066_Lin.0_Typ.Double_Extra.0</vt:lpstr>
      <vt:lpstr>SIMPL_Tab.11_Cod.1067_Lin.0_Typ.Double_Extra.0</vt:lpstr>
      <vt:lpstr>SIMPL_Tab.11_Cod.1068_Lin.0_Typ.Double_Extra.0</vt:lpstr>
      <vt:lpstr>SIMPL_Tab.11_Cod.1069_Lin.0_Typ.Double_Extra.0</vt:lpstr>
      <vt:lpstr>SIMPL_Tab.11_Cod.1070_Lin.0_Typ.Double_Extra.0</vt:lpstr>
      <vt:lpstr>SIMPL_Tab.11_Cod.1071_Lin.0_Typ.Double_Extra.0</vt:lpstr>
      <vt:lpstr>SIMPL_Tab.11_Cod.1072_Lin.0_Typ.Double_Extra.0</vt:lpstr>
      <vt:lpstr>SIMPL_Tab.11_Cod.1073_Lin.0_Typ.Double_Extra.0</vt:lpstr>
      <vt:lpstr>SIMPL_Tab.11_Cod.1074_Lin.0_Typ.Double_Extra.0</vt:lpstr>
      <vt:lpstr>SIMPL_Tab.11_Cod.1075_Lin.0_Typ.Double_Extra.0</vt:lpstr>
      <vt:lpstr>SIMPL_Tab.11_Cod.1076_Lin.0_Typ.Double_Extra.0</vt:lpstr>
      <vt:lpstr>SIMPL_Tab.11_Cod.1077_Lin.0_Typ.Double_Extra.0</vt:lpstr>
      <vt:lpstr>SIMPL_Tab.11_Cod.13505_Lin.1_Typ.Texte_Extra.0</vt:lpstr>
      <vt:lpstr>SIMPL_Tab.11_Cod.13505_Lin.2_Typ.Texte_Extra.0</vt:lpstr>
      <vt:lpstr>SIMPL_Tab.11_Cod.13505_Lin.3_Typ.Texte_Extra.0</vt:lpstr>
      <vt:lpstr>SIMPL_Tab.11_Cod.13506_Lin.1_Typ.Double_Extra.0</vt:lpstr>
      <vt:lpstr>SIMPL_Tab.11_Cod.13506_Lin.2_Typ.Double_Extra.0</vt:lpstr>
      <vt:lpstr>SIMPL_Tab.11_Cod.13506_Lin.3_Typ.Double_Extra.0</vt:lpstr>
      <vt:lpstr>SIMPL_Tab.11_Cod.13507_Lin.1_Typ.Double_Extra.0</vt:lpstr>
      <vt:lpstr>SIMPL_Tab.11_Cod.13507_Lin.2_Typ.Double_Extra.0</vt:lpstr>
      <vt:lpstr>SIMPL_Tab.11_Cod.13507_Lin.3_Typ.Double_Extra.0</vt:lpstr>
      <vt:lpstr>SIMPL_Tab.11_Cod.13508_Lin.1_Typ.Double_Extra.0</vt:lpstr>
      <vt:lpstr>SIMPL_Tab.11_Cod.13508_Lin.2_Typ.Double_Extra.0</vt:lpstr>
      <vt:lpstr>SIMPL_Tab.11_Cod.13508_Lin.3_Typ.Double_Extra.0</vt:lpstr>
      <vt:lpstr>SIMPL_Tab.11_Cod.13509_Lin.1_Typ.Double_Extra.0</vt:lpstr>
      <vt:lpstr>SIMPL_Tab.11_Cod.13509_Lin.2_Typ.Double_Extra.0</vt:lpstr>
      <vt:lpstr>SIMPL_Tab.11_Cod.13509_Lin.3_Typ.Double_Extra.0</vt:lpstr>
      <vt:lpstr>SIMPL_Tab.11_Cod.13510_Lin.1_Typ.Double_Extra.0</vt:lpstr>
      <vt:lpstr>SIMPL_Tab.11_Cod.13510_Lin.2_Typ.Double_Extra.0</vt:lpstr>
      <vt:lpstr>SIMPL_Tab.11_Cod.13510_Lin.3_Typ.Double_Extra.0</vt:lpstr>
      <vt:lpstr>SIMPL_Tab.11_Cod.13511_Lin.1_Typ.Double_Extra.0</vt:lpstr>
      <vt:lpstr>SIMPL_Tab.11_Cod.13511_Lin.2_Typ.Double_Extra.0</vt:lpstr>
      <vt:lpstr>SIMPL_Tab.11_Cod.13511_Lin.3_Typ.Double_Extra.0</vt:lpstr>
      <vt:lpstr>SIMPL_Tab.11_Cod.13512_Lin.1_Typ.Double_Extra.0</vt:lpstr>
      <vt:lpstr>SIMPL_Tab.11_Cod.13512_Lin.2_Typ.Double_Extra.0</vt:lpstr>
      <vt:lpstr>SIMPL_Tab.11_Cod.13512_Lin.3_Typ.Double_Extra.0</vt:lpstr>
      <vt:lpstr>SIMPL_Tab.11_Cod.13513_Lin.1_Typ.Double_Extra.0</vt:lpstr>
      <vt:lpstr>SIMPL_Tab.11_Cod.13513_Lin.2_Typ.Double_Extra.0</vt:lpstr>
      <vt:lpstr>SIMPL_Tab.11_Cod.13513_Lin.3_Typ.Double_Extra.0</vt:lpstr>
      <vt:lpstr>SIMPL_Tab.11_Cod.14045_Lin.0_Typ.Double_Extra.0</vt:lpstr>
      <vt:lpstr>SIMPL_Tab.11_Cod.14046_Lin.0_Typ.Double_Extra.0</vt:lpstr>
      <vt:lpstr>SIMPL_Tab.11_Cod.14047_Lin.0_Typ.Double_Extra.0</vt:lpstr>
      <vt:lpstr>SIMPL_Tab.11_Cod.14048_Lin.0_Typ.Double_Extra.0</vt:lpstr>
      <vt:lpstr>SIMPL_Tab.11_Cod.14049_Lin.0_Typ.Double_Extra.0</vt:lpstr>
      <vt:lpstr>SIMPL_Tab.11_Cod.14050_Lin.0_Typ.Double_Extra.0</vt:lpstr>
      <vt:lpstr>SIMPL_Tab.11_Cod.14051_Lin.0_Typ.Double_Extra.0</vt:lpstr>
      <vt:lpstr>SIMPL_Tab.11_Cod.14052_Lin.0_Typ.Double_Extra.0</vt:lpstr>
      <vt:lpstr>SIMPL_Tab.11_Cod.966_Lin.0_Typ.Double_Extra.0</vt:lpstr>
      <vt:lpstr>SIMPL_Tab.11_Cod.967_Lin.0_Typ.Double_Extra.0</vt:lpstr>
      <vt:lpstr>SIMPL_Tab.11_Cod.968_Lin.0_Typ.Double_Extra.0</vt:lpstr>
      <vt:lpstr>SIMPL_Tab.11_Cod.969_Lin.0_Typ.Double_Extra.0</vt:lpstr>
      <vt:lpstr>SIMPL_Tab.11_Cod.970_Lin.0_Typ.Double_Extra.0</vt:lpstr>
      <vt:lpstr>SIMPL_Tab.11_Cod.971_Lin.0_Typ.Double_Extra.0</vt:lpstr>
      <vt:lpstr>SIMPL_Tab.11_Cod.972_Lin.0_Typ.Double_Extra.0</vt:lpstr>
      <vt:lpstr>SIMPL_Tab.11_Cod.973_Lin.0_Typ.Double_Extra.0</vt:lpstr>
      <vt:lpstr>SIMPL_Tab.11_Cod.974_Lin.0_Typ.Double_Extra.0</vt:lpstr>
      <vt:lpstr>SIMPL_Tab.11_Cod.975_Lin.0_Typ.Double_Extra.0</vt:lpstr>
      <vt:lpstr>SIMPL_Tab.11_Cod.976_Lin.0_Typ.Double_Extra.0</vt:lpstr>
      <vt:lpstr>SIMPL_Tab.11_Cod.977_Lin.0_Typ.Double_Extra.0</vt:lpstr>
      <vt:lpstr>SIMPL_Tab.11_Cod.978_Lin.0_Typ.Double_Extra.0</vt:lpstr>
      <vt:lpstr>SIMPL_Tab.11_Cod.979_Lin.0_Typ.Double_Extra.0</vt:lpstr>
      <vt:lpstr>SIMPL_Tab.11_Cod.980_Lin.0_Typ.Double_Extra.0</vt:lpstr>
      <vt:lpstr>SIMPL_Tab.11_Cod.981_Lin.0_Typ.Double_Extra.0</vt:lpstr>
      <vt:lpstr>SIMPL_Tab.11_Cod.982_Lin.0_Typ.Double_Extra.0</vt:lpstr>
      <vt:lpstr>SIMPL_Tab.11_Cod.983_Lin.0_Typ.Double_Extra.0</vt:lpstr>
      <vt:lpstr>SIMPL_Tab.11_Cod.984_Lin.0_Typ.Double_Extra.0</vt:lpstr>
      <vt:lpstr>SIMPL_Tab.11_Cod.985_Lin.0_Typ.Double_Extra.0</vt:lpstr>
      <vt:lpstr>SIMPL_Tab.11_Cod.986_Lin.0_Typ.Double_Extra.0</vt:lpstr>
      <vt:lpstr>SIMPL_Tab.11_Cod.987_Lin.0_Typ.Double_Extra.0</vt:lpstr>
      <vt:lpstr>SIMPL_Tab.11_Cod.988_Lin.0_Typ.Double_Extra.0</vt:lpstr>
      <vt:lpstr>SIMPL_Tab.11_Cod.989_Lin.0_Typ.Double_Extra.0</vt:lpstr>
      <vt:lpstr>SIMPL_Tab.11_Cod.990_Lin.0_Typ.Double_Extra.0</vt:lpstr>
      <vt:lpstr>SIMPL_Tab.11_Cod.991_Lin.0_Typ.Double_Extra.0</vt:lpstr>
      <vt:lpstr>SIMPL_Tab.11_Cod.992_Lin.0_Typ.Double_Extra.0</vt:lpstr>
      <vt:lpstr>SIMPL_Tab.11_Cod.993_Lin.0_Typ.Double_Extra.0</vt:lpstr>
      <vt:lpstr>SIMPL_Tab.11_Cod.994_Lin.0_Typ.Double_Extra.0</vt:lpstr>
      <vt:lpstr>SIMPL_Tab.11_Cod.995_Lin.0_Typ.Double_Extra.0</vt:lpstr>
      <vt:lpstr>SIMPL_Tab.11_Cod.996_Lin.0_Typ.Double_Extra.0</vt:lpstr>
      <vt:lpstr>SIMPL_Tab.11_Cod.997_Lin.0_Typ.Double_Extra.0</vt:lpstr>
      <vt:lpstr>SIMPL_Tab.11_Cod.998_Lin.0_Typ.Double_Extra.0</vt:lpstr>
      <vt:lpstr>SIMPL_Tab.11_Cod.999_Lin.0_Typ.Double_Extra.0</vt:lpstr>
      <vt:lpstr>SIMPL_Tab.12_Cod.1088_Lin.0_Typ.Double_Extra.0</vt:lpstr>
      <vt:lpstr>SIMPL_Tab.12_Cod.1089_Lin.0_Typ.Double_Extra.0</vt:lpstr>
      <vt:lpstr>SIMPL_Tab.12_Cod.1090_Lin.0_Typ.Double_Extra.0</vt:lpstr>
      <vt:lpstr>SIMPL_Tab.12_Cod.1093_Lin.0_Typ.Double_Extra.0</vt:lpstr>
      <vt:lpstr>SIMPL_Tab.12_Cod.1094_Lin.0_Typ.Double_Extra.0</vt:lpstr>
      <vt:lpstr>SIMPL_Tab.12_Cod.22_Lin.0_Typ.Double_Extra.1</vt:lpstr>
      <vt:lpstr>SIMPL_Tab.12_Cod.50_Lin.0_Typ.Date_Extra.1</vt:lpstr>
      <vt:lpstr>SIMPL_Tab.12_Cod.51_Lin.0_Typ.Date_Extra.1</vt:lpstr>
      <vt:lpstr>SIMPL_Tab.12_Cod.52_Lin.0_Typ.Date_Extra.1</vt:lpstr>
      <vt:lpstr>SIMPL_Tab.2_Cod.122_Lin.0_Typ.Double_Extra.0</vt:lpstr>
      <vt:lpstr>SIMPL_Tab.2_Cod.123_Lin.0_Typ.Double_Extra.0</vt:lpstr>
      <vt:lpstr>SIMPL_Tab.2_Cod.124_Lin.0_Typ.Double_Extra.0</vt:lpstr>
      <vt:lpstr>SIMPL_Tab.2_Cod.125_Lin.0_Typ.Double_Extra.0</vt:lpstr>
      <vt:lpstr>SIMPL_Tab.2_Cod.126_Lin.0_Typ.Double_Extra.0</vt:lpstr>
      <vt:lpstr>SIMPL_Tab.2_Cod.127_Lin.0_Typ.Double_Extra.0</vt:lpstr>
      <vt:lpstr>SIMPL_Tab.2_Cod.128_Lin.0_Typ.Double_Extra.0</vt:lpstr>
      <vt:lpstr>SIMPL_Tab.2_Cod.129_Lin.0_Typ.Double_Extra.0</vt:lpstr>
      <vt:lpstr>SIMPL_Tab.2_Cod.130_Lin.0_Typ.Double_Extra.0</vt:lpstr>
      <vt:lpstr>SIMPL_Tab.2_Cod.131_Lin.0_Typ.Double_Extra.0</vt:lpstr>
      <vt:lpstr>SIMPL_Tab.2_Cod.132_Lin.0_Typ.Double_Extra.0</vt:lpstr>
      <vt:lpstr>SIMPL_Tab.2_Cod.133_Lin.0_Typ.Double_Extra.0</vt:lpstr>
      <vt:lpstr>SIMPL_Tab.2_Cod.134_Lin.0_Typ.Double_Extra.0</vt:lpstr>
      <vt:lpstr>SIMPL_Tab.2_Cod.135_Lin.0_Typ.Double_Extra.0</vt:lpstr>
      <vt:lpstr>SIMPL_Tab.2_Cod.136_Lin.0_Typ.Double_Extra.0</vt:lpstr>
      <vt:lpstr>SIMPL_Tab.2_Cod.137_Lin.0_Typ.Double_Extra.0</vt:lpstr>
      <vt:lpstr>SIMPL_Tab.2_Cod.138_Lin.0_Typ.Double_Extra.0</vt:lpstr>
      <vt:lpstr>SIMPL_Tab.2_Cod.139_Lin.0_Typ.Double_Extra.0</vt:lpstr>
      <vt:lpstr>SIMPL_Tab.2_Cod.140_Lin.0_Typ.Double_Extra.0</vt:lpstr>
      <vt:lpstr>SIMPL_Tab.2_Cod.141_Lin.0_Typ.Double_Extra.0</vt:lpstr>
      <vt:lpstr>SIMPL_Tab.2_Cod.142_Lin.0_Typ.Double_Extra.0</vt:lpstr>
      <vt:lpstr>SIMPL_Tab.2_Cod.143_Lin.0_Typ.Double_Extra.0</vt:lpstr>
      <vt:lpstr>SIMPL_Tab.2_Cod.144_Lin.0_Typ.Double_Extra.0</vt:lpstr>
      <vt:lpstr>SIMPL_Tab.2_Cod.145_Lin.0_Typ.Double_Extra.0</vt:lpstr>
      <vt:lpstr>SIMPL_Tab.2_Cod.146_Lin.0_Typ.Double_Extra.0</vt:lpstr>
      <vt:lpstr>SIMPL_Tab.2_Cod.147_Lin.0_Typ.Double_Extra.0</vt:lpstr>
      <vt:lpstr>SIMPL_Tab.2_Cod.148_Lin.0_Typ.Double_Extra.0</vt:lpstr>
      <vt:lpstr>SIMPL_Tab.2_Cod.149_Lin.0_Typ.Double_Extra.0</vt:lpstr>
      <vt:lpstr>SIMPL_Tab.2_Cod.151_Lin.0_Typ.Double_Extra.0</vt:lpstr>
      <vt:lpstr>SIMPL_Tab.2_Cod.152_Lin.0_Typ.Double_Extra.0</vt:lpstr>
      <vt:lpstr>SIMPL_Tab.2_Cod.153_Lin.0_Typ.Double_Extra.0</vt:lpstr>
      <vt:lpstr>SIMPL_Tab.2_Cod.154_Lin.0_Typ.Double_Extra.0</vt:lpstr>
      <vt:lpstr>SIMPL_Tab.2_Cod.160_Lin.0_Typ.Double_Extra.0</vt:lpstr>
      <vt:lpstr>SIMPL_Tab.2_Cod.161_Lin.0_Typ.Double_Extra.0</vt:lpstr>
      <vt:lpstr>SIMPL_Tab.2_Cod.162_Lin.0_Typ.Double_Extra.0</vt:lpstr>
      <vt:lpstr>SIMPL_Tab.2_Cod.163_Lin.0_Typ.Double_Extra.0</vt:lpstr>
      <vt:lpstr>SIMPL_Tab.2_Cod.164_Lin.0_Typ.Double_Extra.0</vt:lpstr>
      <vt:lpstr>SIMPL_Tab.2_Cod.165_Lin.0_Typ.Double_Extra.0</vt:lpstr>
      <vt:lpstr>SIMPL_Tab.2_Cod.166_Lin.0_Typ.Double_Extra.0</vt:lpstr>
      <vt:lpstr>SIMPL_Tab.2_Cod.167_Lin.0_Typ.Double_Extra.0</vt:lpstr>
      <vt:lpstr>SIMPL_Tab.2_Cod.168_Lin.0_Typ.Double_Extra.0</vt:lpstr>
      <vt:lpstr>SIMPL_Tab.2_Cod.169_Lin.0_Typ.Double_Extra.0</vt:lpstr>
      <vt:lpstr>SIMPL_Tab.2_Cod.170_Lin.0_Typ.Double_Extra.0</vt:lpstr>
      <vt:lpstr>SIMPL_Tab.2_Cod.171_Lin.0_Typ.Double_Extra.0</vt:lpstr>
      <vt:lpstr>SIMPL_Tab.2_Cod.172_Lin.0_Typ.Double_Extra.0</vt:lpstr>
      <vt:lpstr>SIMPL_Tab.2_Cod.173_Lin.0_Typ.Double_Extra.0</vt:lpstr>
      <vt:lpstr>SIMPL_Tab.2_Cod.174_Lin.0_Typ.Double_Extra.0</vt:lpstr>
      <vt:lpstr>SIMPL_Tab.2_Cod.175_Lin.0_Typ.Double_Extra.0</vt:lpstr>
      <vt:lpstr>SIMPL_Tab.2_Cod.176_Lin.0_Typ.Double_Extra.0</vt:lpstr>
      <vt:lpstr>SIMPL_Tab.2_Cod.177_Lin.0_Typ.Double_Extra.0</vt:lpstr>
      <vt:lpstr>SIMPL_Tab.2_Cod.178_Lin.0_Typ.Double_Extra.0</vt:lpstr>
      <vt:lpstr>SIMPL_Tab.2_Cod.179_Lin.0_Typ.Double_Extra.0</vt:lpstr>
      <vt:lpstr>SIMPL_Tab.2_Cod.181_Lin.0_Typ.Double_Extra.0</vt:lpstr>
      <vt:lpstr>SIMPL_Tab.2_Cod.182_Lin.0_Typ.Double_Extra.0</vt:lpstr>
      <vt:lpstr>SIMPL_Tab.2_Cod.183_Lin.0_Typ.Double_Extra.0</vt:lpstr>
      <vt:lpstr>SIMPL_Tab.2_Cod.184_Lin.0_Typ.Double_Extra.0</vt:lpstr>
      <vt:lpstr>SIMPL_Tab.2_Cod.186_Lin.0_Typ.Double_Extra.0</vt:lpstr>
      <vt:lpstr>SIMPL_Tab.2_Cod.187_Lin.0_Typ.Double_Extra.0</vt:lpstr>
      <vt:lpstr>SIMPL_Tab.2_Cod.188_Lin.0_Typ.Double_Extra.0</vt:lpstr>
      <vt:lpstr>SIMPL_Tab.2_Cod.189_Lin.0_Typ.Double_Extra.0</vt:lpstr>
      <vt:lpstr>SIMPL_Tab.2_Cod.192_Lin.0_Typ.Double_Extra.0</vt:lpstr>
      <vt:lpstr>SIMPL_Tab.2_Cod.193_Lin.0_Typ.Double_Extra.0</vt:lpstr>
      <vt:lpstr>SIMPL_Tab.2_Cod.194_Lin.0_Typ.Double_Extra.0</vt:lpstr>
      <vt:lpstr>SIMPL_Tab.2_Cod.195_Lin.0_Typ.Double_Extra.0</vt:lpstr>
      <vt:lpstr>SIMPL_Tab.2_Cod.196_Lin.0_Typ.Double_Extra.0</vt:lpstr>
      <vt:lpstr>SIMPL_Tab.2_Cod.197_Lin.0_Typ.Double_Extra.0</vt:lpstr>
      <vt:lpstr>SIMPL_Tab.2_Cod.198_Lin.0_Typ.Double_Extra.0</vt:lpstr>
      <vt:lpstr>SIMPL_Tab.2_Cod.199_Lin.0_Typ.Double_Extra.0</vt:lpstr>
      <vt:lpstr>SIMPL_Tab.2_Cod.207_Lin.0_Typ.Double_Extra.0</vt:lpstr>
      <vt:lpstr>SIMPL_Tab.2_Cod.208_Lin.0_Typ.Double_Extra.0</vt:lpstr>
      <vt:lpstr>SIMPL_Tab.2_Cod.209_Lin.0_Typ.Double_Extra.0</vt:lpstr>
      <vt:lpstr>SIMPL_Tab.2_Cod.210_Lin.0_Typ.Double_Extra.0</vt:lpstr>
      <vt:lpstr>SIMPL_Tab.2_Cod.211_Lin.0_Typ.Double_Extra.0</vt:lpstr>
      <vt:lpstr>SIMPL_Tab.2_Cod.212_Lin.0_Typ.Double_Extra.0</vt:lpstr>
      <vt:lpstr>SIMPL_Tab.2_Cod.213_Lin.0_Typ.Double_Extra.0</vt:lpstr>
      <vt:lpstr>SIMPL_Tab.2_Cod.214_Lin.0_Typ.Double_Extra.0</vt:lpstr>
      <vt:lpstr>SIMPL_Tab.2_Cod.215_Lin.0_Typ.Double_Extra.0</vt:lpstr>
      <vt:lpstr>SIMPL_Tab.2_Cod.216_Lin.0_Typ.Double_Extra.0</vt:lpstr>
      <vt:lpstr>SIMPL_Tab.2_Cod.217_Lin.0_Typ.Double_Extra.0</vt:lpstr>
      <vt:lpstr>SIMPL_Tab.2_Cod.218_Lin.0_Typ.Double_Extra.0</vt:lpstr>
      <vt:lpstr>SIMPL_Tab.2_Cod.219_Lin.0_Typ.Double_Extra.0</vt:lpstr>
      <vt:lpstr>SIMPL_Tab.2_Cod.220_Lin.0_Typ.Double_Extra.0</vt:lpstr>
      <vt:lpstr>SIMPL_Tab.2_Cod.221_Lin.0_Typ.Double_Extra.0</vt:lpstr>
      <vt:lpstr>SIMPL_Tab.2_Cod.222_Lin.0_Typ.Double_Extra.0</vt:lpstr>
      <vt:lpstr>SIMPL_Tab.2_Cod.223_Lin.0_Typ.Double_Extra.0</vt:lpstr>
      <vt:lpstr>SIMPL_Tab.2_Cod.224_Lin.0_Typ.Double_Extra.0</vt:lpstr>
      <vt:lpstr>SIMPL_Tab.2_Cod.225_Lin.0_Typ.Double_Extra.0</vt:lpstr>
      <vt:lpstr>SIMPL_Tab.2_Cod.226_Lin.0_Typ.Double_Extra.0</vt:lpstr>
      <vt:lpstr>SIMPL_Tab.2_Cod.227_Lin.0_Typ.Double_Extra.0</vt:lpstr>
      <vt:lpstr>SIMPL_Tab.2_Cod.228_Lin.0_Typ.Double_Extra.0</vt:lpstr>
      <vt:lpstr>SIMPL_Tab.2_Cod.229_Lin.0_Typ.Double_Extra.0</vt:lpstr>
      <vt:lpstr>SIMPL_Tab.2_Cod.230_Lin.0_Typ.Double_Extra.0</vt:lpstr>
      <vt:lpstr>SIMPL_Tab.2_Cod.231_Lin.0_Typ.Double_Extra.0</vt:lpstr>
      <vt:lpstr>SIMPL_Tab.2_Cod.232_Lin.0_Typ.Double_Extra.0</vt:lpstr>
      <vt:lpstr>SIMPL_Tab.2_Cod.233_Lin.0_Typ.Double_Extra.0</vt:lpstr>
      <vt:lpstr>SIMPL_Tab.2_Cod.234_Lin.0_Typ.Double_Extra.0</vt:lpstr>
      <vt:lpstr>SIMPL_Tab.2_Cod.238_Lin.0_Typ.Double_Extra.0</vt:lpstr>
      <vt:lpstr>SIMPL_Tab.2_Cod.239_Lin.0_Typ.Double_Extra.0</vt:lpstr>
      <vt:lpstr>SIMPL_Tab.2_Cod.240_Lin.0_Typ.Double_Extra.0</vt:lpstr>
      <vt:lpstr>SIMPL_Tab.2_Cod.241_Lin.0_Typ.Double_Extra.0</vt:lpstr>
      <vt:lpstr>SIMPL_Tab.2_Cod.242_Lin.0_Typ.Double_Extra.0</vt:lpstr>
      <vt:lpstr>SIMPL_Tab.2_Cod.243_Lin.0_Typ.Double_Extra.0</vt:lpstr>
      <vt:lpstr>SIMPL_Tab.2_Cod.244_Lin.0_Typ.Double_Extra.0</vt:lpstr>
      <vt:lpstr>SIMPL_Tab.2_Cod.245_Lin.0_Typ.Double_Extra.0</vt:lpstr>
      <vt:lpstr>SIMPL_Tab.2_Cod.246_Lin.0_Typ.Double_Extra.0</vt:lpstr>
      <vt:lpstr>SIMPL_Tab.2_Cod.247_Lin.0_Typ.Double_Extra.0</vt:lpstr>
      <vt:lpstr>SIMPL_Tab.2_Cod.248_Lin.0_Typ.Double_Extra.0</vt:lpstr>
      <vt:lpstr>SIMPL_Tab.2_Cod.249_Lin.0_Typ.Double_Extra.0</vt:lpstr>
      <vt:lpstr>SIMPL_Tab.2_Cod.254_Lin.0_Typ.Double_Extra.0</vt:lpstr>
      <vt:lpstr>SIMPL_Tab.2_Cod.255_Lin.0_Typ.Double_Extra.0</vt:lpstr>
      <vt:lpstr>SIMPL_Tab.2_Cod.256_Lin.0_Typ.Double_Extra.0</vt:lpstr>
      <vt:lpstr>SIMPL_Tab.2_Cod.257_Lin.0_Typ.Double_Extra.0</vt:lpstr>
      <vt:lpstr>SIMPL_Tab.2_Cod.258_Lin.0_Typ.Double_Extra.0</vt:lpstr>
      <vt:lpstr>SIMPL_Tab.2_Cod.259_Lin.0_Typ.Double_Extra.0</vt:lpstr>
      <vt:lpstr>SIMPL_Tab.2_Cod.260_Lin.0_Typ.Double_Extra.0</vt:lpstr>
      <vt:lpstr>SIMPL_Tab.2_Cod.261_Lin.0_Typ.Double_Extra.0</vt:lpstr>
      <vt:lpstr>SIMPL_Tab.2_Cod.262_Lin.0_Typ.Double_Extra.0</vt:lpstr>
      <vt:lpstr>SIMPL_Tab.2_Cod.263_Lin.0_Typ.Double_Extra.0</vt:lpstr>
      <vt:lpstr>SIMPL_Tab.2_Cod.264_Lin.0_Typ.Double_Extra.0</vt:lpstr>
      <vt:lpstr>SIMPL_Tab.2_Cod.265_Lin.0_Typ.Double_Extra.0</vt:lpstr>
      <vt:lpstr>SIMPL_Tab.2_Cod.266_Lin.0_Typ.Double_Extra.0</vt:lpstr>
      <vt:lpstr>SIMPL_Tab.2_Cod.267_Lin.0_Typ.Double_Extra.0</vt:lpstr>
      <vt:lpstr>SIMPL_Tab.2_Cod.268_Lin.0_Typ.Double_Extra.0</vt:lpstr>
      <vt:lpstr>SIMPL_Tab.2_Cod.269_Lin.0_Typ.Double_Extra.0</vt:lpstr>
      <vt:lpstr>SIMPL_Tab.2_Cod.274_Lin.0_Typ.Double_Extra.0</vt:lpstr>
      <vt:lpstr>SIMPL_Tab.2_Cod.275_Lin.0_Typ.Double_Extra.0</vt:lpstr>
      <vt:lpstr>SIMPL_Tab.2_Cod.276_Lin.0_Typ.Double_Extra.0</vt:lpstr>
      <vt:lpstr>SIMPL_Tab.2_Cod.277_Lin.0_Typ.Double_Extra.0</vt:lpstr>
      <vt:lpstr>SIMPL_Tab.2_Cod.278_Lin.0_Typ.Double_Extra.0</vt:lpstr>
      <vt:lpstr>SIMPL_Tab.2_Cod.279_Lin.0_Typ.Double_Extra.0</vt:lpstr>
      <vt:lpstr>SIMPL_Tab.2_Cod.280_Lin.0_Typ.Double_Extra.0</vt:lpstr>
      <vt:lpstr>SIMPL_Tab.2_Cod.281_Lin.0_Typ.Double_Extra.0</vt:lpstr>
      <vt:lpstr>SIMPL_Tab.2_Cod.282_Lin.0_Typ.Double_Extra.0</vt:lpstr>
      <vt:lpstr>SIMPL_Tab.2_Cod.283_Lin.0_Typ.Double_Extra.0</vt:lpstr>
      <vt:lpstr>SIMPL_Tab.2_Cod.284_Lin.0_Typ.Double_Extra.0</vt:lpstr>
      <vt:lpstr>SIMPL_Tab.2_Cod.285_Lin.0_Typ.Double_Extra.0</vt:lpstr>
      <vt:lpstr>SIMPL_Tab.2_Cod.286_Lin.0_Typ.Double_Extra.0</vt:lpstr>
      <vt:lpstr>SIMPL_Tab.2_Cod.287_Lin.0_Typ.Double_Extra.0</vt:lpstr>
      <vt:lpstr>SIMPL_Tab.2_Cod.288_Lin.0_Typ.Double_Extra.0</vt:lpstr>
      <vt:lpstr>SIMPL_Tab.2_Cod.289_Lin.0_Typ.Double_Extra.0</vt:lpstr>
      <vt:lpstr>SIMPL_Tab.2_Cod.291_Lin.0_Typ.Double_Extra.0</vt:lpstr>
      <vt:lpstr>SIMPL_Tab.2_Cod.292_Lin.0_Typ.Double_Extra.0</vt:lpstr>
      <vt:lpstr>SIMPL_Tab.2_Cod.293_Lin.0_Typ.Double_Extra.0</vt:lpstr>
      <vt:lpstr>SIMPL_Tab.2_Cod.294_Lin.0_Typ.Double_Extra.0</vt:lpstr>
      <vt:lpstr>SIMPL_Tab.2_Cod.296_Lin.0_Typ.Double_Extra.0</vt:lpstr>
      <vt:lpstr>SIMPL_Tab.2_Cod.297_Lin.0_Typ.Double_Extra.0</vt:lpstr>
      <vt:lpstr>SIMPL_Tab.2_Cod.298_Lin.0_Typ.Double_Extra.0</vt:lpstr>
      <vt:lpstr>SIMPL_Tab.2_Cod.299_Lin.0_Typ.Double_Extra.0</vt:lpstr>
      <vt:lpstr>SIMPL_Tab.2_Cod.303_Lin.0_Typ.Double_Extra.0</vt:lpstr>
      <vt:lpstr>SIMPL_Tab.2_Cod.304_Lin.0_Typ.Double_Extra.0</vt:lpstr>
      <vt:lpstr>SIMPL_Tab.2_Cod.305_Lin.0_Typ.Double_Extra.0</vt:lpstr>
      <vt:lpstr>SIMPL_Tab.2_Cod.306_Lin.0_Typ.Double_Extra.0</vt:lpstr>
      <vt:lpstr>SIMPL_Tab.2_Cod.307_Lin.0_Typ.Double_Extra.0</vt:lpstr>
      <vt:lpstr>SIMPL_Tab.2_Cod.308_Lin.0_Typ.Double_Extra.0</vt:lpstr>
      <vt:lpstr>SIMPL_Tab.2_Cod.309_Lin.0_Typ.Double_Extra.0</vt:lpstr>
      <vt:lpstr>SIMPL_Tab.2_Cod.310_Lin.0_Typ.Double_Extra.0</vt:lpstr>
      <vt:lpstr>SIMPL_Tab.2_Cod.311_Lin.0_Typ.Double_Extra.0</vt:lpstr>
      <vt:lpstr>SIMPL_Tab.2_Cod.312_Lin.0_Typ.Double_Extra.0</vt:lpstr>
      <vt:lpstr>SIMPL_Tab.2_Cod.313_Lin.0_Typ.Double_Extra.0</vt:lpstr>
      <vt:lpstr>SIMPL_Tab.2_Cod.314_Lin.0_Typ.Double_Extra.0</vt:lpstr>
      <vt:lpstr>SIMPL_Tab.2_Cod.316_Lin.0_Typ.Double_Extra.0</vt:lpstr>
      <vt:lpstr>SIMPL_Tab.2_Cod.317_Lin.0_Typ.Double_Extra.0</vt:lpstr>
      <vt:lpstr>SIMPL_Tab.2_Cod.318_Lin.0_Typ.Double_Extra.0</vt:lpstr>
      <vt:lpstr>SIMPL_Tab.2_Cod.319_Lin.0_Typ.Double_Extra.0</vt:lpstr>
      <vt:lpstr>SIMPL_Tab.2_Cod.497_Lin.0_Typ.Double_Extra.0</vt:lpstr>
      <vt:lpstr>SIMPL_Tab.2_Cod.498_Lin.0_Typ.Double_Extra.0</vt:lpstr>
      <vt:lpstr>SIMPL_Tab.2_Cod.499_Lin.0_Typ.Double_Extra.0</vt:lpstr>
      <vt:lpstr>SIMPL_Tab.2_Cod.500_Lin.0_Typ.Double_Extra.0</vt:lpstr>
      <vt:lpstr>SIMPL_Tab.2_Cod.502_Lin.0_Typ.Double_Extra.0</vt:lpstr>
      <vt:lpstr>SIMPL_Tab.2_Cod.503_Lin.0_Typ.Double_Extra.0</vt:lpstr>
      <vt:lpstr>SIMPL_Tab.2_Cod.504_Lin.0_Typ.Double_Extra.0</vt:lpstr>
      <vt:lpstr>SIMPL_Tab.2_Cod.505_Lin.0_Typ.Double_Extra.0</vt:lpstr>
      <vt:lpstr>SIMPL_Tab.2_Cod.507_Lin.0_Typ.Double_Extra.0</vt:lpstr>
      <vt:lpstr>SIMPL_Tab.2_Cod.508_Lin.0_Typ.Double_Extra.0</vt:lpstr>
      <vt:lpstr>SIMPL_Tab.2_Cod.509_Lin.0_Typ.Double_Extra.0</vt:lpstr>
      <vt:lpstr>SIMPL_Tab.2_Cod.510_Lin.0_Typ.Double_Extra.0</vt:lpstr>
      <vt:lpstr>SIMPL_Tab.2_Cod.512_Lin.0_Typ.Double_Extra.0</vt:lpstr>
      <vt:lpstr>SIMPL_Tab.2_Cod.513_Lin.0_Typ.Double_Extra.0</vt:lpstr>
      <vt:lpstr>SIMPL_Tab.2_Cod.514_Lin.0_Typ.Double_Extra.0</vt:lpstr>
      <vt:lpstr>SIMPL_Tab.2_Cod.515_Lin.0_Typ.Double_Extra.0</vt:lpstr>
      <vt:lpstr>SIMPL_Tab.2_Cod.517_Lin.0_Typ.Double_Extra.0</vt:lpstr>
      <vt:lpstr>SIMPL_Tab.2_Cod.518_Lin.0_Typ.Double_Extra.0</vt:lpstr>
      <vt:lpstr>SIMPL_Tab.2_Cod.519_Lin.0_Typ.Double_Extra.0</vt:lpstr>
      <vt:lpstr>SIMPL_Tab.2_Cod.520_Lin.0_Typ.Double_Extra.0</vt:lpstr>
      <vt:lpstr>SIMPL_Tab.2_Cod.522_Lin.0_Typ.Double_Extra.0</vt:lpstr>
      <vt:lpstr>SIMPL_Tab.2_Cod.523_Lin.0_Typ.Double_Extra.0</vt:lpstr>
      <vt:lpstr>SIMPL_Tab.2_Cod.524_Lin.0_Typ.Double_Extra.0</vt:lpstr>
      <vt:lpstr>SIMPL_Tab.2_Cod.525_Lin.0_Typ.Double_Extra.0</vt:lpstr>
      <vt:lpstr>SIMPL_Tab.2_Cod.527_Lin.0_Typ.Double_Extra.0</vt:lpstr>
      <vt:lpstr>SIMPL_Tab.2_Cod.528_Lin.0_Typ.Double_Extra.0</vt:lpstr>
      <vt:lpstr>SIMPL_Tab.2_Cod.529_Lin.0_Typ.Double_Extra.0</vt:lpstr>
      <vt:lpstr>SIMPL_Tab.2_Cod.530_Lin.0_Typ.Double_Extra.0</vt:lpstr>
      <vt:lpstr>SIMPL_Tab.2_Cod.532_Lin.0_Typ.Double_Extra.0</vt:lpstr>
      <vt:lpstr>SIMPL_Tab.2_Cod.533_Lin.0_Typ.Double_Extra.0</vt:lpstr>
      <vt:lpstr>SIMPL_Tab.2_Cod.534_Lin.0_Typ.Double_Extra.0</vt:lpstr>
      <vt:lpstr>SIMPL_Tab.2_Cod.535_Lin.0_Typ.Double_Extra.0</vt:lpstr>
      <vt:lpstr>SIMPL_Tab.200_Cod.14068_Lin.0_Typ.Double_Extra.0</vt:lpstr>
      <vt:lpstr>SIMPL_Tab.200_Cod.14069_Lin.0_Typ.Double_Extra.0</vt:lpstr>
      <vt:lpstr>SIMPL_Tab.200_Cod.14071_Lin.0_Typ.Double_Extra.0</vt:lpstr>
      <vt:lpstr>SIMPL_Tab.200_Cod.14072_Lin.0_Typ.Double_Extra.0</vt:lpstr>
      <vt:lpstr>SIMPL_Tab.200_Cod.14074_Lin.0_Typ.Double_Extra.0</vt:lpstr>
      <vt:lpstr>SIMPL_Tab.200_Cod.14075_Lin.0_Typ.Double_Extra.0</vt:lpstr>
      <vt:lpstr>SIMPL_Tab.200_Cod.14077_Lin.0_Typ.Double_Extra.0</vt:lpstr>
      <vt:lpstr>SIMPL_Tab.200_Cod.14078_Lin.0_Typ.Double_Extra.0</vt:lpstr>
      <vt:lpstr>SIMPL_Tab.200_Cod.14080_Lin.0_Typ.Double_Extra.0</vt:lpstr>
      <vt:lpstr>SIMPL_Tab.200_Cod.14081_Lin.0_Typ.Double_Extra.0</vt:lpstr>
      <vt:lpstr>SIMPL_Tab.200_Cod.14083_Lin.0_Typ.Double_Extra.0</vt:lpstr>
      <vt:lpstr>SIMPL_Tab.200_Cod.14084_Lin.0_Typ.Double_Extra.0</vt:lpstr>
      <vt:lpstr>SIMPL_Tab.200_Cod.14086_Lin.0_Typ.Double_Extra.0</vt:lpstr>
      <vt:lpstr>SIMPL_Tab.200_Cod.14087_Lin.0_Typ.Double_Extra.0</vt:lpstr>
      <vt:lpstr>SIMPL_Tab.200_Cod.16394_Lin.0_Typ.Double_Extra.0</vt:lpstr>
      <vt:lpstr>SIMPL_Tab.200_Cod.16395_Lin.0_Typ.Double_Extra.0</vt:lpstr>
      <vt:lpstr>SIMPL_Tab.200_Cod.16397_Lin.0_Typ.Double_Extra.0</vt:lpstr>
      <vt:lpstr>SIMPL_Tab.200_Cod.16398_Lin.0_Typ.Double_Extra.0</vt:lpstr>
      <vt:lpstr>SIMPL_Tab.200_Cod.16400_Lin.0_Typ.Double_Extra.0</vt:lpstr>
      <vt:lpstr>SIMPL_Tab.200_Cod.16401_Lin.0_Typ.Double_Extra.0</vt:lpstr>
      <vt:lpstr>SIMPL_Tab.202_Cod.14098_Lin.0_Typ.Texte_Extra.0</vt:lpstr>
      <vt:lpstr>SIMPL_Tab.202_Cod.14099_Lin.0_Typ.Texte_Extra.0</vt:lpstr>
      <vt:lpstr>SIMPL_Tab.202_Cod.14101_Lin.0_Typ.Texte_Extra.0</vt:lpstr>
      <vt:lpstr>SIMPL_Tab.202_Cod.14102_Lin.0_Typ.Texte_Extra.0</vt:lpstr>
      <vt:lpstr>SIMPL_Tab.202_Cod.14104_Lin.0_Typ.Texte_Extra.0</vt:lpstr>
      <vt:lpstr>SIMPL_Tab.202_Cod.14105_Lin.0_Typ.Texte_Extra.0</vt:lpstr>
      <vt:lpstr>SIMPL_Tab.203_Cod.14113_Lin.0_Typ.Double_Extra.0</vt:lpstr>
      <vt:lpstr>SIMPL_Tab.203_Cod.14114_Lin.0_Typ.Double_Extra.0</vt:lpstr>
      <vt:lpstr>SIMPL_Tab.203_Cod.14115_Lin.0_Typ.Double_Extra.0</vt:lpstr>
      <vt:lpstr>SIMPL_Tab.203_Cod.14116_Lin.0_Typ.Double_Extra.0</vt:lpstr>
      <vt:lpstr>SIMPL_Tab.203_Cod.14117_Lin.0_Typ.Double_Extra.0</vt:lpstr>
      <vt:lpstr>SIMPL_Tab.203_Cod.14118_Lin.0_Typ.Double_Extra.0</vt:lpstr>
      <vt:lpstr>SIMPL_Tab.203_Cod.14119_Lin.0_Typ.Double_Extra.0</vt:lpstr>
      <vt:lpstr>SIMPL_Tab.203_Cod.14120_Lin.0_Typ.Double_Extra.0</vt:lpstr>
      <vt:lpstr>SIMPL_Tab.203_Cod.14121_Lin.0_Typ.Double_Extra.0</vt:lpstr>
      <vt:lpstr>SIMPL_Tab.203_Cod.14122_Lin.0_Typ.Double_Extra.0</vt:lpstr>
      <vt:lpstr>SIMPL_Tab.203_Cod.14123_Lin.0_Typ.Double_Extra.0</vt:lpstr>
      <vt:lpstr>SIMPL_Tab.203_Cod.14124_Lin.0_Typ.Double_Extra.0</vt:lpstr>
      <vt:lpstr>SIMPL_Tab.203_Cod.14125_Lin.0_Typ.Double_Extra.0</vt:lpstr>
      <vt:lpstr>SIMPL_Tab.203_Cod.14126_Lin.0_Typ.Double_Extra.0</vt:lpstr>
      <vt:lpstr>SIMPL_Tab.203_Cod.14127_Lin.0_Typ.Double_Extra.0</vt:lpstr>
      <vt:lpstr>SIMPL_Tab.203_Cod.14128_Lin.0_Typ.Double_Extra.0</vt:lpstr>
      <vt:lpstr>SIMPL_Tab.203_Cod.14129_Lin.0_Typ.Double_Extra.0</vt:lpstr>
      <vt:lpstr>SIMPL_Tab.203_Cod.14130_Lin.0_Typ.Double_Extra.0</vt:lpstr>
      <vt:lpstr>SIMPL_Tab.203_Cod.14131_Lin.0_Typ.Double_Extra.0</vt:lpstr>
      <vt:lpstr>SIMPL_Tab.203_Cod.14132_Lin.0_Typ.Double_Extra.0</vt:lpstr>
      <vt:lpstr>SIMPL_Tab.203_Cod.14133_Lin.0_Typ.Double_Extra.0</vt:lpstr>
      <vt:lpstr>SIMPL_Tab.203_Cod.14134_Lin.0_Typ.Double_Extra.0</vt:lpstr>
      <vt:lpstr>SIMPL_Tab.203_Cod.14135_Lin.0_Typ.Double_Extra.0</vt:lpstr>
      <vt:lpstr>SIMPL_Tab.203_Cod.14136_Lin.0_Typ.Double_Extra.0</vt:lpstr>
      <vt:lpstr>SIMPL_Tab.203_Cod.14137_Lin.0_Typ.Double_Extra.0</vt:lpstr>
      <vt:lpstr>SIMPL_Tab.203_Cod.14138_Lin.0_Typ.Double_Extra.0</vt:lpstr>
      <vt:lpstr>SIMPL_Tab.203_Cod.14139_Lin.0_Typ.Double_Extra.0</vt:lpstr>
      <vt:lpstr>SIMPL_Tab.203_Cod.14140_Lin.0_Typ.Double_Extra.0</vt:lpstr>
      <vt:lpstr>SIMPL_Tab.203_Cod.14172_Lin.0_Typ.Double_Extra.0</vt:lpstr>
      <vt:lpstr>SIMPL_Tab.203_Cod.14173_Lin.0_Typ.Double_Extra.0</vt:lpstr>
      <vt:lpstr>SIMPL_Tab.203_Cod.14174_Lin.0_Typ.Double_Extra.0</vt:lpstr>
      <vt:lpstr>SIMPL_Tab.203_Cod.14175_Lin.0_Typ.Double_Extra.0</vt:lpstr>
      <vt:lpstr>SIMPL_Tab.203_Cod.14176_Lin.0_Typ.Double_Extra.0</vt:lpstr>
      <vt:lpstr>SIMPL_Tab.203_Cod.14177_Lin.0_Typ.Double_Extra.0</vt:lpstr>
      <vt:lpstr>SIMPL_Tab.203_Cod.14178_Lin.0_Typ.Double_Extra.0</vt:lpstr>
      <vt:lpstr>SIMPL_Tab.203_Cod.14179_Lin.0_Typ.Double_Extra.0</vt:lpstr>
      <vt:lpstr>SIMPL_Tab.203_Cod.14180_Lin.0_Typ.Double_Extra.0</vt:lpstr>
      <vt:lpstr>SIMPL_Tab.203_Cod.14181_Lin.0_Typ.Double_Extra.0</vt:lpstr>
      <vt:lpstr>SIMPL_Tab.203_Cod.14182_Lin.0_Typ.Double_Extra.0</vt:lpstr>
      <vt:lpstr>SIMPL_Tab.203_Cod.14183_Lin.0_Typ.Double_Extra.0</vt:lpstr>
      <vt:lpstr>SIMPL_Tab.203_Cod.14184_Lin.0_Typ.Double_Extra.0</vt:lpstr>
      <vt:lpstr>SIMPL_Tab.203_Cod.14185_Lin.0_Typ.Double_Extra.0</vt:lpstr>
      <vt:lpstr>SIMPL_Tab.203_Cod.14186_Lin.0_Typ.Double_Extra.0</vt:lpstr>
      <vt:lpstr>SIMPL_Tab.203_Cod.14187_Lin.0_Typ.Double_Extra.0</vt:lpstr>
      <vt:lpstr>SIMPL_Tab.203_Cod.14188_Lin.0_Typ.Double_Extra.0</vt:lpstr>
      <vt:lpstr>SIMPL_Tab.203_Cod.14189_Lin.0_Typ.Double_Extra.0</vt:lpstr>
      <vt:lpstr>SIMPL_Tab.203_Cod.14190_Lin.0_Typ.Double_Extra.0</vt:lpstr>
      <vt:lpstr>SIMPL_Tab.203_Cod.14191_Lin.0_Typ.Double_Extra.0</vt:lpstr>
      <vt:lpstr>SIMPL_Tab.203_Cod.14192_Lin.0_Typ.Double_Extra.0</vt:lpstr>
      <vt:lpstr>SIMPL_Tab.203_Cod.14193_Lin.0_Typ.Double_Extra.0</vt:lpstr>
      <vt:lpstr>SIMPL_Tab.203_Cod.14194_Lin.0_Typ.Double_Extra.0</vt:lpstr>
      <vt:lpstr>SIMPL_Tab.203_Cod.14195_Lin.0_Typ.Double_Extra.0</vt:lpstr>
      <vt:lpstr>SIMPL_Tab.203_Cod.14196_Lin.0_Typ.Double_Extra.0</vt:lpstr>
      <vt:lpstr>SIMPL_Tab.203_Cod.14197_Lin.0_Typ.Double_Extra.0</vt:lpstr>
      <vt:lpstr>SIMPL_Tab.203_Cod.14198_Lin.0_Typ.Double_Extra.0</vt:lpstr>
      <vt:lpstr>SIMPL_Tab.203_Cod.14199_Lin.0_Typ.Double_Extra.0</vt:lpstr>
      <vt:lpstr>SIMPL_Tab.203_Cod.14200_Lin.0_Typ.Double_Extra.0</vt:lpstr>
      <vt:lpstr>SIMPL_Tab.203_Cod.14201_Lin.0_Typ.Double_Extra.0</vt:lpstr>
      <vt:lpstr>SIMPL_Tab.203_Cod.14202_Lin.0_Typ.Double_Extra.0</vt:lpstr>
      <vt:lpstr>SIMPL_Tab.203_Cod.14203_Lin.0_Typ.Double_Extra.0</vt:lpstr>
      <vt:lpstr>SIMPL_Tab.203_Cod.14204_Lin.0_Typ.Double_Extra.0</vt:lpstr>
      <vt:lpstr>SIMPL_Tab.203_Cod.14205_Lin.0_Typ.Double_Extra.0</vt:lpstr>
      <vt:lpstr>SIMPL_Tab.203_Cod.14206_Lin.0_Typ.Double_Extra.0</vt:lpstr>
      <vt:lpstr>SIMPL_Tab.203_Cod.14207_Lin.0_Typ.Double_Extra.0</vt:lpstr>
      <vt:lpstr>SIMPL_Tab.203_Cod.14208_Lin.0_Typ.Double_Extra.0</vt:lpstr>
      <vt:lpstr>SIMPL_Tab.203_Cod.14209_Lin.0_Typ.Double_Extra.0</vt:lpstr>
      <vt:lpstr>SIMPL_Tab.203_Cod.14210_Lin.0_Typ.Double_Extra.0</vt:lpstr>
      <vt:lpstr>SIMPL_Tab.203_Cod.14211_Lin.0_Typ.Double_Extra.0</vt:lpstr>
      <vt:lpstr>SIMPL_Tab.203_Cod.14212_Lin.0_Typ.Double_Extra.0</vt:lpstr>
      <vt:lpstr>SIMPL_Tab.203_Cod.14213_Lin.0_Typ.Double_Extra.0</vt:lpstr>
      <vt:lpstr>SIMPL_Tab.203_Cod.14214_Lin.0_Typ.Double_Extra.0</vt:lpstr>
      <vt:lpstr>SIMPL_Tab.203_Cod.14215_Lin.0_Typ.Double_Extra.0</vt:lpstr>
      <vt:lpstr>SIMPL_Tab.203_Cod.14216_Lin.0_Typ.Double_Extra.0</vt:lpstr>
      <vt:lpstr>SIMPL_Tab.203_Cod.14217_Lin.0_Typ.Double_Extra.0</vt:lpstr>
      <vt:lpstr>SIMPL_Tab.203_Cod.14218_Lin.0_Typ.Double_Extra.0</vt:lpstr>
      <vt:lpstr>SIMPL_Tab.203_Cod.14219_Lin.0_Typ.Double_Extra.0</vt:lpstr>
      <vt:lpstr>SIMPL_Tab.203_Cod.14221_Lin.0_Typ.Double_Extra.0</vt:lpstr>
      <vt:lpstr>SIMPL_Tab.203_Cod.14222_Lin.0_Typ.Double_Extra.0</vt:lpstr>
      <vt:lpstr>SIMPL_Tab.203_Cod.14223_Lin.0_Typ.Double_Extra.0</vt:lpstr>
      <vt:lpstr>SIMPL_Tab.203_Cod.14224_Lin.0_Typ.Double_Extra.0</vt:lpstr>
      <vt:lpstr>SIMPL_Tab.203_Cod.14233_Lin.0_Typ.Double_Extra.0</vt:lpstr>
      <vt:lpstr>SIMPL_Tab.203_Cod.14234_Lin.0_Typ.Double_Extra.0</vt:lpstr>
      <vt:lpstr>SIMPL_Tab.203_Cod.14235_Lin.0_Typ.Double_Extra.0</vt:lpstr>
      <vt:lpstr>SIMPL_Tab.203_Cod.14236_Lin.0_Typ.Double_Extra.0</vt:lpstr>
      <vt:lpstr>SIMPL_Tab.203_Cod.14237_Lin.0_Typ.Double_Extra.0</vt:lpstr>
      <vt:lpstr>SIMPL_Tab.203_Cod.14238_Lin.0_Typ.Double_Extra.0</vt:lpstr>
      <vt:lpstr>SIMPL_Tab.203_Cod.14239_Lin.0_Typ.Double_Extra.0</vt:lpstr>
      <vt:lpstr>SIMPL_Tab.203_Cod.14240_Lin.0_Typ.Double_Extra.0</vt:lpstr>
      <vt:lpstr>SIMPL_Tab.203_Cod.14241_Lin.0_Typ.Double_Extra.0</vt:lpstr>
      <vt:lpstr>SIMPL_Tab.203_Cod.14242_Lin.0_Typ.Double_Extra.0</vt:lpstr>
      <vt:lpstr>SIMPL_Tab.203_Cod.14243_Lin.0_Typ.Double_Extra.0</vt:lpstr>
      <vt:lpstr>SIMPL_Tab.203_Cod.14244_Lin.0_Typ.Double_Extra.0</vt:lpstr>
      <vt:lpstr>SIMPL_Tab.203_Cod.14245_Lin.0_Typ.Double_Extra.0</vt:lpstr>
      <vt:lpstr>SIMPL_Tab.203_Cod.14246_Lin.0_Typ.Double_Extra.0</vt:lpstr>
      <vt:lpstr>SIMPL_Tab.203_Cod.14247_Lin.0_Typ.Double_Extra.0</vt:lpstr>
      <vt:lpstr>SIMPL_Tab.203_Cod.14248_Lin.0_Typ.Double_Extra.0</vt:lpstr>
      <vt:lpstr>SIMPL_Tab.203_Cod.14249_Lin.0_Typ.Double_Extra.0</vt:lpstr>
      <vt:lpstr>SIMPL_Tab.203_Cod.14250_Lin.0_Typ.Double_Extra.0</vt:lpstr>
      <vt:lpstr>SIMPL_Tab.203_Cod.14251_Lin.0_Typ.Double_Extra.0</vt:lpstr>
      <vt:lpstr>SIMPL_Tab.203_Cod.14252_Lin.0_Typ.Double_Extra.0</vt:lpstr>
      <vt:lpstr>SIMPL_Tab.203_Cod.14253_Lin.0_Typ.Double_Extra.0</vt:lpstr>
      <vt:lpstr>SIMPL_Tab.203_Cod.14254_Lin.0_Typ.Double_Extra.0</vt:lpstr>
      <vt:lpstr>SIMPL_Tab.203_Cod.14255_Lin.0_Typ.Double_Extra.0</vt:lpstr>
      <vt:lpstr>SIMPL_Tab.203_Cod.14256_Lin.0_Typ.Double_Extra.0</vt:lpstr>
      <vt:lpstr>SIMPL_Tab.203_Cod.14257_Lin.0_Typ.Double_Extra.0</vt:lpstr>
      <vt:lpstr>SIMPL_Tab.203_Cod.14258_Lin.0_Typ.Double_Extra.0</vt:lpstr>
      <vt:lpstr>SIMPL_Tab.203_Cod.14259_Lin.0_Typ.Double_Extra.0</vt:lpstr>
      <vt:lpstr>SIMPL_Tab.203_Cod.14260_Lin.0_Typ.Double_Extra.0</vt:lpstr>
      <vt:lpstr>SIMPL_Tab.203_Cod.14261_Lin.0_Typ.Double_Extra.0</vt:lpstr>
      <vt:lpstr>SIMPL_Tab.203_Cod.14262_Lin.0_Typ.Double_Extra.0</vt:lpstr>
      <vt:lpstr>SIMPL_Tab.203_Cod.14263_Lin.0_Typ.Double_Extra.0</vt:lpstr>
      <vt:lpstr>SIMPL_Tab.203_Cod.14264_Lin.0_Typ.Double_Extra.0</vt:lpstr>
      <vt:lpstr>SIMPL_Tab.203_Cod.14266_Lin.0_Typ.Double_Extra.0</vt:lpstr>
      <vt:lpstr>SIMPL_Tab.203_Cod.14267_Lin.0_Typ.Double_Extra.0</vt:lpstr>
      <vt:lpstr>SIMPL_Tab.203_Cod.14268_Lin.0_Typ.Double_Extra.0</vt:lpstr>
      <vt:lpstr>SIMPL_Tab.203_Cod.14269_Lin.0_Typ.Double_Extra.0</vt:lpstr>
      <vt:lpstr>SIMPL_Tab.203_Cod.14271_Lin.0_Typ.Double_Extra.0</vt:lpstr>
      <vt:lpstr>SIMPL_Tab.203_Cod.14272_Lin.0_Typ.Double_Extra.0</vt:lpstr>
      <vt:lpstr>SIMPL_Tab.203_Cod.14273_Lin.0_Typ.Double_Extra.0</vt:lpstr>
      <vt:lpstr>SIMPL_Tab.203_Cod.14274_Lin.0_Typ.Double_Extra.0</vt:lpstr>
      <vt:lpstr>SIMPL_Tab.203_Cod.14276_Lin.0_Typ.Double_Extra.0</vt:lpstr>
      <vt:lpstr>SIMPL_Tab.203_Cod.14277_Lin.0_Typ.Double_Extra.0</vt:lpstr>
      <vt:lpstr>SIMPL_Tab.203_Cod.14278_Lin.0_Typ.Double_Extra.0</vt:lpstr>
      <vt:lpstr>SIMPL_Tab.203_Cod.14279_Lin.0_Typ.Double_Extra.0</vt:lpstr>
      <vt:lpstr>SIMPL_Tab.203_Cod.14281_Lin.0_Typ.Double_Extra.0</vt:lpstr>
      <vt:lpstr>SIMPL_Tab.203_Cod.14282_Lin.0_Typ.Double_Extra.0</vt:lpstr>
      <vt:lpstr>SIMPL_Tab.203_Cod.14283_Lin.0_Typ.Double_Extra.0</vt:lpstr>
      <vt:lpstr>SIMPL_Tab.203_Cod.14284_Lin.0_Typ.Double_Extra.0</vt:lpstr>
      <vt:lpstr>SIMPL_Tab.220_Cod.14301_Lin.0_Typ.Texte_Extra.0</vt:lpstr>
      <vt:lpstr>SIMPL_Tab.220_Cod.14303_Lin.0_Typ.Texte_Extra.0</vt:lpstr>
      <vt:lpstr>SIMPL_Tab.220_Cod.14305_Lin.0_Typ.Texte_Extra.0</vt:lpstr>
      <vt:lpstr>SIMPL_Tab.220_Cod.14307_Lin.0_Typ.Texte_Extra.0</vt:lpstr>
      <vt:lpstr>SIMPL_Tab.220_Cod.14309_Lin.0_Typ.Texte_Extra.0</vt:lpstr>
      <vt:lpstr>SIMPL_Tab.220_Cod.14311_Lin.0_Typ.Texte_Extra.0</vt:lpstr>
      <vt:lpstr>SIMPL_Tab.220_Cod.14313_Lin.0_Typ.Texte_Extra.0</vt:lpstr>
      <vt:lpstr>SIMPL_Tab.220_Cod.14315_Lin.0_Typ.Texte_Extra.0</vt:lpstr>
      <vt:lpstr>SIMPL_Tab.220_Cod.14317_Lin.0_Typ.Texte_Extra.0</vt:lpstr>
      <vt:lpstr>SIMPL_Tab.220_Cod.14319_Lin.0_Typ.Texte_Extra.0</vt:lpstr>
      <vt:lpstr>SIMPL_Tab.220_Cod.14321_Lin.0_Typ.Texte_Extra.0</vt:lpstr>
      <vt:lpstr>SIMPL_Tab.220_Cod.14323_Lin.0_Typ.Texte_Extra.0</vt:lpstr>
      <vt:lpstr>SIMPL_Tab.220_Cod.14325_Lin.0_Typ.Texte_Extra.0</vt:lpstr>
      <vt:lpstr>SIMPL_Tab.220_Cod.14327_Lin.0_Typ.Texte_Extra.0</vt:lpstr>
      <vt:lpstr>SIMPL_Tab.220_Cod.14329_Lin.0_Typ.Texte_Extra.0</vt:lpstr>
      <vt:lpstr>SIMPL_Tab.220_Cod.14331_Lin.0_Typ.Texte_Extra.0</vt:lpstr>
      <vt:lpstr>SIMPL_Tab.220_Cod.14333_Lin.0_Typ.Texte_Extra.0</vt:lpstr>
      <vt:lpstr>SIMPL_Tab.220_Cod.14335_Lin.0_Typ.Texte_Extra.0</vt:lpstr>
      <vt:lpstr>SIMPL_Tab.220_Cod.14337_Lin.0_Typ.Texte_Extra.0</vt:lpstr>
      <vt:lpstr>SIMPL_Tab.220_Cod.14342_Lin.0_Typ.Texte_Extra.0</vt:lpstr>
      <vt:lpstr>SIMPL_Tab.220_Cod.14343_Lin.0_Typ.Texte_Extra.0</vt:lpstr>
      <vt:lpstr>SIMPL_Tab.220_Cod.14344_Lin.0_Typ.Texte_Extra.0</vt:lpstr>
      <vt:lpstr>SIMPL_Tab.220_Cod.14345_Lin.0_Typ.Texte_Extra.0</vt:lpstr>
      <vt:lpstr>SIMPL_Tab.23_Cod.53_Lin.0_Typ.Date_Extra.1</vt:lpstr>
      <vt:lpstr>SIMPL_Tab.24_Cod.12121_Lin.1_Typ.Texte_Extra.0</vt:lpstr>
      <vt:lpstr>SIMPL_Tab.24_Cod.12121_Lin.2_Typ.Texte_Extra.0</vt:lpstr>
      <vt:lpstr>SIMPL_Tab.24_Cod.12121_Lin.3_Typ.Texte_Extra.0</vt:lpstr>
      <vt:lpstr>SIMPL_Tab.24_Cod.12122_Lin.1_Typ.Double_Extra.0</vt:lpstr>
      <vt:lpstr>SIMPL_Tab.24_Cod.12122_Lin.2_Typ.Double_Extra.0</vt:lpstr>
      <vt:lpstr>SIMPL_Tab.24_Cod.12122_Lin.3_Typ.Double_Extra.0</vt:lpstr>
      <vt:lpstr>SIMPL_Tab.24_Cod.12123_Lin.1_Typ.Double_Extra.0</vt:lpstr>
      <vt:lpstr>SIMPL_Tab.24_Cod.12123_Lin.2_Typ.Double_Extra.0</vt:lpstr>
      <vt:lpstr>SIMPL_Tab.24_Cod.12123_Lin.3_Typ.Double_Extra.0</vt:lpstr>
      <vt:lpstr>SIMPL_Tab.24_Cod.12124_Lin.1_Typ.Double_Extra.0</vt:lpstr>
      <vt:lpstr>SIMPL_Tab.24_Cod.12124_Lin.2_Typ.Double_Extra.0</vt:lpstr>
      <vt:lpstr>SIMPL_Tab.24_Cod.12124_Lin.3_Typ.Double_Extra.0</vt:lpstr>
      <vt:lpstr>SIMPL_Tab.24_Cod.12125_Lin.1_Typ.Double_Extra.0</vt:lpstr>
      <vt:lpstr>SIMPL_Tab.24_Cod.12125_Lin.2_Typ.Double_Extra.0</vt:lpstr>
      <vt:lpstr>SIMPL_Tab.24_Cod.12125_Lin.3_Typ.Double_Extra.0</vt:lpstr>
      <vt:lpstr>SIMPL_Tab.24_Cod.1231_Lin.0_Typ.Double_Extra.0</vt:lpstr>
      <vt:lpstr>SIMPL_Tab.24_Cod.1232_Lin.0_Typ.Double_Extra.0</vt:lpstr>
      <vt:lpstr>SIMPL_Tab.24_Cod.1233_Lin.0_Typ.Double_Extra.0</vt:lpstr>
      <vt:lpstr>SIMPL_Tab.24_Cod.1234_Lin.0_Typ.Double_Extra.0</vt:lpstr>
      <vt:lpstr>SIMPL_Tab.24_Cod.1236_Lin.0_Typ.Double_Extra.0</vt:lpstr>
      <vt:lpstr>SIMPL_Tab.24_Cod.1237_Lin.0_Typ.Double_Extra.0</vt:lpstr>
      <vt:lpstr>SIMPL_Tab.24_Cod.1238_Lin.0_Typ.Double_Extra.0</vt:lpstr>
      <vt:lpstr>SIMPL_Tab.24_Cod.1239_Lin.0_Typ.Double_Extra.0</vt:lpstr>
      <vt:lpstr>SIMPL_Tab.24_Cod.1241_Lin.0_Typ.Double_Extra.0</vt:lpstr>
      <vt:lpstr>SIMPL_Tab.24_Cod.1242_Lin.0_Typ.Double_Extra.0</vt:lpstr>
      <vt:lpstr>SIMPL_Tab.24_Cod.1243_Lin.0_Typ.Double_Extra.0</vt:lpstr>
      <vt:lpstr>SIMPL_Tab.24_Cod.1244_Lin.0_Typ.Double_Extra.0</vt:lpstr>
      <vt:lpstr>SIMPL_Tab.24_Cod.1246_Lin.0_Typ.Double_Extra.0</vt:lpstr>
      <vt:lpstr>SIMPL_Tab.24_Cod.1247_Lin.0_Typ.Double_Extra.0</vt:lpstr>
      <vt:lpstr>SIMPL_Tab.24_Cod.1248_Lin.0_Typ.Double_Extra.0</vt:lpstr>
      <vt:lpstr>SIMPL_Tab.24_Cod.1249_Lin.0_Typ.Double_Extra.0</vt:lpstr>
      <vt:lpstr>SIMPL_Tab.24_Cod.14061_Lin.0_Typ.Double_Extra.0</vt:lpstr>
      <vt:lpstr>SIMPL_Tab.24_Cod.14062_Lin.0_Typ.Double_Extra.0</vt:lpstr>
      <vt:lpstr>SIMPL_Tab.24_Cod.14063_Lin.0_Typ.Double_Extra.0</vt:lpstr>
      <vt:lpstr>SIMPL_Tab.24_Cod.14064_Lin.0_Typ.Double_Extra.0</vt:lpstr>
      <vt:lpstr>SIMPL_Tab.24_Cod.1624_Lin.0_Typ.Double_Extra.0</vt:lpstr>
      <vt:lpstr>SIMPL_Tab.24_Cod.1625_Lin.0_Typ.Double_Extra.0</vt:lpstr>
      <vt:lpstr>SIMPL_Tab.24_Cod.1626_Lin.0_Typ.Double_Extra.0</vt:lpstr>
      <vt:lpstr>SIMPL_Tab.24_Cod.1627_Lin.0_Typ.Double_Extra.0</vt:lpstr>
      <vt:lpstr>SIMPL_Tab.24_Cod.1628_Lin.0_Typ.Double_Extra.0</vt:lpstr>
      <vt:lpstr>SIMPL_Tab.24_Cod.1629_Lin.0_Typ.Double_Extra.0</vt:lpstr>
      <vt:lpstr>SIMPL_Tab.24_Cod.1630_Lin.0_Typ.Double_Extra.0</vt:lpstr>
      <vt:lpstr>SIMPL_Tab.24_Cod.1631_Lin.0_Typ.Double_Extra.0</vt:lpstr>
      <vt:lpstr>SIMPL_Tab.24_Cod.1632_Lin.0_Typ.Double_Extra.0</vt:lpstr>
      <vt:lpstr>SIMPL_Tab.24_Cod.1633_Lin.0_Typ.Double_Extra.0</vt:lpstr>
      <vt:lpstr>SIMPL_Tab.24_Cod.1650_Lin.0_Typ.Double_Extra.0</vt:lpstr>
      <vt:lpstr>SIMPL_Tab.24_Cod.1651_Lin.0_Typ.Double_Extra.0</vt:lpstr>
      <vt:lpstr>SIMPL_Tab.24_Cod.1652_Lin.0_Typ.Double_Extra.0</vt:lpstr>
      <vt:lpstr>SIMPL_Tab.24_Cod.1653_Lin.0_Typ.Double_Extra.0</vt:lpstr>
      <vt:lpstr>SIMPL_Tab.24_Cod.1654_Lin.0_Typ.Double_Extra.0</vt:lpstr>
      <vt:lpstr>SIMPL_Tab.24_Cod.1679_Lin.0_Typ.Double_Extra.0</vt:lpstr>
      <vt:lpstr>SIMPL_Tab.24_Cod.1680_Lin.0_Typ.Double_Extra.0</vt:lpstr>
      <vt:lpstr>SIMPL_Tab.24_Cod.1681_Lin.0_Typ.Double_Extra.0</vt:lpstr>
      <vt:lpstr>SIMPL_Tab.24_Cod.1682_Lin.0_Typ.Double_Extra.0</vt:lpstr>
      <vt:lpstr>SIMPL_Tab.24_Cod.1683_Lin.0_Typ.Double_Extra.0</vt:lpstr>
      <vt:lpstr>SIMPL_Tab.24_Cod.1700_Lin.0_Typ.Double_Extra.0</vt:lpstr>
      <vt:lpstr>SIMPL_Tab.24_Cod.1701_Lin.0_Typ.Double_Extra.0</vt:lpstr>
      <vt:lpstr>SIMPL_Tab.24_Cod.1702_Lin.0_Typ.Double_Extra.0</vt:lpstr>
      <vt:lpstr>SIMPL_Tab.24_Cod.1703_Lin.0_Typ.Double_Extra.0</vt:lpstr>
      <vt:lpstr>SIMPL_Tab.24_Cod.1704_Lin.0_Typ.Double_Extra.0</vt:lpstr>
      <vt:lpstr>SIMPL_Tab.24_Cod.1705_Lin.0_Typ.Double_Extra.0</vt:lpstr>
      <vt:lpstr>SIMPL_Tab.24_Cod.1706_Lin.0_Typ.Double_Extra.0</vt:lpstr>
      <vt:lpstr>SIMPL_Tab.24_Cod.1707_Lin.0_Typ.Double_Extra.0</vt:lpstr>
      <vt:lpstr>SIMPL_Tab.24_Cod.1708_Lin.0_Typ.Double_Extra.0</vt:lpstr>
      <vt:lpstr>SIMPL_Tab.24_Cod.1709_Lin.0_Typ.Double_Extra.0</vt:lpstr>
      <vt:lpstr>SIMPL_Tab.24_Cod.1710_Lin.0_Typ.Double_Extra.0</vt:lpstr>
      <vt:lpstr>SIMPL_Tab.24_Cod.1711_Lin.0_Typ.Double_Extra.0</vt:lpstr>
      <vt:lpstr>SIMPL_Tab.24_Cod.1712_Lin.0_Typ.Double_Extra.0</vt:lpstr>
      <vt:lpstr>SIMPL_Tab.24_Cod.1713_Lin.0_Typ.Double_Extra.0</vt:lpstr>
      <vt:lpstr>SIMPL_Tab.24_Cod.1714_Lin.0_Typ.Double_Extra.0</vt:lpstr>
      <vt:lpstr>SIMPL_Tab.24_Cod.1715_Lin.0_Typ.Double_Extra.0</vt:lpstr>
      <vt:lpstr>SIMPL_Tab.24_Cod.1716_Lin.0_Typ.Double_Extra.0</vt:lpstr>
      <vt:lpstr>SIMPL_Tab.24_Cod.1717_Lin.0_Typ.Double_Extra.0</vt:lpstr>
      <vt:lpstr>SIMPL_Tab.24_Cod.1718_Lin.0_Typ.Double_Extra.0</vt:lpstr>
      <vt:lpstr>SIMPL_Tab.24_Cod.1719_Lin.0_Typ.Double_Extra.0</vt:lpstr>
      <vt:lpstr>SIMPL_Tab.24_Cod.1720_Lin.0_Typ.Double_Extra.0</vt:lpstr>
      <vt:lpstr>SIMPL_Tab.24_Cod.1721_Lin.0_Typ.Double_Extra.0</vt:lpstr>
      <vt:lpstr>SIMPL_Tab.24_Cod.1722_Lin.0_Typ.Double_Extra.0</vt:lpstr>
      <vt:lpstr>SIMPL_Tab.24_Cod.1723_Lin.0_Typ.Double_Extra.0</vt:lpstr>
      <vt:lpstr>SIMPL_Tab.24_Cod.1724_Lin.0_Typ.Double_Extra.0</vt:lpstr>
      <vt:lpstr>SIMPL_Tab.24_Cod.1725_Lin.0_Typ.Double_Extra.0</vt:lpstr>
      <vt:lpstr>SIMPL_Tab.24_Cod.1726_Lin.0_Typ.Double_Extra.0</vt:lpstr>
      <vt:lpstr>SIMPL_Tab.24_Cod.1727_Lin.0_Typ.Double_Extra.0</vt:lpstr>
      <vt:lpstr>SIMPL_Tab.24_Cod.1728_Lin.0_Typ.Double_Extra.0</vt:lpstr>
      <vt:lpstr>SIMPL_Tab.24_Cod.1729_Lin.0_Typ.Double_Extra.0</vt:lpstr>
      <vt:lpstr>SIMPL_Tab.24_Cod.1730_Lin.0_Typ.Double_Extra.0</vt:lpstr>
      <vt:lpstr>SIMPL_Tab.24_Cod.1731_Lin.0_Typ.Double_Extra.0</vt:lpstr>
      <vt:lpstr>SIMPL_Tab.240_Cod.14347_Lin.0_Typ.Double_Extra.0</vt:lpstr>
      <vt:lpstr>SIMPL_Tab.240_Cod.14349_Lin.0_Typ.Double_Extra.0</vt:lpstr>
      <vt:lpstr>SIMPL_Tab.240_Cod.14380_Lin.0_Typ.Double_Extra.0</vt:lpstr>
      <vt:lpstr>SIMPL_Tab.240_Cod.14415_Lin.0_Typ.Double_Extra.0</vt:lpstr>
      <vt:lpstr>SIMPL_Tab.240_Cod.14992_Lin.0_Typ.Double_Extra.0</vt:lpstr>
      <vt:lpstr>SIMPL_Tab.240_Cod.14994_Lin.0_Typ.Double_Extra.0</vt:lpstr>
      <vt:lpstr>SIMPL_Tab.240_Cod.14996_Lin.0_Typ.Double_Extra.0</vt:lpstr>
      <vt:lpstr>SIMPL_Tab.240_Cod.17929_Lin.0_Typ.Double_Extra.0</vt:lpstr>
      <vt:lpstr>SIMPL_Tab.26_Cod.1110_Lin.0_Typ.Double_Extra.0</vt:lpstr>
      <vt:lpstr>SIMPL_Tab.26_Cod.1111_Lin.0_Typ.Double_Extra.0</vt:lpstr>
      <vt:lpstr>SIMPL_Tab.26_Cod.1112_Lin.0_Typ.Double_Extra.0</vt:lpstr>
      <vt:lpstr>SIMPL_Tab.26_Cod.1113_Lin.0_Typ.Double_Extra.0</vt:lpstr>
      <vt:lpstr>SIMPL_Tab.26_Cod.1114_Lin.0_Typ.Double_Extra.0</vt:lpstr>
      <vt:lpstr>SIMPL_Tab.26_Cod.1115_Lin.0_Typ.Double_Extra.0</vt:lpstr>
      <vt:lpstr>SIMPL_Tab.26_Cod.1116_Lin.0_Typ.Double_Extra.0</vt:lpstr>
      <vt:lpstr>SIMPL_Tab.26_Cod.1117_Lin.0_Typ.Texte_Extra.0</vt:lpstr>
      <vt:lpstr>SIMPL_Tab.26_Cod.1119_Lin.0_Typ.Double_Extra.0</vt:lpstr>
      <vt:lpstr>SIMPL_Tab.26_Cod.1120_Lin.0_Typ.Double_Extra.0</vt:lpstr>
      <vt:lpstr>SIMPL_Tab.26_Cod.1121_Lin.0_Typ.Double_Extra.0</vt:lpstr>
      <vt:lpstr>SIMPL_Tab.26_Cod.1122_Lin.0_Typ.Double_Extra.0</vt:lpstr>
      <vt:lpstr>SIMPL_Tab.26_Cod.1123_Lin.0_Typ.Double_Extra.0</vt:lpstr>
      <vt:lpstr>SIMPL_Tab.26_Cod.1124_Lin.0_Typ.Double_Extra.0</vt:lpstr>
      <vt:lpstr>SIMPL_Tab.26_Cod.1125_Lin.0_Typ.Double_Extra.0</vt:lpstr>
      <vt:lpstr>SIMPL_Tab.26_Cod.1126_Lin.0_Typ.Texte_Extra.0</vt:lpstr>
      <vt:lpstr>SIMPL_Tab.26_Cod.1128_Lin.0_Typ.Double_Extra.0</vt:lpstr>
      <vt:lpstr>SIMPL_Tab.26_Cod.1129_Lin.0_Typ.Double_Extra.0</vt:lpstr>
      <vt:lpstr>SIMPL_Tab.26_Cod.1130_Lin.0_Typ.Double_Extra.0</vt:lpstr>
      <vt:lpstr>SIMPL_Tab.26_Cod.1131_Lin.0_Typ.Double_Extra.0</vt:lpstr>
      <vt:lpstr>SIMPL_Tab.26_Cod.1132_Lin.0_Typ.Double_Extra.0</vt:lpstr>
      <vt:lpstr>SIMPL_Tab.26_Cod.1133_Lin.0_Typ.Double_Extra.0</vt:lpstr>
      <vt:lpstr>SIMPL_Tab.26_Cod.1134_Lin.0_Typ.Double_Extra.0</vt:lpstr>
      <vt:lpstr>SIMPL_Tab.26_Cod.1135_Lin.0_Typ.Texte_Extra.0</vt:lpstr>
      <vt:lpstr>SIMPL_Tab.26_Cod.1137_Lin.0_Typ.Double_Extra.0</vt:lpstr>
      <vt:lpstr>SIMPL_Tab.26_Cod.1138_Lin.0_Typ.Double_Extra.0</vt:lpstr>
      <vt:lpstr>SIMPL_Tab.26_Cod.1139_Lin.0_Typ.Double_Extra.0</vt:lpstr>
      <vt:lpstr>SIMPL_Tab.26_Cod.1140_Lin.0_Typ.Double_Extra.0</vt:lpstr>
      <vt:lpstr>SIMPL_Tab.26_Cod.1141_Lin.0_Typ.Double_Extra.0</vt:lpstr>
      <vt:lpstr>SIMPL_Tab.26_Cod.1142_Lin.0_Typ.Double_Extra.0</vt:lpstr>
      <vt:lpstr>SIMPL_Tab.26_Cod.1143_Lin.0_Typ.Double_Extra.0</vt:lpstr>
      <vt:lpstr>SIMPL_Tab.26_Cod.1144_Lin.0_Typ.Texte_Extra.0</vt:lpstr>
      <vt:lpstr>SIMPL_Tab.26_Cod.1146_Lin.0_Typ.Double_Extra.0</vt:lpstr>
      <vt:lpstr>SIMPL_Tab.26_Cod.1147_Lin.0_Typ.Double_Extra.0</vt:lpstr>
      <vt:lpstr>SIMPL_Tab.26_Cod.1148_Lin.0_Typ.Double_Extra.0</vt:lpstr>
      <vt:lpstr>SIMPL_Tab.26_Cod.1149_Lin.0_Typ.Double_Extra.0</vt:lpstr>
      <vt:lpstr>SIMPL_Tab.26_Cod.1150_Lin.0_Typ.Double_Extra.0</vt:lpstr>
      <vt:lpstr>SIMPL_Tab.26_Cod.1151_Lin.0_Typ.Double_Extra.0</vt:lpstr>
      <vt:lpstr>SIMPL_Tab.26_Cod.1152_Lin.0_Typ.Double_Extra.0</vt:lpstr>
      <vt:lpstr>SIMPL_Tab.26_Cod.1153_Lin.0_Typ.Texte_Extra.0</vt:lpstr>
      <vt:lpstr>SIMPL_Tab.26_Cod.1155_Lin.0_Typ.Double_Extra.0</vt:lpstr>
      <vt:lpstr>SIMPL_Tab.26_Cod.1156_Lin.0_Typ.Double_Extra.0</vt:lpstr>
      <vt:lpstr>SIMPL_Tab.26_Cod.1157_Lin.0_Typ.Double_Extra.0</vt:lpstr>
      <vt:lpstr>SIMPL_Tab.26_Cod.1158_Lin.0_Typ.Double_Extra.0</vt:lpstr>
      <vt:lpstr>SIMPL_Tab.26_Cod.1159_Lin.0_Typ.Double_Extra.0</vt:lpstr>
      <vt:lpstr>SIMPL_Tab.26_Cod.1160_Lin.0_Typ.Double_Extra.0</vt:lpstr>
      <vt:lpstr>SIMPL_Tab.26_Cod.1161_Lin.0_Typ.Double_Extra.0</vt:lpstr>
      <vt:lpstr>SIMPL_Tab.26_Cod.1162_Lin.0_Typ.Texte_Extra.0</vt:lpstr>
      <vt:lpstr>SIMPL_Tab.26_Cod.1164_Lin.0_Typ.Double_Extra.0</vt:lpstr>
      <vt:lpstr>SIMPL_Tab.26_Cod.1165_Lin.0_Typ.Double_Extra.0</vt:lpstr>
      <vt:lpstr>SIMPL_Tab.26_Cod.1166_Lin.0_Typ.Double_Extra.0</vt:lpstr>
      <vt:lpstr>SIMPL_Tab.26_Cod.1167_Lin.0_Typ.Double_Extra.0</vt:lpstr>
      <vt:lpstr>SIMPL_Tab.26_Cod.1168_Lin.0_Typ.Double_Extra.0</vt:lpstr>
      <vt:lpstr>SIMPL_Tab.26_Cod.1169_Lin.0_Typ.Double_Extra.0</vt:lpstr>
      <vt:lpstr>SIMPL_Tab.26_Cod.1170_Lin.0_Typ.Double_Extra.0</vt:lpstr>
      <vt:lpstr>SIMPL_Tab.26_Cod.1171_Lin.0_Typ.Texte_Extra.0</vt:lpstr>
      <vt:lpstr>SIMPL_Tab.26_Cod.1173_Lin.0_Typ.Double_Extra.0</vt:lpstr>
      <vt:lpstr>SIMPL_Tab.26_Cod.1174_Lin.0_Typ.Double_Extra.0</vt:lpstr>
      <vt:lpstr>SIMPL_Tab.26_Cod.1175_Lin.0_Typ.Double_Extra.0</vt:lpstr>
      <vt:lpstr>SIMPL_Tab.26_Cod.1176_Lin.0_Typ.Double_Extra.0</vt:lpstr>
      <vt:lpstr>SIMPL_Tab.26_Cod.1177_Lin.0_Typ.Double_Extra.0</vt:lpstr>
      <vt:lpstr>SIMPL_Tab.26_Cod.1178_Lin.0_Typ.Double_Extra.0</vt:lpstr>
      <vt:lpstr>SIMPL_Tab.26_Cod.1179_Lin.0_Typ.Double_Extra.0</vt:lpstr>
      <vt:lpstr>SIMPL_Tab.26_Cod.1180_Lin.0_Typ.Texte_Extra.0</vt:lpstr>
      <vt:lpstr>SIMPL_Tab.26_Cod.1182_Lin.0_Typ.Double_Extra.0</vt:lpstr>
      <vt:lpstr>SIMPL_Tab.26_Cod.1183_Lin.0_Typ.Double_Extra.0</vt:lpstr>
      <vt:lpstr>SIMPL_Tab.26_Cod.1184_Lin.0_Typ.Double_Extra.0</vt:lpstr>
      <vt:lpstr>SIMPL_Tab.26_Cod.1185_Lin.0_Typ.Double_Extra.0</vt:lpstr>
      <vt:lpstr>SIMPL_Tab.26_Cod.1186_Lin.0_Typ.Double_Extra.0</vt:lpstr>
      <vt:lpstr>SIMPL_Tab.26_Cod.1187_Lin.0_Typ.Double_Extra.0</vt:lpstr>
      <vt:lpstr>SIMPL_Tab.26_Cod.1188_Lin.0_Typ.Double_Extra.0</vt:lpstr>
      <vt:lpstr>SIMPL_Tab.26_Cod.1189_Lin.0_Typ.Texte_Extra.0</vt:lpstr>
      <vt:lpstr>SIMPL_Tab.26_Cod.1191_Lin.0_Typ.Double_Extra.0</vt:lpstr>
      <vt:lpstr>SIMPL_Tab.26_Cod.1192_Lin.0_Typ.Double_Extra.0</vt:lpstr>
      <vt:lpstr>SIMPL_Tab.26_Cod.1193_Lin.0_Typ.Double_Extra.0</vt:lpstr>
      <vt:lpstr>SIMPL_Tab.26_Cod.1194_Lin.0_Typ.Double_Extra.0</vt:lpstr>
      <vt:lpstr>SIMPL_Tab.26_Cod.1195_Lin.0_Typ.Double_Extra.0</vt:lpstr>
      <vt:lpstr>SIMPL_Tab.26_Cod.1196_Lin.0_Typ.Double_Extra.0</vt:lpstr>
      <vt:lpstr>SIMPL_Tab.26_Cod.1197_Lin.0_Typ.Double_Extra.0</vt:lpstr>
      <vt:lpstr>SIMPL_Tab.26_Cod.1198_Lin.0_Typ.Texte_Extra.0</vt:lpstr>
      <vt:lpstr>SIMPL_Tab.26_Cod.1200_Lin.0_Typ.Double_Extra.0</vt:lpstr>
      <vt:lpstr>SIMPL_Tab.26_Cod.1201_Lin.0_Typ.Double_Extra.0</vt:lpstr>
      <vt:lpstr>SIMPL_Tab.26_Cod.1202_Lin.0_Typ.Double_Extra.0</vt:lpstr>
      <vt:lpstr>SIMPL_Tab.26_Cod.1203_Lin.0_Typ.Double_Extra.0</vt:lpstr>
      <vt:lpstr>SIMPL_Tab.26_Cod.1204_Lin.0_Typ.Double_Extra.0</vt:lpstr>
      <vt:lpstr>SIMPL_Tab.26_Cod.1205_Lin.0_Typ.Double_Extra.0</vt:lpstr>
      <vt:lpstr>SIMPL_Tab.26_Cod.1206_Lin.0_Typ.Double_Extra.0</vt:lpstr>
      <vt:lpstr>SIMPL_Tab.26_Cod.1207_Lin.0_Typ.Texte_Extra.0</vt:lpstr>
      <vt:lpstr>SIMPL_Tab.26_Cod.54_Lin.0_Typ.Date_Extra.1</vt:lpstr>
      <vt:lpstr>SIMPL_Tab.27_Cod.1257_Lin.0_Typ.Double_Extra.0</vt:lpstr>
      <vt:lpstr>SIMPL_Tab.27_Cod.1261_Lin.0_Typ.Double_Extra.0</vt:lpstr>
      <vt:lpstr>SIMPL_Tab.27_Cod.1262_Lin.0_Typ.Double_Extra.0</vt:lpstr>
      <vt:lpstr>SIMPL_Tab.27_Cod.1263_Lin.0_Typ.Double_Extra.0</vt:lpstr>
      <vt:lpstr>SIMPL_Tab.27_Cod.1264_Lin.0_Typ.Double_Extra.0</vt:lpstr>
      <vt:lpstr>SIMPL_Tab.27_Cod.1265_Lin.0_Typ.Double_Extra.0</vt:lpstr>
      <vt:lpstr>SIMPL_Tab.27_Cod.55_Lin.0_Typ.Date_Extra.1</vt:lpstr>
      <vt:lpstr>SIMPL_Tab.28_Cod.1279_Lin.0_Typ.Double_Extra.0</vt:lpstr>
      <vt:lpstr>SIMPL_Tab.28_Cod.1280_Lin.0_Typ.Double_Extra.0</vt:lpstr>
      <vt:lpstr>SIMPL_Tab.32_Cod.1308_Lin.0_Typ.Double_Extra.0</vt:lpstr>
      <vt:lpstr>SIMPL_Tab.32_Cod.1309_Lin.0_Typ.Double_Extra.0</vt:lpstr>
      <vt:lpstr>SIMPL_Tab.32_Cod.1310_Lin.0_Typ.Double_Extra.0</vt:lpstr>
      <vt:lpstr>SIMPL_Tab.32_Cod.1311_Lin.0_Typ.Double_Extra.0</vt:lpstr>
      <vt:lpstr>SIMPL_Tab.32_Cod.1312_Lin.0_Typ.Double_Extra.0</vt:lpstr>
      <vt:lpstr>SIMPL_Tab.32_Cod.1313_Lin.0_Typ.Double_Extra.0</vt:lpstr>
      <vt:lpstr>SIMPL_Tab.32_Cod.1314_Lin.0_Typ.Double_Extra.0</vt:lpstr>
      <vt:lpstr>SIMPL_Tab.32_Cod.1315_Lin.0_Typ.Double_Extra.0</vt:lpstr>
      <vt:lpstr>SIMPL_Tab.32_Cod.1316_Lin.0_Typ.Double_Extra.0</vt:lpstr>
      <vt:lpstr>SIMPL_Tab.32_Cod.1317_Lin.0_Typ.Double_Extra.0</vt:lpstr>
      <vt:lpstr>SIMPL_Tab.32_Cod.1318_Lin.0_Typ.Double_Extra.0</vt:lpstr>
      <vt:lpstr>SIMPL_Tab.32_Cod.1319_Lin.0_Typ.Double_Extra.0</vt:lpstr>
      <vt:lpstr>SIMPL_Tab.32_Cod.1320_Lin.0_Typ.Double_Extra.0</vt:lpstr>
      <vt:lpstr>SIMPL_Tab.32_Cod.1321_Lin.0_Typ.Double_Extra.0</vt:lpstr>
      <vt:lpstr>SIMPL_Tab.32_Cod.1324_Lin.0_Typ.Double_Extra.0</vt:lpstr>
      <vt:lpstr>SIMPL_Tab.32_Cod.1325_Lin.0_Typ.Double_Extra.0</vt:lpstr>
      <vt:lpstr>SIMPL_Tab.32_Cod.1326_Lin.0_Typ.Double_Extra.0</vt:lpstr>
      <vt:lpstr>SIMPL_Tab.32_Cod.1327_Lin.0_Typ.Double_Extra.0</vt:lpstr>
      <vt:lpstr>SIMPL_Tab.32_Cod.1328_Lin.0_Typ.Double_Extra.0</vt:lpstr>
      <vt:lpstr>SIMPL_Tab.32_Cod.1329_Lin.0_Typ.Double_Extra.0</vt:lpstr>
      <vt:lpstr>SIMPL_Tab.32_Cod.1330_Lin.0_Typ.Double_Extra.0</vt:lpstr>
      <vt:lpstr>SIMPL_Tab.32_Cod.1331_Lin.0_Typ.Double_Extra.0</vt:lpstr>
      <vt:lpstr>SIMPL_Tab.32_Cod.1332_Lin.0_Typ.Double_Extra.0</vt:lpstr>
      <vt:lpstr>SIMPL_Tab.32_Cod.1333_Lin.0_Typ.Double_Extra.0</vt:lpstr>
      <vt:lpstr>SIMPL_Tab.32_Cod.1334_Lin.0_Typ.Double_Extra.0</vt:lpstr>
      <vt:lpstr>SIMPL_Tab.32_Cod.1335_Lin.0_Typ.Double_Extra.0</vt:lpstr>
      <vt:lpstr>SIMPL_Tab.32_Cod.1336_Lin.0_Typ.Double_Extra.0</vt:lpstr>
      <vt:lpstr>SIMPL_Tab.32_Cod.1337_Lin.0_Typ.Double_Extra.0</vt:lpstr>
      <vt:lpstr>SIMPL_Tab.32_Cod.1338_Lin.0_Typ.Double_Extra.0</vt:lpstr>
      <vt:lpstr>SIMPL_Tab.32_Cod.1339_Lin.0_Typ.Double_Extra.0</vt:lpstr>
      <vt:lpstr>SIMPL_Tab.32_Cod.1340_Lin.0_Typ.Double_Extra.0</vt:lpstr>
      <vt:lpstr>SIMPL_Tab.32_Cod.1341_Lin.0_Typ.Double_Extra.0</vt:lpstr>
      <vt:lpstr>SIMPL_Tab.32_Cod.1342_Lin.0_Typ.Double_Extra.0</vt:lpstr>
      <vt:lpstr>SIMPL_Tab.32_Cod.1343_Lin.0_Typ.Double_Extra.0</vt:lpstr>
      <vt:lpstr>SIMPL_Tab.32_Cod.1344_Lin.0_Typ.Double_Extra.0</vt:lpstr>
      <vt:lpstr>SIMPL_Tab.32_Cod.1345_Lin.0_Typ.Double_Extra.0</vt:lpstr>
      <vt:lpstr>SIMPL_Tab.32_Cod.1346_Lin.0_Typ.Double_Extra.0</vt:lpstr>
      <vt:lpstr>SIMPL_Tab.32_Cod.1349_Lin.0_Typ.Double_Extra.0</vt:lpstr>
      <vt:lpstr>SIMPL_Tab.32_Cod.1350_Lin.0_Typ.Double_Extra.0</vt:lpstr>
      <vt:lpstr>SIMPL_Tab.32_Cod.1351_Lin.0_Typ.Double_Extra.0</vt:lpstr>
      <vt:lpstr>SIMPL_Tab.32_Cod.1352_Lin.0_Typ.Double_Extra.0</vt:lpstr>
      <vt:lpstr>SIMPL_Tab.32_Cod.1353_Lin.0_Typ.Double_Extra.0</vt:lpstr>
      <vt:lpstr>SIMPL_Tab.32_Cod.1354_Lin.0_Typ.Double_Extra.0</vt:lpstr>
      <vt:lpstr>SIMPL_Tab.32_Cod.1355_Lin.0_Typ.Double_Extra.0</vt:lpstr>
      <vt:lpstr>SIMPL_Tab.32_Cod.1356_Lin.0_Typ.Double_Extra.0</vt:lpstr>
      <vt:lpstr>SIMPL_Tab.32_Cod.1357_Lin.0_Typ.Double_Extra.0</vt:lpstr>
      <vt:lpstr>SIMPL_Tab.32_Cod.1372_Lin.0_Typ.Double_Extra.0</vt:lpstr>
      <vt:lpstr>SIMPL_Tab.32_Cod.1373_Lin.0_Typ.Double_Extra.0</vt:lpstr>
      <vt:lpstr>SIMPL_Tab.32_Cod.1374_Lin.0_Typ.Double_Extra.0</vt:lpstr>
      <vt:lpstr>SIMPL_Tab.32_Cod.1375_Lin.0_Typ.Double_Extra.0</vt:lpstr>
      <vt:lpstr>SIMPL_Tab.32_Cod.1376_Lin.0_Typ.Double_Extra.0</vt:lpstr>
      <vt:lpstr>SIMPL_Tab.32_Cod.1377_Lin.0_Typ.Double_Extra.0</vt:lpstr>
      <vt:lpstr>SIMPL_Tab.32_Cod.1378_Lin.0_Typ.Double_Extra.0</vt:lpstr>
      <vt:lpstr>SIMPL_Tab.32_Cod.1379_Lin.0_Typ.Double_Extra.0</vt:lpstr>
      <vt:lpstr>SIMPL_Tab.32_Cod.1380_Lin.0_Typ.Double_Extra.0</vt:lpstr>
      <vt:lpstr>SIMPL_Tab.32_Cod.1381_Lin.0_Typ.Double_Extra.0</vt:lpstr>
      <vt:lpstr>SIMPL_Tab.32_Cod.1382_Lin.0_Typ.Double_Extra.0</vt:lpstr>
      <vt:lpstr>SIMPL_Tab.32_Cod.1383_Lin.0_Typ.Double_Extra.0</vt:lpstr>
      <vt:lpstr>SIMPL_Tab.32_Cod.1384_Lin.0_Typ.Double_Extra.0</vt:lpstr>
      <vt:lpstr>SIMPL_Tab.32_Cod.1385_Lin.0_Typ.Double_Extra.0</vt:lpstr>
      <vt:lpstr>SIMPL_Tab.32_Cod.1386_Lin.0_Typ.Double_Extra.0</vt:lpstr>
      <vt:lpstr>SIMPL_Tab.32_Cod.1387_Lin.0_Typ.Double_Extra.0</vt:lpstr>
      <vt:lpstr>SIMPL_Tab.32_Cod.1388_Lin.0_Typ.Double_Extra.0</vt:lpstr>
      <vt:lpstr>SIMPL_Tab.32_Cod.1389_Lin.0_Typ.Double_Extra.0</vt:lpstr>
      <vt:lpstr>SIMPL_Tab.32_Cod.1390_Lin.0_Typ.Double_Extra.0</vt:lpstr>
      <vt:lpstr>SIMPL_Tab.32_Cod.1391_Lin.0_Typ.Double_Extra.0</vt:lpstr>
      <vt:lpstr>SIMPL_Tab.32_Cod.1392_Lin.0_Typ.Double_Extra.0</vt:lpstr>
      <vt:lpstr>SIMPL_Tab.32_Cod.1393_Lin.0_Typ.Double_Extra.0</vt:lpstr>
      <vt:lpstr>SIMPL_Tab.32_Cod.1394_Lin.0_Typ.Double_Extra.0</vt:lpstr>
      <vt:lpstr>SIMPL_Tab.32_Cod.1395_Lin.0_Typ.Double_Extra.0</vt:lpstr>
      <vt:lpstr>SIMPL_Tab.32_Cod.1396_Lin.0_Typ.Double_Extra.0</vt:lpstr>
      <vt:lpstr>SIMPL_Tab.32_Cod.1397_Lin.0_Typ.Double_Extra.0</vt:lpstr>
      <vt:lpstr>SIMPL_Tab.32_Cod.1398_Lin.0_Typ.Double_Extra.0</vt:lpstr>
      <vt:lpstr>SIMPL_Tab.32_Cod.1399_Lin.0_Typ.Double_Extra.0</vt:lpstr>
      <vt:lpstr>SIMPL_Tab.32_Cod.4063_Lin.0_Typ.Double_Extra.0</vt:lpstr>
      <vt:lpstr>SIMPL_Tab.32_Cod.4064_Lin.0_Typ.Double_Extra.0</vt:lpstr>
      <vt:lpstr>SIMPL_Tab.32_Cod.4066_Lin.0_Typ.Double_Extra.0</vt:lpstr>
      <vt:lpstr>SIMPL_Tab.32_Cod.4067_Lin.0_Typ.Double_Extra.0</vt:lpstr>
      <vt:lpstr>SIMPL_Tab.34_Cod.10091_Lin.0_Typ.Double_Extra.0</vt:lpstr>
      <vt:lpstr>SIMPL_Tab.34_Cod.10420_Lin.0_Typ.Double_Extra.0</vt:lpstr>
      <vt:lpstr>SIMPL_Tab.34_Cod.1521_Lin.0_Typ.Double_Extra.0</vt:lpstr>
      <vt:lpstr>SIMPL_Tab.34_Cod.1522_Lin.0_Typ.Double_Extra.0</vt:lpstr>
      <vt:lpstr>SIMPL_Tab.34_Cod.1523_Lin.0_Typ.Double_Extra.0</vt:lpstr>
      <vt:lpstr>SIMPL_Tab.34_Cod.1524_Lin.0_Typ.Double_Extra.0</vt:lpstr>
      <vt:lpstr>SIMPL_Tab.34_Cod.1525_Lin.0_Typ.Double_Extra.0</vt:lpstr>
      <vt:lpstr>SIMPL_Tab.34_Cod.1526_Lin.0_Typ.Double_Extra.0</vt:lpstr>
      <vt:lpstr>SIMPL_Tab.34_Cod.1527_Lin.0_Typ.Double_Extra.0</vt:lpstr>
      <vt:lpstr>SIMPL_Tab.34_Cod.1528_Lin.0_Typ.Double_Extra.0</vt:lpstr>
      <vt:lpstr>SIMPL_Tab.34_Cod.1529_Lin.0_Typ.Double_Extra.0</vt:lpstr>
      <vt:lpstr>SIMPL_Tab.34_Cod.1530_Lin.0_Typ.Double_Extra.0</vt:lpstr>
      <vt:lpstr>SIMPL_Tab.34_Cod.1531_Lin.0_Typ.Double_Extra.0</vt:lpstr>
      <vt:lpstr>SIMPL_Tab.34_Cod.1532_Lin.0_Typ.Double_Extra.0</vt:lpstr>
      <vt:lpstr>SIMPL_Tab.34_Cod.1533_Lin.0_Typ.Double_Extra.0</vt:lpstr>
      <vt:lpstr>SIMPL_Tab.34_Cod.1534_Lin.0_Typ.Double_Extra.0</vt:lpstr>
      <vt:lpstr>SIMPL_Tab.34_Cod.1535_Lin.0_Typ.Double_Extra.0</vt:lpstr>
      <vt:lpstr>SIMPL_Tab.34_Cod.1536_Lin.0_Typ.Double_Extra.0</vt:lpstr>
      <vt:lpstr>SIMPL_Tab.34_Cod.1537_Lin.0_Typ.Double_Extra.0</vt:lpstr>
      <vt:lpstr>SIMPL_Tab.34_Cod.1538_Lin.0_Typ.Double_Extra.0</vt:lpstr>
      <vt:lpstr>SIMPL_Tab.34_Cod.1539_Lin.0_Typ.Double_Extra.0</vt:lpstr>
      <vt:lpstr>SIMPL_Tab.34_Cod.1540_Lin.0_Typ.Double_Extra.0</vt:lpstr>
      <vt:lpstr>SIMPL_Tab.34_Cod.1541_Lin.0_Typ.Double_Extra.0</vt:lpstr>
      <vt:lpstr>SIMPL_Tab.34_Cod.1542_Lin.0_Typ.Double_Extra.0</vt:lpstr>
      <vt:lpstr>SIMPL_Tab.34_Cod.1543_Lin.0_Typ.Double_Extra.0</vt:lpstr>
      <vt:lpstr>SIMPL_Tab.34_Cod.1544_Lin.0_Typ.Double_Extra.0</vt:lpstr>
      <vt:lpstr>SIMPL_Tab.34_Cod.1545_Lin.0_Typ.Double_Extra.0</vt:lpstr>
      <vt:lpstr>SIMPL_Tab.34_Cod.1546_Lin.0_Typ.Double_Extra.0</vt:lpstr>
      <vt:lpstr>SIMPL_Tab.34_Cod.1547_Lin.0_Typ.Double_Extra.0</vt:lpstr>
      <vt:lpstr>SIMPL_Tab.34_Cod.1548_Lin.0_Typ.Double_Extra.0</vt:lpstr>
      <vt:lpstr>SIMPL_Tab.34_Cod.1549_Lin.0_Typ.Double_Extra.0</vt:lpstr>
      <vt:lpstr>SIMPL_Tab.34_Cod.1550_Lin.0_Typ.Double_Extra.0</vt:lpstr>
      <vt:lpstr>SIMPL_Tab.34_Cod.1551_Lin.0_Typ.Double_Extra.0</vt:lpstr>
      <vt:lpstr>SIMPL_Tab.34_Cod.1552_Lin.0_Typ.Double_Extra.0</vt:lpstr>
      <vt:lpstr>SIMPL_Tab.34_Cod.1553_Lin.0_Typ.Double_Extra.0</vt:lpstr>
      <vt:lpstr>SIMPL_Tab.34_Cod.1562_Lin.0_Typ.Double_Extra.0</vt:lpstr>
      <vt:lpstr>SIMPL_Tab.34_Cod.1563_Lin.0_Typ.Double_Extra.0</vt:lpstr>
      <vt:lpstr>SIMPL_Tab.34_Cod.1564_Lin.0_Typ.Double_Extra.0</vt:lpstr>
      <vt:lpstr>SIMPL_Tab.34_Cod.1565_Lin.0_Typ.Double_Extra.0</vt:lpstr>
      <vt:lpstr>SIMPL_Tab.34_Cod.1566_Lin.0_Typ.Double_Extra.0</vt:lpstr>
      <vt:lpstr>SIMPL_Tab.34_Cod.1567_Lin.0_Typ.Double_Extra.0</vt:lpstr>
      <vt:lpstr>SIMPL_Tab.34_Cod.1568_Lin.0_Typ.Double_Extra.0</vt:lpstr>
      <vt:lpstr>SIMPL_Tab.34_Cod.1569_Lin.0_Typ.Double_Extra.0</vt:lpstr>
      <vt:lpstr>SIMPL_Tab.34_Cod.1570_Lin.0_Typ.Double_Extra.0</vt:lpstr>
      <vt:lpstr>SIMPL_Tab.34_Cod.1571_Lin.0_Typ.Double_Extra.0</vt:lpstr>
      <vt:lpstr>SIMPL_Tab.34_Cod.1572_Lin.0_Typ.Double_Extra.0</vt:lpstr>
      <vt:lpstr>SIMPL_Tab.34_Cod.1573_Lin.0_Typ.Double_Extra.0</vt:lpstr>
      <vt:lpstr>SIMPL_Tab.34_Cod.1574_Lin.0_Typ.Double_Extra.0</vt:lpstr>
      <vt:lpstr>SIMPL_Tab.34_Cod.1575_Lin.0_Typ.Double_Extra.0</vt:lpstr>
      <vt:lpstr>SIMPL_Tab.34_Cod.1576_Lin.0_Typ.Double_Extra.0</vt:lpstr>
      <vt:lpstr>SIMPL_Tab.34_Cod.1577_Lin.0_Typ.Double_Extra.0</vt:lpstr>
      <vt:lpstr>SIMPL_Tab.34_Cod.1578_Lin.0_Typ.Double_Extra.0</vt:lpstr>
      <vt:lpstr>SIMPL_Tab.34_Cod.1579_Lin.0_Typ.Double_Extra.0</vt:lpstr>
      <vt:lpstr>SIMPL_Tab.34_Cod.1582_Lin.0_Typ.Double_Extra.0</vt:lpstr>
      <vt:lpstr>SIMPL_Tab.34_Cod.1583_Lin.0_Typ.Double_Extra.0</vt:lpstr>
      <vt:lpstr>SIMPL_Tab.34_Cod.1584_Lin.0_Typ.Double_Extra.0</vt:lpstr>
      <vt:lpstr>SIMPL_Tab.34_Cod.1585_Lin.0_Typ.Double_Extra.0</vt:lpstr>
      <vt:lpstr>SIMPL_Tab.34_Cod.1586_Lin.0_Typ.Double_Extra.0</vt:lpstr>
      <vt:lpstr>SIMPL_Tab.34_Cod.1587_Lin.0_Typ.Double_Extra.0</vt:lpstr>
      <vt:lpstr>SIMPL_Tab.34_Cod.1588_Lin.0_Typ.Double_Extra.0</vt:lpstr>
      <vt:lpstr>SIMPL_Tab.34_Cod.1589_Lin.0_Typ.Double_Extra.0</vt:lpstr>
      <vt:lpstr>SIMPL_Tab.34_Cod.1590_Lin.0_Typ.Double_Extra.0</vt:lpstr>
      <vt:lpstr>SIMPL_Tab.34_Cod.1591_Lin.0_Typ.Double_Extra.0</vt:lpstr>
      <vt:lpstr>SIMPL_Tab.34_Cod.1592_Lin.0_Typ.Double_Extra.0</vt:lpstr>
      <vt:lpstr>SIMPL_Tab.34_Cod.1593_Lin.0_Typ.Double_Extra.0</vt:lpstr>
      <vt:lpstr>SIMPL_Tab.34_Cod.1594_Lin.0_Typ.Double_Extra.0</vt:lpstr>
      <vt:lpstr>SIMPL_Tab.34_Cod.1733_Lin.0_Typ.Double_Extra.0</vt:lpstr>
      <vt:lpstr>SIMPL_Tab.34_Cod.1734_Lin.0_Typ.Double_Extra.0</vt:lpstr>
      <vt:lpstr>SIMPL_Tab.34_Cod.1764_Lin.0_Typ.Double_Extra.0</vt:lpstr>
      <vt:lpstr>SIMPL_Tab.34_Cod.1765_Lin.0_Typ.Double_Extra.0</vt:lpstr>
      <vt:lpstr>SIMPL_Tab.34_Cod.1766_Lin.0_Typ.Double_Extra.0</vt:lpstr>
      <vt:lpstr>SIMPL_Tab.34_Cod.1767_Lin.0_Typ.Double_Extra.0</vt:lpstr>
      <vt:lpstr>SIMPL_Tab.34_Cod.1792_Lin.0_Typ.Double_Extra.0</vt:lpstr>
      <vt:lpstr>SIMPL_Tab.34_Cod.1793_Lin.0_Typ.Double_Extra.0</vt:lpstr>
      <vt:lpstr>SIMPL_Tab.34_Cod.1794_Lin.0_Typ.Double_Extra.0</vt:lpstr>
      <vt:lpstr>SIMPL_Tab.34_Cod.1795_Lin.0_Typ.Double_Extra.0</vt:lpstr>
      <vt:lpstr>SIMPL_Tab.34_Cod.1796_Lin.0_Typ.Double_Extra.0</vt:lpstr>
      <vt:lpstr>SIMPL_Tab.34_Cod.1797_Lin.0_Typ.Double_Extra.0</vt:lpstr>
      <vt:lpstr>SIMPL_Tab.34_Cod.1798_Lin.0_Typ.Double_Extra.0</vt:lpstr>
      <vt:lpstr>SIMPL_Tab.34_Cod.1807_Lin.0_Typ.Double_Extra.0</vt:lpstr>
      <vt:lpstr>SIMPL_Tab.34_Cod.1808_Lin.0_Typ.Double_Extra.0</vt:lpstr>
      <vt:lpstr>SIMPL_Tab.34_Cod.1809_Lin.0_Typ.Double_Extra.0</vt:lpstr>
      <vt:lpstr>SIMPL_Tab.34_Cod.1810_Lin.0_Typ.Double_Extra.0</vt:lpstr>
      <vt:lpstr>SIMPL_Tab.34_Cod.1811_Lin.0_Typ.Double_Extra.0</vt:lpstr>
      <vt:lpstr>SIMPL_Tab.34_Cod.1812_Lin.0_Typ.Double_Extra.0</vt:lpstr>
      <vt:lpstr>SIMPL_Tab.34_Cod.1813_Lin.0_Typ.Double_Extra.0</vt:lpstr>
      <vt:lpstr>SIMPL_Tab.34_Cod.1814_Lin.0_Typ.Double_Extra.0</vt:lpstr>
      <vt:lpstr>SIMPL_Tab.34_Cod.1815_Lin.0_Typ.Double_Extra.0</vt:lpstr>
      <vt:lpstr>SIMPL_Tab.34_Cod.1816_Lin.0_Typ.Double_Extra.0</vt:lpstr>
      <vt:lpstr>SIMPL_Tab.34_Cod.1817_Lin.0_Typ.Double_Extra.0</vt:lpstr>
      <vt:lpstr>SIMPL_Tab.34_Cod.1963_Lin.0_Typ.Double_Extra.0</vt:lpstr>
      <vt:lpstr>SIMPL_Tab.34_Cod.1964_Lin.0_Typ.Double_Extra.0</vt:lpstr>
      <vt:lpstr>SIMPL_Tab.34_Cod.1965_Lin.0_Typ.Double_Extra.0</vt:lpstr>
      <vt:lpstr>SIMPL_Tab.34_Cod.1966_Lin.0_Typ.Double_Extra.0</vt:lpstr>
      <vt:lpstr>SIMPL_Tab.34_Cod.1967_Lin.0_Typ.Double_Extra.0</vt:lpstr>
      <vt:lpstr>SIMPL_Tab.34_Cod.1968_Lin.0_Typ.Double_Extra.0</vt:lpstr>
      <vt:lpstr>SIMPL_Tab.34_Cod.1969_Lin.0_Typ.Double_Extra.0</vt:lpstr>
      <vt:lpstr>SIMPL_Tab.34_Cod.1970_Lin.0_Typ.Double_Extra.0</vt:lpstr>
      <vt:lpstr>SIMPL_Tab.34_Cod.1971_Lin.0_Typ.Double_Extra.0</vt:lpstr>
      <vt:lpstr>SIMPL_Tab.34_Cod.1972_Lin.0_Typ.Double_Extra.0</vt:lpstr>
      <vt:lpstr>SIMPL_Tab.34_Cod.1973_Lin.0_Typ.Double_Extra.0</vt:lpstr>
      <vt:lpstr>SIMPL_Tab.34_Cod.1974_Lin.0_Typ.Double_Extra.0</vt:lpstr>
      <vt:lpstr>SIMPL_Tab.34_Cod.1975_Lin.0_Typ.Double_Extra.0</vt:lpstr>
      <vt:lpstr>SIMPL_Tab.34_Cod.1976_Lin.0_Typ.Double_Extra.0</vt:lpstr>
      <vt:lpstr>SIMPL_Tab.34_Cod.1977_Lin.0_Typ.Double_Extra.0</vt:lpstr>
      <vt:lpstr>SIMPL_Tab.34_Cod.1978_Lin.0_Typ.Double_Extra.0</vt:lpstr>
      <vt:lpstr>SIMPL_Tab.34_Cod.1979_Lin.0_Typ.Double_Extra.0</vt:lpstr>
      <vt:lpstr>SIMPL_Tab.34_Cod.1980_Lin.0_Typ.Double_Extra.0</vt:lpstr>
      <vt:lpstr>SIMPL_Tab.34_Cod.1981_Lin.0_Typ.Double_Extra.0</vt:lpstr>
      <vt:lpstr>SIMPL_Tab.34_Cod.1982_Lin.0_Typ.Double_Extra.0</vt:lpstr>
      <vt:lpstr>SIMPL_Tab.34_Cod.1983_Lin.0_Typ.Double_Extra.0</vt:lpstr>
      <vt:lpstr>SIMPL_Tab.34_Cod.1984_Lin.0_Typ.Double_Extra.0</vt:lpstr>
      <vt:lpstr>SIMPL_Tab.34_Cod.1985_Lin.0_Typ.Double_Extra.0</vt:lpstr>
      <vt:lpstr>SIMPL_Tab.34_Cod.1986_Lin.0_Typ.Double_Extra.0</vt:lpstr>
      <vt:lpstr>SIMPL_Tab.34_Cod.1987_Lin.0_Typ.Double_Extra.0</vt:lpstr>
      <vt:lpstr>SIMPL_Tab.34_Cod.1988_Lin.0_Typ.Double_Extra.0</vt:lpstr>
      <vt:lpstr>SIMPL_Tab.34_Cod.1989_Lin.0_Typ.Double_Extra.0</vt:lpstr>
      <vt:lpstr>SIMPL_Tab.34_Cod.1990_Lin.0_Typ.Double_Extra.0</vt:lpstr>
      <vt:lpstr>SIMPL_Tab.34_Cod.1991_Lin.0_Typ.Double_Extra.0</vt:lpstr>
      <vt:lpstr>SIMPL_Tab.34_Cod.1992_Lin.0_Typ.Double_Extra.0</vt:lpstr>
      <vt:lpstr>SIMPL_Tab.34_Cod.1993_Lin.0_Typ.Double_Extra.0</vt:lpstr>
      <vt:lpstr>SIMPL_Tab.34_Cod.1994_Lin.0_Typ.Double_Extra.0</vt:lpstr>
      <vt:lpstr>SIMPL_Tab.34_Cod.1995_Lin.0_Typ.Double_Extra.0</vt:lpstr>
      <vt:lpstr>SIMPL_Tab.34_Cod.1996_Lin.0_Typ.Double_Extra.0</vt:lpstr>
      <vt:lpstr>SIMPL_Tab.34_Cod.1997_Lin.0_Typ.Double_Extra.0</vt:lpstr>
      <vt:lpstr>SIMPL_Tab.34_Cod.1998_Lin.0_Typ.Double_Extra.0</vt:lpstr>
      <vt:lpstr>SIMPL_Tab.34_Cod.1999_Lin.0_Typ.Double_Extra.0</vt:lpstr>
      <vt:lpstr>SIMPL_Tab.34_Cod.2000_Lin.0_Typ.Double_Extra.0</vt:lpstr>
      <vt:lpstr>SIMPL_Tab.34_Cod.2001_Lin.0_Typ.Double_Extra.0</vt:lpstr>
      <vt:lpstr>SIMPL_Tab.34_Cod.2002_Lin.0_Typ.Double_Extra.0</vt:lpstr>
      <vt:lpstr>SIMPL_Tab.34_Cod.2003_Lin.0_Typ.Double_Extra.0</vt:lpstr>
      <vt:lpstr>SIMPL_Tab.34_Cod.2004_Lin.0_Typ.Double_Extra.0</vt:lpstr>
      <vt:lpstr>SIMPL_Tab.34_Cod.2005_Lin.0_Typ.Double_Extra.0</vt:lpstr>
      <vt:lpstr>SIMPL_Tab.34_Cod.2006_Lin.0_Typ.Double_Extra.0</vt:lpstr>
      <vt:lpstr>SIMPL_Tab.34_Cod.2007_Lin.0_Typ.Double_Extra.0</vt:lpstr>
      <vt:lpstr>SIMPL_Tab.34_Cod.2008_Lin.0_Typ.Double_Extra.0</vt:lpstr>
      <vt:lpstr>SIMPL_Tab.34_Cod.2009_Lin.0_Typ.Double_Extra.0</vt:lpstr>
      <vt:lpstr>SIMPL_Tab.34_Cod.2010_Lin.0_Typ.Double_Extra.0</vt:lpstr>
      <vt:lpstr>SIMPL_Tab.34_Cod.2011_Lin.0_Typ.Double_Extra.0</vt:lpstr>
      <vt:lpstr>SIMPL_Tab.34_Cod.2012_Lin.0_Typ.Double_Extra.0</vt:lpstr>
      <vt:lpstr>SIMPL_Tab.34_Cod.2013_Lin.0_Typ.Double_Extra.0</vt:lpstr>
      <vt:lpstr>SIMPL_Tab.34_Cod.2014_Lin.0_Typ.Double_Extra.0</vt:lpstr>
      <vt:lpstr>SIMPL_Tab.34_Cod.2022_Lin.0_Typ.Double_Extra.0</vt:lpstr>
      <vt:lpstr>SIMPL_Tab.34_Cod.2024_Lin.0_Typ.Double_Extra.0</vt:lpstr>
      <vt:lpstr>SIMPL_Tab.34_Cod.2025_Lin.0_Typ.Double_Extra.0</vt:lpstr>
      <vt:lpstr>SIMPL_Tab.34_Cod.2026_Lin.0_Typ.Double_Extra.0</vt:lpstr>
      <vt:lpstr>SIMPL_Tab.34_Cod.2027_Lin.0_Typ.Double_Extra.0</vt:lpstr>
      <vt:lpstr>SIMPL_Tab.34_Cod.2028_Lin.0_Typ.Double_Extra.0</vt:lpstr>
      <vt:lpstr>SIMPL_Tab.34_Cod.2029_Lin.0_Typ.Double_Extra.0</vt:lpstr>
      <vt:lpstr>SIMPL_Tab.34_Cod.2031_Lin.0_Typ.Double_Extra.0</vt:lpstr>
      <vt:lpstr>SIMPL_Tab.34_Cod.2032_Lin.0_Typ.Double_Extra.0</vt:lpstr>
      <vt:lpstr>SIMPL_Tab.34_Cod.2033_Lin.0_Typ.Double_Extra.0</vt:lpstr>
      <vt:lpstr>SIMPL_Tab.34_Cod.2034_Lin.0_Typ.Double_Extra.0</vt:lpstr>
      <vt:lpstr>SIMPL_Tab.34_Cod.2035_Lin.0_Typ.Double_Extra.0</vt:lpstr>
      <vt:lpstr>SIMPL_Tab.34_Cod.70_Lin.0_Typ.Date_Extra.1</vt:lpstr>
      <vt:lpstr>SIMPL_Tab.36_Cod.1401_Lin.0_Typ.Double_Extra.0</vt:lpstr>
      <vt:lpstr>SIMPL_Tab.36_Cod.1402_Lin.0_Typ.Double_Extra.0</vt:lpstr>
      <vt:lpstr>SIMPL_Tab.36_Cod.1403_Lin.0_Typ.Double_Extra.0</vt:lpstr>
      <vt:lpstr>SIMPL_Tab.36_Cod.1404_Lin.0_Typ.Double_Extra.0</vt:lpstr>
      <vt:lpstr>SIMPL_Tab.36_Cod.1405_Lin.0_Typ.Double_Extra.0</vt:lpstr>
      <vt:lpstr>SIMPL_Tab.36_Cod.1406_Lin.0_Typ.Double_Extra.0</vt:lpstr>
      <vt:lpstr>SIMPL_Tab.36_Cod.1407_Lin.0_Typ.Double_Extra.0</vt:lpstr>
      <vt:lpstr>SIMPL_Tab.36_Cod.1409_Lin.0_Typ.Double_Extra.0</vt:lpstr>
      <vt:lpstr>SIMPL_Tab.36_Cod.1410_Lin.0_Typ.Double_Extra.0</vt:lpstr>
      <vt:lpstr>SIMPL_Tab.36_Cod.1411_Lin.0_Typ.Double_Extra.0</vt:lpstr>
      <vt:lpstr>SIMPL_Tab.36_Cod.1412_Lin.0_Typ.Double_Extra.0</vt:lpstr>
      <vt:lpstr>SIMPL_Tab.36_Cod.1413_Lin.0_Typ.Double_Extra.0</vt:lpstr>
      <vt:lpstr>SIMPL_Tab.36_Cod.1414_Lin.0_Typ.Double_Extra.0</vt:lpstr>
      <vt:lpstr>SIMPL_Tab.36_Cod.1415_Lin.0_Typ.Double_Extra.0</vt:lpstr>
      <vt:lpstr>SIMPL_Tab.36_Cod.1417_Lin.0_Typ.Double_Extra.0</vt:lpstr>
      <vt:lpstr>SIMPL_Tab.36_Cod.1418_Lin.0_Typ.Double_Extra.0</vt:lpstr>
      <vt:lpstr>SIMPL_Tab.36_Cod.1419_Lin.0_Typ.Double_Extra.0</vt:lpstr>
      <vt:lpstr>SIMPL_Tab.36_Cod.1420_Lin.0_Typ.Double_Extra.0</vt:lpstr>
      <vt:lpstr>SIMPL_Tab.36_Cod.1421_Lin.0_Typ.Double_Extra.0</vt:lpstr>
      <vt:lpstr>SIMPL_Tab.36_Cod.1422_Lin.0_Typ.Double_Extra.0</vt:lpstr>
      <vt:lpstr>SIMPL_Tab.36_Cod.1423_Lin.0_Typ.Double_Extra.0</vt:lpstr>
      <vt:lpstr>SIMPL_Tab.36_Cod.1425_Lin.0_Typ.Double_Extra.0</vt:lpstr>
      <vt:lpstr>SIMPL_Tab.36_Cod.1426_Lin.0_Typ.Double_Extra.0</vt:lpstr>
      <vt:lpstr>SIMPL_Tab.36_Cod.1427_Lin.0_Typ.Double_Extra.0</vt:lpstr>
      <vt:lpstr>SIMPL_Tab.36_Cod.1428_Lin.0_Typ.Double_Extra.0</vt:lpstr>
      <vt:lpstr>SIMPL_Tab.36_Cod.1429_Lin.0_Typ.Double_Extra.0</vt:lpstr>
      <vt:lpstr>SIMPL_Tab.36_Cod.1430_Lin.0_Typ.Double_Extra.0</vt:lpstr>
      <vt:lpstr>SIMPL_Tab.36_Cod.1431_Lin.0_Typ.Double_Extra.0</vt:lpstr>
      <vt:lpstr>SIMPL_Tab.36_Cod.1433_Lin.0_Typ.Double_Extra.0</vt:lpstr>
      <vt:lpstr>SIMPL_Tab.36_Cod.1434_Lin.0_Typ.Double_Extra.0</vt:lpstr>
      <vt:lpstr>SIMPL_Tab.36_Cod.1435_Lin.0_Typ.Double_Extra.0</vt:lpstr>
      <vt:lpstr>SIMPL_Tab.36_Cod.1436_Lin.0_Typ.Double_Extra.0</vt:lpstr>
      <vt:lpstr>SIMPL_Tab.36_Cod.1437_Lin.0_Typ.Double_Extra.0</vt:lpstr>
      <vt:lpstr>SIMPL_Tab.36_Cod.1438_Lin.0_Typ.Double_Extra.0</vt:lpstr>
      <vt:lpstr>SIMPL_Tab.36_Cod.1439_Lin.0_Typ.Double_Extra.0</vt:lpstr>
      <vt:lpstr>SIMPL_Tab.36_Cod.1449_Lin.0_Typ.Double_Extra.0</vt:lpstr>
      <vt:lpstr>SIMPL_Tab.36_Cod.1450_Lin.0_Typ.Double_Extra.0</vt:lpstr>
      <vt:lpstr>SIMPL_Tab.36_Cod.1451_Lin.0_Typ.Double_Extra.0</vt:lpstr>
      <vt:lpstr>SIMPL_Tab.36_Cod.1452_Lin.0_Typ.Double_Extra.0</vt:lpstr>
      <vt:lpstr>SIMPL_Tab.36_Cod.1453_Lin.0_Typ.Double_Extra.0</vt:lpstr>
      <vt:lpstr>SIMPL_Tab.36_Cod.1454_Lin.0_Typ.Double_Extra.0</vt:lpstr>
      <vt:lpstr>SIMPL_Tab.36_Cod.1455_Lin.0_Typ.Double_Extra.0</vt:lpstr>
      <vt:lpstr>SIMPL_Tab.36_Cod.1457_Lin.0_Typ.Double_Extra.0</vt:lpstr>
      <vt:lpstr>SIMPL_Tab.36_Cod.1458_Lin.0_Typ.Double_Extra.0</vt:lpstr>
      <vt:lpstr>SIMPL_Tab.36_Cod.1459_Lin.0_Typ.Double_Extra.0</vt:lpstr>
      <vt:lpstr>SIMPL_Tab.36_Cod.1460_Lin.0_Typ.Double_Extra.0</vt:lpstr>
      <vt:lpstr>SIMPL_Tab.36_Cod.1461_Lin.0_Typ.Double_Extra.0</vt:lpstr>
      <vt:lpstr>SIMPL_Tab.36_Cod.1462_Lin.0_Typ.Double_Extra.0</vt:lpstr>
      <vt:lpstr>SIMPL_Tab.36_Cod.1463_Lin.0_Typ.Double_Extra.0</vt:lpstr>
      <vt:lpstr>SIMPL_Tab.36_Cod.1465_Lin.0_Typ.Double_Extra.0</vt:lpstr>
      <vt:lpstr>SIMPL_Tab.36_Cod.1466_Lin.0_Typ.Double_Extra.0</vt:lpstr>
      <vt:lpstr>SIMPL_Tab.36_Cod.1467_Lin.0_Typ.Double_Extra.0</vt:lpstr>
      <vt:lpstr>SIMPL_Tab.36_Cod.1468_Lin.0_Typ.Double_Extra.0</vt:lpstr>
      <vt:lpstr>SIMPL_Tab.36_Cod.1469_Lin.0_Typ.Double_Extra.0</vt:lpstr>
      <vt:lpstr>SIMPL_Tab.36_Cod.1470_Lin.0_Typ.Double_Extra.0</vt:lpstr>
      <vt:lpstr>SIMPL_Tab.36_Cod.1471_Lin.0_Typ.Double_Extra.0</vt:lpstr>
      <vt:lpstr>SIMPL_Tab.36_Cod.1481_Lin.0_Typ.Double_Extra.0</vt:lpstr>
      <vt:lpstr>SIMPL_Tab.36_Cod.1482_Lin.0_Typ.Double_Extra.0</vt:lpstr>
      <vt:lpstr>SIMPL_Tab.36_Cod.1483_Lin.0_Typ.Double_Extra.0</vt:lpstr>
      <vt:lpstr>SIMPL_Tab.36_Cod.1484_Lin.0_Typ.Double_Extra.0</vt:lpstr>
      <vt:lpstr>SIMPL_Tab.36_Cod.1485_Lin.0_Typ.Double_Extra.0</vt:lpstr>
      <vt:lpstr>SIMPL_Tab.36_Cod.1486_Lin.0_Typ.Double_Extra.0</vt:lpstr>
      <vt:lpstr>SIMPL_Tab.36_Cod.1487_Lin.0_Typ.Double_Extra.0</vt:lpstr>
      <vt:lpstr>SIMPL_Tab.36_Cod.1555_Lin.0_Typ.Double_Extra.0</vt:lpstr>
      <vt:lpstr>SIMPL_Tab.36_Cod.1556_Lin.0_Typ.Double_Extra.0</vt:lpstr>
      <vt:lpstr>SIMPL_Tab.36_Cod.1557_Lin.0_Typ.Double_Extra.0</vt:lpstr>
      <vt:lpstr>SIMPL_Tab.36_Cod.1558_Lin.0_Typ.Double_Extra.0</vt:lpstr>
      <vt:lpstr>SIMPL_Tab.36_Cod.1559_Lin.0_Typ.Double_Extra.0</vt:lpstr>
      <vt:lpstr>SIMPL_Tab.36_Cod.1560_Lin.0_Typ.Double_Extra.0</vt:lpstr>
      <vt:lpstr>SIMPL_Tab.36_Cod.1561_Lin.0_Typ.Double_Extra.0</vt:lpstr>
      <vt:lpstr>SIMPL_Tab.36_Cod.1596_Lin.0_Typ.Double_Extra.0</vt:lpstr>
      <vt:lpstr>SIMPL_Tab.36_Cod.1597_Lin.0_Typ.Double_Extra.0</vt:lpstr>
      <vt:lpstr>SIMPL_Tab.36_Cod.1598_Lin.0_Typ.Double_Extra.0</vt:lpstr>
      <vt:lpstr>SIMPL_Tab.36_Cod.1599_Lin.0_Typ.Double_Extra.0</vt:lpstr>
      <vt:lpstr>SIMPL_Tab.36_Cod.1600_Lin.0_Typ.Double_Extra.0</vt:lpstr>
      <vt:lpstr>SIMPL_Tab.36_Cod.1601_Lin.0_Typ.Double_Extra.0</vt:lpstr>
      <vt:lpstr>SIMPL_Tab.36_Cod.1602_Lin.0_Typ.Double_Extra.0</vt:lpstr>
      <vt:lpstr>SIMPL_Tab.36_Cod.1604_Lin.0_Typ.Double_Extra.0</vt:lpstr>
      <vt:lpstr>SIMPL_Tab.36_Cod.1605_Lin.0_Typ.Double_Extra.0</vt:lpstr>
      <vt:lpstr>SIMPL_Tab.36_Cod.1606_Lin.0_Typ.Double_Extra.0</vt:lpstr>
      <vt:lpstr>SIMPL_Tab.36_Cod.1607_Lin.0_Typ.Double_Extra.0</vt:lpstr>
      <vt:lpstr>SIMPL_Tab.36_Cod.1608_Lin.0_Typ.Double_Extra.0</vt:lpstr>
      <vt:lpstr>SIMPL_Tab.36_Cod.1609_Lin.0_Typ.Double_Extra.0</vt:lpstr>
      <vt:lpstr>SIMPL_Tab.36_Cod.1610_Lin.0_Typ.Double_Extra.0</vt:lpstr>
      <vt:lpstr>SIMPL_Tab.36_Cod.1612_Lin.0_Typ.Double_Extra.0</vt:lpstr>
      <vt:lpstr>SIMPL_Tab.36_Cod.1613_Lin.0_Typ.Double_Extra.0</vt:lpstr>
      <vt:lpstr>SIMPL_Tab.36_Cod.1614_Lin.0_Typ.Double_Extra.0</vt:lpstr>
      <vt:lpstr>SIMPL_Tab.36_Cod.1615_Lin.0_Typ.Double_Extra.0</vt:lpstr>
      <vt:lpstr>SIMPL_Tab.36_Cod.1616_Lin.0_Typ.Double_Extra.0</vt:lpstr>
      <vt:lpstr>SIMPL_Tab.36_Cod.1617_Lin.0_Typ.Double_Extra.0</vt:lpstr>
      <vt:lpstr>SIMPL_Tab.36_Cod.1618_Lin.0_Typ.Double_Extra.0</vt:lpstr>
      <vt:lpstr>SIMPL_Tab.36_Cod.1635_Lin.0_Typ.Double_Extra.0</vt:lpstr>
      <vt:lpstr>SIMPL_Tab.36_Cod.1636_Lin.0_Typ.Double_Extra.0</vt:lpstr>
      <vt:lpstr>SIMPL_Tab.36_Cod.1637_Lin.0_Typ.Double_Extra.0</vt:lpstr>
      <vt:lpstr>SIMPL_Tab.36_Cod.1638_Lin.0_Typ.Double_Extra.0</vt:lpstr>
      <vt:lpstr>SIMPL_Tab.36_Cod.1639_Lin.0_Typ.Double_Extra.0</vt:lpstr>
      <vt:lpstr>SIMPL_Tab.36_Cod.1640_Lin.0_Typ.Double_Extra.0</vt:lpstr>
      <vt:lpstr>SIMPL_Tab.36_Cod.1641_Lin.0_Typ.Double_Extra.0</vt:lpstr>
      <vt:lpstr>SIMPL_Tab.36_Cod.1643_Lin.0_Typ.Double_Extra.0</vt:lpstr>
      <vt:lpstr>SIMPL_Tab.36_Cod.1644_Lin.0_Typ.Double_Extra.0</vt:lpstr>
      <vt:lpstr>SIMPL_Tab.36_Cod.1645_Lin.0_Typ.Double_Extra.0</vt:lpstr>
      <vt:lpstr>SIMPL_Tab.36_Cod.1646_Lin.0_Typ.Double_Extra.0</vt:lpstr>
      <vt:lpstr>SIMPL_Tab.36_Cod.1647_Lin.0_Typ.Double_Extra.0</vt:lpstr>
      <vt:lpstr>SIMPL_Tab.36_Cod.1648_Lin.0_Typ.Double_Extra.0</vt:lpstr>
      <vt:lpstr>SIMPL_Tab.36_Cod.1649_Lin.0_Typ.Double_Extra.0</vt:lpstr>
      <vt:lpstr>SIMPL_Tab.36_Cod.1656_Lin.0_Typ.Double_Extra.0</vt:lpstr>
      <vt:lpstr>SIMPL_Tab.36_Cod.1657_Lin.0_Typ.Double_Extra.0</vt:lpstr>
      <vt:lpstr>SIMPL_Tab.36_Cod.1658_Lin.0_Typ.Double_Extra.0</vt:lpstr>
      <vt:lpstr>SIMPL_Tab.36_Cod.1659_Lin.0_Typ.Double_Extra.0</vt:lpstr>
      <vt:lpstr>SIMPL_Tab.36_Cod.1660_Lin.0_Typ.Double_Extra.0</vt:lpstr>
      <vt:lpstr>SIMPL_Tab.36_Cod.1661_Lin.0_Typ.Double_Extra.0</vt:lpstr>
      <vt:lpstr>SIMPL_Tab.36_Cod.1662_Lin.0_Typ.Double_Extra.0</vt:lpstr>
      <vt:lpstr>SIMPL_Tab.36_Cod.1664_Lin.0_Typ.Double_Extra.0</vt:lpstr>
      <vt:lpstr>SIMPL_Tab.36_Cod.1665_Lin.0_Typ.Double_Extra.0</vt:lpstr>
      <vt:lpstr>SIMPL_Tab.36_Cod.1666_Lin.0_Typ.Double_Extra.0</vt:lpstr>
      <vt:lpstr>SIMPL_Tab.36_Cod.1667_Lin.0_Typ.Double_Extra.0</vt:lpstr>
      <vt:lpstr>SIMPL_Tab.36_Cod.1668_Lin.0_Typ.Double_Extra.0</vt:lpstr>
      <vt:lpstr>SIMPL_Tab.36_Cod.1669_Lin.0_Typ.Double_Extra.0</vt:lpstr>
      <vt:lpstr>SIMPL_Tab.36_Cod.1670_Lin.0_Typ.Double_Extra.0</vt:lpstr>
      <vt:lpstr>SIMPL_Tab.36_Cod.1672_Lin.0_Typ.Double_Extra.0</vt:lpstr>
      <vt:lpstr>SIMPL_Tab.36_Cod.1673_Lin.0_Typ.Double_Extra.0</vt:lpstr>
      <vt:lpstr>SIMPL_Tab.36_Cod.1674_Lin.0_Typ.Double_Extra.0</vt:lpstr>
      <vt:lpstr>SIMPL_Tab.36_Cod.1675_Lin.0_Typ.Double_Extra.0</vt:lpstr>
      <vt:lpstr>SIMPL_Tab.36_Cod.1676_Lin.0_Typ.Double_Extra.0</vt:lpstr>
      <vt:lpstr>SIMPL_Tab.36_Cod.1677_Lin.0_Typ.Double_Extra.0</vt:lpstr>
      <vt:lpstr>SIMPL_Tab.36_Cod.1678_Lin.0_Typ.Double_Extra.0</vt:lpstr>
      <vt:lpstr>SIMPL_Tab.36_Cod.1685_Lin.0_Typ.Double_Extra.0</vt:lpstr>
      <vt:lpstr>SIMPL_Tab.36_Cod.1686_Lin.0_Typ.Double_Extra.0</vt:lpstr>
      <vt:lpstr>SIMPL_Tab.36_Cod.1687_Lin.0_Typ.Double_Extra.0</vt:lpstr>
      <vt:lpstr>SIMPL_Tab.36_Cod.1688_Lin.0_Typ.Double_Extra.0</vt:lpstr>
      <vt:lpstr>SIMPL_Tab.36_Cod.1689_Lin.0_Typ.Double_Extra.0</vt:lpstr>
      <vt:lpstr>SIMPL_Tab.36_Cod.1690_Lin.0_Typ.Double_Extra.0</vt:lpstr>
      <vt:lpstr>SIMPL_Tab.36_Cod.1691_Lin.0_Typ.Double_Extra.0</vt:lpstr>
      <vt:lpstr>SIMPL_Tab.36_Cod.1736_Lin.0_Typ.Double_Extra.0</vt:lpstr>
      <vt:lpstr>SIMPL_Tab.36_Cod.1737_Lin.0_Typ.Double_Extra.0</vt:lpstr>
      <vt:lpstr>SIMPL_Tab.36_Cod.1738_Lin.0_Typ.Double_Extra.0</vt:lpstr>
      <vt:lpstr>SIMPL_Tab.36_Cod.1739_Lin.0_Typ.Double_Extra.0</vt:lpstr>
      <vt:lpstr>SIMPL_Tab.36_Cod.1740_Lin.0_Typ.Double_Extra.0</vt:lpstr>
      <vt:lpstr>SIMPL_Tab.36_Cod.1741_Lin.0_Typ.Double_Extra.0</vt:lpstr>
      <vt:lpstr>SIMPL_Tab.36_Cod.1742_Lin.0_Typ.Double_Extra.0</vt:lpstr>
      <vt:lpstr>SIMPL_Tab.36_Cod.1757_Lin.0_Typ.Double_Extra.0</vt:lpstr>
      <vt:lpstr>SIMPL_Tab.36_Cod.1758_Lin.0_Typ.Double_Extra.0</vt:lpstr>
      <vt:lpstr>SIMPL_Tab.36_Cod.1759_Lin.0_Typ.Double_Extra.0</vt:lpstr>
      <vt:lpstr>SIMPL_Tab.36_Cod.1760_Lin.0_Typ.Double_Extra.0</vt:lpstr>
      <vt:lpstr>SIMPL_Tab.36_Cod.1761_Lin.0_Typ.Double_Extra.0</vt:lpstr>
      <vt:lpstr>SIMPL_Tab.36_Cod.1762_Lin.0_Typ.Double_Extra.0</vt:lpstr>
      <vt:lpstr>SIMPL_Tab.36_Cod.1763_Lin.0_Typ.Double_Extra.0</vt:lpstr>
      <vt:lpstr>SIMPL_Tab.36_Cod.1769_Lin.0_Typ.Double_Extra.0</vt:lpstr>
      <vt:lpstr>SIMPL_Tab.36_Cod.1770_Lin.0_Typ.Double_Extra.0</vt:lpstr>
      <vt:lpstr>SIMPL_Tab.36_Cod.1771_Lin.0_Typ.Double_Extra.0</vt:lpstr>
      <vt:lpstr>SIMPL_Tab.36_Cod.1772_Lin.0_Typ.Double_Extra.0</vt:lpstr>
      <vt:lpstr>SIMPL_Tab.36_Cod.1773_Lin.0_Typ.Double_Extra.0</vt:lpstr>
      <vt:lpstr>SIMPL_Tab.36_Cod.1774_Lin.0_Typ.Double_Extra.0</vt:lpstr>
      <vt:lpstr>SIMPL_Tab.36_Cod.1775_Lin.0_Typ.Double_Extra.0</vt:lpstr>
      <vt:lpstr>SIMPL_Tab.36_Cod.1800_Lin.0_Typ.Double_Extra.0</vt:lpstr>
      <vt:lpstr>SIMPL_Tab.36_Cod.1801_Lin.0_Typ.Double_Extra.0</vt:lpstr>
      <vt:lpstr>SIMPL_Tab.36_Cod.1802_Lin.0_Typ.Double_Extra.0</vt:lpstr>
      <vt:lpstr>SIMPL_Tab.36_Cod.1803_Lin.0_Typ.Double_Extra.0</vt:lpstr>
      <vt:lpstr>SIMPL_Tab.36_Cod.1804_Lin.0_Typ.Double_Extra.0</vt:lpstr>
      <vt:lpstr>SIMPL_Tab.36_Cod.1805_Lin.0_Typ.Double_Extra.0</vt:lpstr>
      <vt:lpstr>SIMPL_Tab.36_Cod.1806_Lin.0_Typ.Double_Extra.0</vt:lpstr>
      <vt:lpstr>SIMPL_Tab.36_Cod.1819_Lin.0_Typ.Double_Extra.0</vt:lpstr>
      <vt:lpstr>SIMPL_Tab.36_Cod.1820_Lin.0_Typ.Double_Extra.0</vt:lpstr>
      <vt:lpstr>SIMPL_Tab.36_Cod.1821_Lin.0_Typ.Double_Extra.0</vt:lpstr>
      <vt:lpstr>SIMPL_Tab.36_Cod.1822_Lin.0_Typ.Double_Extra.0</vt:lpstr>
      <vt:lpstr>SIMPL_Tab.36_Cod.1823_Lin.0_Typ.Double_Extra.0</vt:lpstr>
      <vt:lpstr>SIMPL_Tab.36_Cod.1824_Lin.0_Typ.Double_Extra.0</vt:lpstr>
      <vt:lpstr>SIMPL_Tab.36_Cod.1825_Lin.0_Typ.Double_Extra.0</vt:lpstr>
      <vt:lpstr>SIMPL_Tab.36_Cod.1836_Lin.0_Typ.Double_Extra.0</vt:lpstr>
      <vt:lpstr>SIMPL_Tab.36_Cod.1837_Lin.0_Typ.Double_Extra.0</vt:lpstr>
      <vt:lpstr>SIMPL_Tab.36_Cod.1838_Lin.0_Typ.Double_Extra.0</vt:lpstr>
      <vt:lpstr>SIMPL_Tab.36_Cod.1839_Lin.0_Typ.Double_Extra.0</vt:lpstr>
      <vt:lpstr>SIMPL_Tab.36_Cod.1840_Lin.0_Typ.Double_Extra.0</vt:lpstr>
      <vt:lpstr>SIMPL_Tab.36_Cod.1841_Lin.0_Typ.Double_Extra.0</vt:lpstr>
      <vt:lpstr>SIMPL_Tab.36_Cod.1842_Lin.0_Typ.Double_Extra.0</vt:lpstr>
      <vt:lpstr>SIMPL_Tab.36_Cod.1853_Lin.0_Typ.Double_Extra.0</vt:lpstr>
      <vt:lpstr>SIMPL_Tab.36_Cod.1854_Lin.0_Typ.Double_Extra.0</vt:lpstr>
      <vt:lpstr>SIMPL_Tab.36_Cod.1855_Lin.0_Typ.Double_Extra.0</vt:lpstr>
      <vt:lpstr>SIMPL_Tab.36_Cod.1856_Lin.0_Typ.Double_Extra.0</vt:lpstr>
      <vt:lpstr>SIMPL_Tab.36_Cod.1857_Lin.0_Typ.Double_Extra.0</vt:lpstr>
      <vt:lpstr>SIMPL_Tab.36_Cod.1858_Lin.0_Typ.Double_Extra.0</vt:lpstr>
      <vt:lpstr>SIMPL_Tab.36_Cod.1859_Lin.0_Typ.Double_Extra.0</vt:lpstr>
      <vt:lpstr>SIMPL_Tab.36_Cod.1861_Lin.0_Typ.Double_Extra.0</vt:lpstr>
      <vt:lpstr>SIMPL_Tab.36_Cod.1862_Lin.0_Typ.Double_Extra.0</vt:lpstr>
      <vt:lpstr>SIMPL_Tab.36_Cod.1863_Lin.0_Typ.Double_Extra.0</vt:lpstr>
      <vt:lpstr>SIMPL_Tab.36_Cod.1864_Lin.0_Typ.Double_Extra.0</vt:lpstr>
      <vt:lpstr>SIMPL_Tab.36_Cod.1865_Lin.0_Typ.Double_Extra.0</vt:lpstr>
      <vt:lpstr>SIMPL_Tab.36_Cod.1866_Lin.0_Typ.Double_Extra.0</vt:lpstr>
      <vt:lpstr>SIMPL_Tab.36_Cod.1867_Lin.0_Typ.Double_Extra.0</vt:lpstr>
      <vt:lpstr>SIMPL_Tab.36_Cod.1869_Lin.0_Typ.Double_Extra.0</vt:lpstr>
      <vt:lpstr>SIMPL_Tab.36_Cod.1870_Lin.0_Typ.Double_Extra.0</vt:lpstr>
      <vt:lpstr>SIMPL_Tab.36_Cod.1871_Lin.0_Typ.Double_Extra.0</vt:lpstr>
      <vt:lpstr>SIMPL_Tab.36_Cod.1872_Lin.0_Typ.Double_Extra.0</vt:lpstr>
      <vt:lpstr>SIMPL_Tab.36_Cod.1873_Lin.0_Typ.Double_Extra.0</vt:lpstr>
      <vt:lpstr>SIMPL_Tab.36_Cod.1874_Lin.0_Typ.Double_Extra.0</vt:lpstr>
      <vt:lpstr>SIMPL_Tab.36_Cod.1875_Lin.0_Typ.Double_Extra.0</vt:lpstr>
      <vt:lpstr>SIMPL_Tab.36_Cod.1886_Lin.0_Typ.Double_Extra.0</vt:lpstr>
      <vt:lpstr>SIMPL_Tab.36_Cod.1887_Lin.0_Typ.Double_Extra.0</vt:lpstr>
      <vt:lpstr>SIMPL_Tab.36_Cod.1888_Lin.0_Typ.Double_Extra.0</vt:lpstr>
      <vt:lpstr>SIMPL_Tab.36_Cod.1889_Lin.0_Typ.Double_Extra.0</vt:lpstr>
      <vt:lpstr>SIMPL_Tab.36_Cod.1890_Lin.0_Typ.Double_Extra.0</vt:lpstr>
      <vt:lpstr>SIMPL_Tab.36_Cod.1891_Lin.0_Typ.Double_Extra.0</vt:lpstr>
      <vt:lpstr>SIMPL_Tab.36_Cod.1892_Lin.0_Typ.Double_Extra.0</vt:lpstr>
      <vt:lpstr>SIMPL_Tab.37_Cod.1748_Lin.0_Typ.Double_Extra.0</vt:lpstr>
      <vt:lpstr>SIMPL_Tab.37_Cod.1749_Lin.0_Typ.Double_Extra.0</vt:lpstr>
      <vt:lpstr>SIMPL_Tab.37_Cod.1750_Lin.0_Typ.Double_Extra.0</vt:lpstr>
      <vt:lpstr>SIMPL_Tab.37_Cod.1751_Lin.0_Typ.Double_Extra.0</vt:lpstr>
      <vt:lpstr>SIMPL_Tab.37_Cod.1752_Lin.0_Typ.Double_Extra.0</vt:lpstr>
      <vt:lpstr>SIMPL_Tab.37_Cod.1753_Lin.0_Typ.Double_Extra.0</vt:lpstr>
      <vt:lpstr>SIMPL_Tab.37_Cod.1754_Lin.0_Typ.Double_Extra.0</vt:lpstr>
      <vt:lpstr>SIMPL_Tab.37_Cod.1755_Lin.0_Typ.Double_Extra.0</vt:lpstr>
      <vt:lpstr>SIMPL_Tab.37_Cod.1784_Lin.0_Typ.Double_Extra.0</vt:lpstr>
      <vt:lpstr>SIMPL_Tab.37_Cod.1785_Lin.0_Typ.Double_Extra.0</vt:lpstr>
      <vt:lpstr>SIMPL_Tab.37_Cod.1786_Lin.0_Typ.Double_Extra.0</vt:lpstr>
      <vt:lpstr>SIMPL_Tab.37_Cod.1787_Lin.0_Typ.Double_Extra.0</vt:lpstr>
      <vt:lpstr>SIMPL_Tab.37_Cod.1788_Lin.0_Typ.Double_Extra.0</vt:lpstr>
      <vt:lpstr>SIMPL_Tab.37_Cod.1789_Lin.0_Typ.Double_Extra.0</vt:lpstr>
      <vt:lpstr>SIMPL_Tab.37_Cod.1790_Lin.0_Typ.Double_Extra.0</vt:lpstr>
      <vt:lpstr>SIMPL_Tab.37_Cod.1791_Lin.0_Typ.Double_Extra.0</vt:lpstr>
      <vt:lpstr>SIMPL_Tab.37_Cod.1827_Lin.0_Typ.Double_Extra.0</vt:lpstr>
      <vt:lpstr>SIMPL_Tab.37_Cod.1828_Lin.0_Typ.Double_Extra.0</vt:lpstr>
      <vt:lpstr>SIMPL_Tab.37_Cod.1829_Lin.0_Typ.Double_Extra.0</vt:lpstr>
      <vt:lpstr>SIMPL_Tab.37_Cod.1830_Lin.0_Typ.Double_Extra.0</vt:lpstr>
      <vt:lpstr>SIMPL_Tab.37_Cod.1831_Lin.0_Typ.Double_Extra.0</vt:lpstr>
      <vt:lpstr>SIMPL_Tab.37_Cod.1832_Lin.0_Typ.Double_Extra.0</vt:lpstr>
      <vt:lpstr>SIMPL_Tab.37_Cod.1833_Lin.0_Typ.Double_Extra.0</vt:lpstr>
      <vt:lpstr>SIMPL_Tab.37_Cod.1834_Lin.0_Typ.Double_Extra.0</vt:lpstr>
      <vt:lpstr>SIMPL_Tab.37_Cod.1844_Lin.0_Typ.Double_Extra.0</vt:lpstr>
      <vt:lpstr>SIMPL_Tab.37_Cod.1845_Lin.0_Typ.Double_Extra.0</vt:lpstr>
      <vt:lpstr>SIMPL_Tab.37_Cod.1846_Lin.0_Typ.Double_Extra.0</vt:lpstr>
      <vt:lpstr>SIMPL_Tab.37_Cod.1847_Lin.0_Typ.Double_Extra.0</vt:lpstr>
      <vt:lpstr>SIMPL_Tab.37_Cod.1848_Lin.0_Typ.Double_Extra.0</vt:lpstr>
      <vt:lpstr>SIMPL_Tab.37_Cod.1849_Lin.0_Typ.Double_Extra.0</vt:lpstr>
      <vt:lpstr>SIMPL_Tab.37_Cod.1850_Lin.0_Typ.Double_Extra.0</vt:lpstr>
      <vt:lpstr>SIMPL_Tab.37_Cod.1851_Lin.0_Typ.Double_Extra.0</vt:lpstr>
      <vt:lpstr>SIMPL_Tab.37_Cod.1877_Lin.0_Typ.Double_Extra.0</vt:lpstr>
      <vt:lpstr>SIMPL_Tab.37_Cod.1878_Lin.0_Typ.Double_Extra.0</vt:lpstr>
      <vt:lpstr>SIMPL_Tab.37_Cod.1879_Lin.0_Typ.Double_Extra.0</vt:lpstr>
      <vt:lpstr>SIMPL_Tab.37_Cod.1880_Lin.0_Typ.Double_Extra.0</vt:lpstr>
      <vt:lpstr>SIMPL_Tab.37_Cod.1881_Lin.0_Typ.Double_Extra.0</vt:lpstr>
      <vt:lpstr>SIMPL_Tab.37_Cod.1882_Lin.0_Typ.Double_Extra.0</vt:lpstr>
      <vt:lpstr>SIMPL_Tab.37_Cod.1883_Lin.0_Typ.Double_Extra.0</vt:lpstr>
      <vt:lpstr>SIMPL_Tab.37_Cod.1884_Lin.0_Typ.Double_Extra.0</vt:lpstr>
      <vt:lpstr>SIMPL_Tab.37_Cod.1894_Lin.0_Typ.Double_Extra.0</vt:lpstr>
      <vt:lpstr>SIMPL_Tab.37_Cod.1895_Lin.0_Typ.Double_Extra.0</vt:lpstr>
      <vt:lpstr>SIMPL_Tab.37_Cod.1896_Lin.0_Typ.Double_Extra.0</vt:lpstr>
      <vt:lpstr>SIMPL_Tab.37_Cod.1897_Lin.0_Typ.Double_Extra.0</vt:lpstr>
      <vt:lpstr>SIMPL_Tab.37_Cod.1898_Lin.0_Typ.Double_Extra.0</vt:lpstr>
      <vt:lpstr>SIMPL_Tab.37_Cod.1899_Lin.0_Typ.Double_Extra.0</vt:lpstr>
      <vt:lpstr>SIMPL_Tab.37_Cod.1900_Lin.0_Typ.Double_Extra.0</vt:lpstr>
      <vt:lpstr>SIMPL_Tab.37_Cod.1901_Lin.0_Typ.Double_Extra.0</vt:lpstr>
      <vt:lpstr>SIMPL_Tab.37_Cod.1903_Lin.0_Typ.Double_Extra.0</vt:lpstr>
      <vt:lpstr>SIMPL_Tab.37_Cod.1904_Lin.0_Typ.Double_Extra.0</vt:lpstr>
      <vt:lpstr>SIMPL_Tab.37_Cod.1905_Lin.0_Typ.Double_Extra.0</vt:lpstr>
      <vt:lpstr>SIMPL_Tab.37_Cod.1906_Lin.0_Typ.Double_Extra.0</vt:lpstr>
      <vt:lpstr>SIMPL_Tab.37_Cod.1907_Lin.0_Typ.Double_Extra.0</vt:lpstr>
      <vt:lpstr>SIMPL_Tab.37_Cod.1908_Lin.0_Typ.Double_Extra.0</vt:lpstr>
      <vt:lpstr>SIMPL_Tab.37_Cod.1909_Lin.0_Typ.Double_Extra.0</vt:lpstr>
      <vt:lpstr>SIMPL_Tab.37_Cod.1910_Lin.0_Typ.Double_Extra.0</vt:lpstr>
      <vt:lpstr>SIMPL_Tab.37_Cod.1912_Lin.0_Typ.Double_Extra.0</vt:lpstr>
      <vt:lpstr>SIMPL_Tab.37_Cod.1913_Lin.0_Typ.Double_Extra.0</vt:lpstr>
      <vt:lpstr>SIMPL_Tab.37_Cod.1914_Lin.0_Typ.Double_Extra.0</vt:lpstr>
      <vt:lpstr>SIMPL_Tab.37_Cod.1915_Lin.0_Typ.Double_Extra.0</vt:lpstr>
      <vt:lpstr>SIMPL_Tab.37_Cod.1916_Lin.0_Typ.Double_Extra.0</vt:lpstr>
      <vt:lpstr>SIMPL_Tab.37_Cod.1917_Lin.0_Typ.Double_Extra.0</vt:lpstr>
      <vt:lpstr>SIMPL_Tab.37_Cod.1918_Lin.0_Typ.Double_Extra.0</vt:lpstr>
      <vt:lpstr>SIMPL_Tab.37_Cod.1919_Lin.0_Typ.Double_Extra.0</vt:lpstr>
      <vt:lpstr>SIMPL_Tab.37_Cod.1921_Lin.0_Typ.Double_Extra.0</vt:lpstr>
      <vt:lpstr>SIMPL_Tab.37_Cod.1922_Lin.0_Typ.Double_Extra.0</vt:lpstr>
      <vt:lpstr>SIMPL_Tab.37_Cod.1923_Lin.0_Typ.Double_Extra.0</vt:lpstr>
      <vt:lpstr>SIMPL_Tab.37_Cod.1924_Lin.0_Typ.Double_Extra.0</vt:lpstr>
      <vt:lpstr>SIMPL_Tab.37_Cod.1925_Lin.0_Typ.Double_Extra.0</vt:lpstr>
      <vt:lpstr>SIMPL_Tab.37_Cod.1926_Lin.0_Typ.Double_Extra.0</vt:lpstr>
      <vt:lpstr>SIMPL_Tab.37_Cod.1927_Lin.0_Typ.Double_Extra.0</vt:lpstr>
      <vt:lpstr>SIMPL_Tab.37_Cod.1928_Lin.0_Typ.Double_Extra.0</vt:lpstr>
      <vt:lpstr>SIMPL_Tab.37_Cod.71_Lin.0_Typ.Date_Extra.1</vt:lpstr>
      <vt:lpstr>SIMPL_Tab.38_Cod.2038_Lin.0_Typ.Double_Extra.0</vt:lpstr>
      <vt:lpstr>SIMPL_Tab.38_Cod.2039_Lin.0_Typ.Double_Extra.0</vt:lpstr>
      <vt:lpstr>SIMPL_Tab.38_Cod.2040_Lin.0_Typ.Double_Extra.0</vt:lpstr>
      <vt:lpstr>SIMPL_Tab.38_Cod.2041_Lin.0_Typ.Double_Extra.0</vt:lpstr>
      <vt:lpstr>SIMPL_Tab.38_Cod.2042_Lin.0_Typ.Double_Extra.0</vt:lpstr>
      <vt:lpstr>SIMPL_Tab.38_Cod.2043_Lin.0_Typ.Double_Extra.0</vt:lpstr>
      <vt:lpstr>SIMPL_Tab.38_Cod.72_Lin.0_Typ.Date_Extra.1</vt:lpstr>
      <vt:lpstr>SIMPL_Tab.39_Cod.2056_Lin.0_Typ.Double_Extra.0</vt:lpstr>
      <vt:lpstr>SIMPL_Tab.39_Cod.2058_Lin.0_Typ.Double_Extra.0</vt:lpstr>
      <vt:lpstr>SIMPL_Tab.39_Cod.2059_Lin.0_Typ.Double_Extra.0</vt:lpstr>
      <vt:lpstr>SIMPL_Tab.39_Cod.2061_Lin.0_Typ.Double_Extra.0</vt:lpstr>
      <vt:lpstr>SIMPL_Tab.39_Cod.2062_Lin.0_Typ.Double_Extra.0</vt:lpstr>
      <vt:lpstr>SIMPL_Tab.39_Cod.2063_Lin.0_Typ.Double_Extra.0</vt:lpstr>
      <vt:lpstr>SIMPL_Tab.40_Cod.2065_Lin.0_Typ.Double_Extra.0</vt:lpstr>
      <vt:lpstr>SIMPL_Tab.40_Cod.2066_Lin.0_Typ.Double_Extra.0</vt:lpstr>
      <vt:lpstr>SIMPL_Tab.40_Cod.2067_Lin.0_Typ.Double_Extra.0</vt:lpstr>
      <vt:lpstr>SIMPL_Tab.40_Cod.2068_Lin.0_Typ.Double_Extra.0</vt:lpstr>
      <vt:lpstr>SIMPL_Tab.40_Cod.2070_Lin.0_Typ.Double_Extra.0</vt:lpstr>
      <vt:lpstr>SIMPL_Tab.40_Cod.2071_Lin.0_Typ.Double_Extra.0</vt:lpstr>
      <vt:lpstr>SIMPL_Tab.40_Cod.2072_Lin.0_Typ.Double_Extra.0</vt:lpstr>
      <vt:lpstr>SIMPL_Tab.40_Cod.2073_Lin.0_Typ.Double_Extra.0</vt:lpstr>
      <vt:lpstr>SIMPL_Tab.40_Cod.2075_Lin.0_Typ.Double_Extra.0</vt:lpstr>
      <vt:lpstr>SIMPL_Tab.40_Cod.2076_Lin.0_Typ.Double_Extra.0</vt:lpstr>
      <vt:lpstr>SIMPL_Tab.40_Cod.2077_Lin.0_Typ.Double_Extra.0</vt:lpstr>
      <vt:lpstr>SIMPL_Tab.40_Cod.2078_Lin.0_Typ.Double_Extra.0</vt:lpstr>
      <vt:lpstr>SIMPL_Tab.40_Cod.2080_Lin.0_Typ.Double_Extra.0</vt:lpstr>
      <vt:lpstr>SIMPL_Tab.40_Cod.2081_Lin.0_Typ.Double_Extra.0</vt:lpstr>
      <vt:lpstr>SIMPL_Tab.40_Cod.2082_Lin.0_Typ.Double_Extra.0</vt:lpstr>
      <vt:lpstr>SIMPL_Tab.40_Cod.2083_Lin.0_Typ.Double_Extra.0</vt:lpstr>
      <vt:lpstr>SIMPL_Tab.40_Cod.2085_Lin.0_Typ.Double_Extra.0</vt:lpstr>
      <vt:lpstr>SIMPL_Tab.40_Cod.2086_Lin.0_Typ.Double_Extra.0</vt:lpstr>
      <vt:lpstr>SIMPL_Tab.40_Cod.2087_Lin.0_Typ.Double_Extra.0</vt:lpstr>
      <vt:lpstr>SIMPL_Tab.40_Cod.2088_Lin.0_Typ.Double_Extra.0</vt:lpstr>
      <vt:lpstr>SIMPL_Tab.41_Cod.18_Lin.0_Typ.Double_Extra.1</vt:lpstr>
      <vt:lpstr>SIMPL_Tab.5_Cod.471_Lin.0_Typ.Double_Extra.0</vt:lpstr>
      <vt:lpstr>SIMPL_Tab.5_Cod.473_Lin.0_Typ.Double_Extra.0</vt:lpstr>
      <vt:lpstr>SIMPL_Tab.5_Cod.475_Lin.0_Typ.Double_Extra.0</vt:lpstr>
      <vt:lpstr>SIMPL_Tab.5_Cod.477_Lin.0_Typ.Double_Extra.0</vt:lpstr>
      <vt:lpstr>SIMPL_Tab.5_Cod.479_Lin.0_Typ.Double_Extra.0</vt:lpstr>
      <vt:lpstr>SIMPL_Tab.5_Cod.481_Lin.0_Typ.Double_Extra.0</vt:lpstr>
      <vt:lpstr>SIMPL_Tab.5_Cod.483_Lin.0_Typ.Double_Extra.0</vt:lpstr>
      <vt:lpstr>SIMPL_Tab.5_Cod.485_Lin.0_Typ.Double_Extra.0</vt:lpstr>
      <vt:lpstr>SIMPL_Tab.5_Cod.487_Lin.0_Typ.Double_Extra.0</vt:lpstr>
      <vt:lpstr>SIMPL_Tab.5_Cod.489_Lin.0_Typ.Double_Extra.0</vt:lpstr>
      <vt:lpstr>SIMPL_Tab.5_Cod.491_Lin.0_Typ.Double_Extra.0</vt:lpstr>
      <vt:lpstr>SIMPL_Tab.5_Cod.493_Lin.0_Typ.Double_Extra.0</vt:lpstr>
      <vt:lpstr>SIMPL_Tab.5_Cod.495_Lin.0_Typ.Double_Extra.0</vt:lpstr>
      <vt:lpstr>SIMPL_Tab.6_Cod.11176_Lin.0_Typ.Double_Extra.0</vt:lpstr>
      <vt:lpstr>SIMPL_Tab.6_Cod.11177_Lin.0_Typ.Double_Extra.0</vt:lpstr>
      <vt:lpstr>SIMPL_Tab.6_Cod.11178_Lin.0_Typ.Double_Extra.0</vt:lpstr>
      <vt:lpstr>SIMPL_Tab.6_Cod.11179_Lin.0_Typ.Double_Extra.0</vt:lpstr>
      <vt:lpstr>SIMPL_Tab.6_Cod.11181_Lin.0_Typ.Double_Extra.0</vt:lpstr>
      <vt:lpstr>SIMPL_Tab.6_Cod.11182_Lin.0_Typ.Double_Extra.0</vt:lpstr>
      <vt:lpstr>SIMPL_Tab.6_Cod.11183_Lin.0_Typ.Double_Extra.0</vt:lpstr>
      <vt:lpstr>SIMPL_Tab.6_Cod.11184_Lin.0_Typ.Double_Extra.0</vt:lpstr>
      <vt:lpstr>SIMPL_Tab.6_Cod.11186_Lin.0_Typ.Double_Extra.0</vt:lpstr>
      <vt:lpstr>SIMPL_Tab.6_Cod.11187_Lin.0_Typ.Double_Extra.0</vt:lpstr>
      <vt:lpstr>SIMPL_Tab.6_Cod.11188_Lin.0_Typ.Double_Extra.0</vt:lpstr>
      <vt:lpstr>SIMPL_Tab.6_Cod.11189_Lin.0_Typ.Double_Extra.0</vt:lpstr>
      <vt:lpstr>SIMPL_Tab.6_Cod.11191_Lin.0_Typ.Double_Extra.0</vt:lpstr>
      <vt:lpstr>SIMPL_Tab.6_Cod.11192_Lin.0_Typ.Double_Extra.0</vt:lpstr>
      <vt:lpstr>SIMPL_Tab.6_Cod.11193_Lin.0_Typ.Double_Extra.0</vt:lpstr>
      <vt:lpstr>SIMPL_Tab.6_Cod.11194_Lin.0_Typ.Double_Extra.0</vt:lpstr>
      <vt:lpstr>SIMPL_Tab.6_Cod.11196_Lin.0_Typ.Double_Extra.0</vt:lpstr>
      <vt:lpstr>SIMPL_Tab.6_Cod.11197_Lin.0_Typ.Double_Extra.0</vt:lpstr>
      <vt:lpstr>SIMPL_Tab.6_Cod.11198_Lin.0_Typ.Double_Extra.0</vt:lpstr>
      <vt:lpstr>SIMPL_Tab.6_Cod.11199_Lin.0_Typ.Double_Extra.0</vt:lpstr>
      <vt:lpstr>SIMPL_Tab.6_Cod.11201_Lin.0_Typ.Double_Extra.0</vt:lpstr>
      <vt:lpstr>SIMPL_Tab.6_Cod.11202_Lin.0_Typ.Double_Extra.0</vt:lpstr>
      <vt:lpstr>SIMPL_Tab.6_Cod.11203_Lin.0_Typ.Double_Extra.0</vt:lpstr>
      <vt:lpstr>SIMPL_Tab.6_Cod.11204_Lin.0_Typ.Double_Extra.0</vt:lpstr>
      <vt:lpstr>SIMPL_Tab.6_Cod.11206_Lin.0_Typ.Double_Extra.0</vt:lpstr>
      <vt:lpstr>SIMPL_Tab.6_Cod.11207_Lin.0_Typ.Double_Extra.0</vt:lpstr>
      <vt:lpstr>SIMPL_Tab.6_Cod.11208_Lin.0_Typ.Double_Extra.0</vt:lpstr>
      <vt:lpstr>SIMPL_Tab.6_Cod.11209_Lin.0_Typ.Double_Extra.0</vt:lpstr>
      <vt:lpstr>SIMPL_Tab.6_Cod.11211_Lin.0_Typ.Double_Extra.0</vt:lpstr>
      <vt:lpstr>SIMPL_Tab.6_Cod.11212_Lin.0_Typ.Double_Extra.0</vt:lpstr>
      <vt:lpstr>SIMPL_Tab.6_Cod.11213_Lin.0_Typ.Double_Extra.0</vt:lpstr>
      <vt:lpstr>SIMPL_Tab.6_Cod.11214_Lin.0_Typ.Double_Extra.0</vt:lpstr>
      <vt:lpstr>SIMPL_Tab.6_Cod.11216_Lin.0_Typ.Double_Extra.0</vt:lpstr>
      <vt:lpstr>SIMPL_Tab.6_Cod.11217_Lin.0_Typ.Double_Extra.0</vt:lpstr>
      <vt:lpstr>SIMPL_Tab.6_Cod.11218_Lin.0_Typ.Double_Extra.0</vt:lpstr>
      <vt:lpstr>SIMPL_Tab.6_Cod.11219_Lin.0_Typ.Double_Extra.0</vt:lpstr>
      <vt:lpstr>SIMPL_Tab.6_Cod.11221_Lin.0_Typ.Double_Extra.0</vt:lpstr>
      <vt:lpstr>SIMPL_Tab.6_Cod.11222_Lin.0_Typ.Double_Extra.0</vt:lpstr>
      <vt:lpstr>SIMPL_Tab.6_Cod.11223_Lin.0_Typ.Double_Extra.0</vt:lpstr>
      <vt:lpstr>SIMPL_Tab.6_Cod.11224_Lin.0_Typ.Double_Extra.0</vt:lpstr>
      <vt:lpstr>SIMPL_Tab.6_Cod.11226_Lin.0_Typ.Double_Extra.0</vt:lpstr>
      <vt:lpstr>SIMPL_Tab.6_Cod.11227_Lin.0_Typ.Double_Extra.0</vt:lpstr>
      <vt:lpstr>SIMPL_Tab.6_Cod.11228_Lin.0_Typ.Double_Extra.0</vt:lpstr>
      <vt:lpstr>SIMPL_Tab.6_Cod.11229_Lin.0_Typ.Double_Extra.0</vt:lpstr>
      <vt:lpstr>SIMPL_Tab.6_Cod.11231_Lin.0_Typ.Double_Extra.0</vt:lpstr>
      <vt:lpstr>SIMPL_Tab.6_Cod.11232_Lin.0_Typ.Double_Extra.0</vt:lpstr>
      <vt:lpstr>SIMPL_Tab.6_Cod.11233_Lin.0_Typ.Double_Extra.0</vt:lpstr>
      <vt:lpstr>SIMPL_Tab.6_Cod.11234_Lin.0_Typ.Double_Extra.0</vt:lpstr>
      <vt:lpstr>SIMPL_Tab.6_Cod.11236_Lin.0_Typ.Double_Extra.0</vt:lpstr>
      <vt:lpstr>SIMPL_Tab.6_Cod.11237_Lin.0_Typ.Double_Extra.0</vt:lpstr>
      <vt:lpstr>SIMPL_Tab.6_Cod.11238_Lin.0_Typ.Double_Extra.0</vt:lpstr>
      <vt:lpstr>SIMPL_Tab.6_Cod.11239_Lin.0_Typ.Double_Extra.0</vt:lpstr>
      <vt:lpstr>SIMPL_Tab.6_Cod.11241_Lin.0_Typ.Double_Extra.0</vt:lpstr>
      <vt:lpstr>SIMPL_Tab.6_Cod.11242_Lin.0_Typ.Double_Extra.0</vt:lpstr>
      <vt:lpstr>SIMPL_Tab.6_Cod.11243_Lin.0_Typ.Double_Extra.0</vt:lpstr>
      <vt:lpstr>SIMPL_Tab.6_Cod.11244_Lin.0_Typ.Double_Extra.0</vt:lpstr>
      <vt:lpstr>SIMPL_Tab.6_Cod.11246_Lin.0_Typ.Double_Extra.0</vt:lpstr>
      <vt:lpstr>SIMPL_Tab.6_Cod.11247_Lin.0_Typ.Double_Extra.0</vt:lpstr>
      <vt:lpstr>SIMPL_Tab.6_Cod.11248_Lin.0_Typ.Double_Extra.0</vt:lpstr>
      <vt:lpstr>SIMPL_Tab.6_Cod.11249_Lin.0_Typ.Double_Extra.0</vt:lpstr>
      <vt:lpstr>SIMPL_Tab.6_Cod.11251_Lin.0_Typ.Double_Extra.0</vt:lpstr>
      <vt:lpstr>SIMPL_Tab.6_Cod.11252_Lin.0_Typ.Double_Extra.0</vt:lpstr>
      <vt:lpstr>SIMPL_Tab.6_Cod.11253_Lin.0_Typ.Double_Extra.0</vt:lpstr>
      <vt:lpstr>SIMPL_Tab.6_Cod.11254_Lin.0_Typ.Double_Extra.0</vt:lpstr>
      <vt:lpstr>SIMPL_Tab.6_Cod.11256_Lin.0_Typ.Double_Extra.0</vt:lpstr>
      <vt:lpstr>SIMPL_Tab.6_Cod.11257_Lin.0_Typ.Double_Extra.0</vt:lpstr>
      <vt:lpstr>SIMPL_Tab.6_Cod.11258_Lin.0_Typ.Double_Extra.0</vt:lpstr>
      <vt:lpstr>SIMPL_Tab.6_Cod.11259_Lin.0_Typ.Double_Extra.0</vt:lpstr>
      <vt:lpstr>SIMPL_Tab.6_Cod.11261_Lin.0_Typ.Double_Extra.0</vt:lpstr>
      <vt:lpstr>SIMPL_Tab.6_Cod.11262_Lin.0_Typ.Double_Extra.0</vt:lpstr>
      <vt:lpstr>SIMPL_Tab.6_Cod.11263_Lin.0_Typ.Double_Extra.0</vt:lpstr>
      <vt:lpstr>SIMPL_Tab.6_Cod.11264_Lin.0_Typ.Double_Extra.0</vt:lpstr>
      <vt:lpstr>SIMPL_Tab.6_Cod.11266_Lin.0_Typ.Double_Extra.0</vt:lpstr>
      <vt:lpstr>SIMPL_Tab.6_Cod.11267_Lin.0_Typ.Double_Extra.0</vt:lpstr>
      <vt:lpstr>SIMPL_Tab.6_Cod.11268_Lin.0_Typ.Double_Extra.0</vt:lpstr>
      <vt:lpstr>SIMPL_Tab.6_Cod.11269_Lin.0_Typ.Double_Extra.0</vt:lpstr>
      <vt:lpstr>SIMPL_Tab.6_Cod.11271_Lin.0_Typ.Double_Extra.0</vt:lpstr>
      <vt:lpstr>SIMPL_Tab.6_Cod.11272_Lin.0_Typ.Double_Extra.0</vt:lpstr>
      <vt:lpstr>SIMPL_Tab.6_Cod.11273_Lin.0_Typ.Double_Extra.0</vt:lpstr>
      <vt:lpstr>SIMPL_Tab.6_Cod.11274_Lin.0_Typ.Double_Extra.0</vt:lpstr>
      <vt:lpstr>SIMPL_Tab.6_Cod.11276_Lin.0_Typ.Double_Extra.0</vt:lpstr>
      <vt:lpstr>SIMPL_Tab.6_Cod.11277_Lin.0_Typ.Double_Extra.0</vt:lpstr>
      <vt:lpstr>SIMPL_Tab.6_Cod.11278_Lin.0_Typ.Double_Extra.0</vt:lpstr>
      <vt:lpstr>SIMPL_Tab.6_Cod.11279_Lin.0_Typ.Double_Extra.0</vt:lpstr>
      <vt:lpstr>SIMPL_Tab.6_Cod.11281_Lin.0_Typ.Double_Extra.0</vt:lpstr>
      <vt:lpstr>SIMPL_Tab.6_Cod.11282_Lin.0_Typ.Double_Extra.0</vt:lpstr>
      <vt:lpstr>SIMPL_Tab.6_Cod.11283_Lin.0_Typ.Double_Extra.0</vt:lpstr>
      <vt:lpstr>SIMPL_Tab.6_Cod.11284_Lin.0_Typ.Double_Extra.0</vt:lpstr>
      <vt:lpstr>SIMPL_Tab.6_Cod.11286_Lin.0_Typ.Double_Extra.0</vt:lpstr>
      <vt:lpstr>SIMPL_Tab.6_Cod.11287_Lin.0_Typ.Double_Extra.0</vt:lpstr>
      <vt:lpstr>SIMPL_Tab.6_Cod.11288_Lin.0_Typ.Double_Extra.0</vt:lpstr>
      <vt:lpstr>SIMPL_Tab.6_Cod.11289_Lin.0_Typ.Double_Extra.0</vt:lpstr>
      <vt:lpstr>SIMPL_Tab.6_Cod.11291_Lin.0_Typ.Double_Extra.0</vt:lpstr>
      <vt:lpstr>SIMPL_Tab.6_Cod.11292_Lin.0_Typ.Double_Extra.0</vt:lpstr>
      <vt:lpstr>SIMPL_Tab.6_Cod.11293_Lin.0_Typ.Double_Extra.0</vt:lpstr>
      <vt:lpstr>SIMPL_Tab.6_Cod.11294_Lin.0_Typ.Double_Extra.0</vt:lpstr>
      <vt:lpstr>SIMPL_Tab.6_Cod.11296_Lin.0_Typ.Double_Extra.0</vt:lpstr>
      <vt:lpstr>SIMPL_Tab.6_Cod.11297_Lin.0_Typ.Double_Extra.0</vt:lpstr>
      <vt:lpstr>SIMPL_Tab.6_Cod.11298_Lin.0_Typ.Double_Extra.0</vt:lpstr>
      <vt:lpstr>SIMPL_Tab.6_Cod.11299_Lin.0_Typ.Double_Extra.0</vt:lpstr>
      <vt:lpstr>SIMPL_Tab.6_Cod.11301_Lin.0_Typ.Double_Extra.0</vt:lpstr>
      <vt:lpstr>SIMPL_Tab.6_Cod.11302_Lin.0_Typ.Double_Extra.0</vt:lpstr>
      <vt:lpstr>SIMPL_Tab.6_Cod.11303_Lin.0_Typ.Double_Extra.0</vt:lpstr>
      <vt:lpstr>SIMPL_Tab.6_Cod.11304_Lin.0_Typ.Double_Extra.0</vt:lpstr>
      <vt:lpstr>SIMPL_Tab.6_Cod.11306_Lin.0_Typ.Double_Extra.0</vt:lpstr>
      <vt:lpstr>SIMPL_Tab.6_Cod.11307_Lin.0_Typ.Double_Extra.0</vt:lpstr>
      <vt:lpstr>SIMPL_Tab.6_Cod.11308_Lin.0_Typ.Double_Extra.0</vt:lpstr>
      <vt:lpstr>SIMPL_Tab.6_Cod.11309_Lin.0_Typ.Double_Extra.0</vt:lpstr>
      <vt:lpstr>SIMPL_Tab.6_Cod.11311_Lin.0_Typ.Double_Extra.0</vt:lpstr>
      <vt:lpstr>SIMPL_Tab.6_Cod.11312_Lin.0_Typ.Double_Extra.0</vt:lpstr>
      <vt:lpstr>SIMPL_Tab.6_Cod.11313_Lin.0_Typ.Double_Extra.0</vt:lpstr>
      <vt:lpstr>SIMPL_Tab.6_Cod.11314_Lin.0_Typ.Double_Extra.0</vt:lpstr>
      <vt:lpstr>SIMPL_Tab.6_Cod.11316_Lin.0_Typ.Double_Extra.0</vt:lpstr>
      <vt:lpstr>SIMPL_Tab.6_Cod.11317_Lin.0_Typ.Double_Extra.0</vt:lpstr>
      <vt:lpstr>SIMPL_Tab.6_Cod.11318_Lin.0_Typ.Double_Extra.0</vt:lpstr>
      <vt:lpstr>SIMPL_Tab.6_Cod.11319_Lin.0_Typ.Double_Extra.0</vt:lpstr>
      <vt:lpstr>SIMPL_Tab.6_Cod.11321_Lin.0_Typ.Double_Extra.0</vt:lpstr>
      <vt:lpstr>SIMPL_Tab.6_Cod.11322_Lin.0_Typ.Double_Extra.0</vt:lpstr>
      <vt:lpstr>SIMPL_Tab.6_Cod.11323_Lin.0_Typ.Double_Extra.0</vt:lpstr>
      <vt:lpstr>SIMPL_Tab.6_Cod.11324_Lin.0_Typ.Double_Extra.0</vt:lpstr>
      <vt:lpstr>SIMPL_Tab.6_Cod.11326_Lin.0_Typ.Double_Extra.0</vt:lpstr>
      <vt:lpstr>SIMPL_Tab.6_Cod.11327_Lin.0_Typ.Double_Extra.0</vt:lpstr>
      <vt:lpstr>SIMPL_Tab.6_Cod.11328_Lin.0_Typ.Double_Extra.0</vt:lpstr>
      <vt:lpstr>SIMPL_Tab.6_Cod.11329_Lin.0_Typ.Double_Extra.0</vt:lpstr>
      <vt:lpstr>SIMPL_Tab.6_Cod.11331_Lin.0_Typ.Double_Extra.0</vt:lpstr>
      <vt:lpstr>SIMPL_Tab.6_Cod.11332_Lin.0_Typ.Double_Extra.0</vt:lpstr>
      <vt:lpstr>SIMPL_Tab.6_Cod.11333_Lin.0_Typ.Double_Extra.0</vt:lpstr>
      <vt:lpstr>SIMPL_Tab.6_Cod.11334_Lin.0_Typ.Double_Extra.0</vt:lpstr>
      <vt:lpstr>SIMPL_Tab.6_Cod.11336_Lin.0_Typ.Double_Extra.0</vt:lpstr>
      <vt:lpstr>SIMPL_Tab.6_Cod.11337_Lin.0_Typ.Double_Extra.0</vt:lpstr>
      <vt:lpstr>SIMPL_Tab.6_Cod.11338_Lin.0_Typ.Double_Extra.0</vt:lpstr>
      <vt:lpstr>SIMPL_Tab.6_Cod.11339_Lin.0_Typ.Double_Extra.0</vt:lpstr>
      <vt:lpstr>SIMPL_Tab.6_Cod.11341_Lin.0_Typ.Double_Extra.0</vt:lpstr>
      <vt:lpstr>SIMPL_Tab.6_Cod.11342_Lin.0_Typ.Double_Extra.0</vt:lpstr>
      <vt:lpstr>SIMPL_Tab.6_Cod.11343_Lin.0_Typ.Double_Extra.0</vt:lpstr>
      <vt:lpstr>SIMPL_Tab.6_Cod.11344_Lin.0_Typ.Double_Extra.0</vt:lpstr>
      <vt:lpstr>SIMPL_Tab.6_Cod.11346_Lin.0_Typ.Double_Extra.0</vt:lpstr>
      <vt:lpstr>SIMPL_Tab.6_Cod.11347_Lin.0_Typ.Double_Extra.0</vt:lpstr>
      <vt:lpstr>SIMPL_Tab.6_Cod.11348_Lin.0_Typ.Double_Extra.0</vt:lpstr>
      <vt:lpstr>SIMPL_Tab.6_Cod.11349_Lin.0_Typ.Double_Extra.0</vt:lpstr>
      <vt:lpstr>SIMPL_Tab.6_Cod.11351_Lin.0_Typ.Double_Extra.0</vt:lpstr>
      <vt:lpstr>SIMPL_Tab.6_Cod.11352_Lin.0_Typ.Double_Extra.0</vt:lpstr>
      <vt:lpstr>SIMPL_Tab.6_Cod.11353_Lin.0_Typ.Double_Extra.0</vt:lpstr>
      <vt:lpstr>SIMPL_Tab.6_Cod.11354_Lin.0_Typ.Double_Extra.0</vt:lpstr>
      <vt:lpstr>SIMPL_Tab.6_Cod.11356_Lin.0_Typ.Double_Extra.0</vt:lpstr>
      <vt:lpstr>SIMPL_Tab.6_Cod.11357_Lin.0_Typ.Double_Extra.0</vt:lpstr>
      <vt:lpstr>SIMPL_Tab.6_Cod.11358_Lin.0_Typ.Double_Extra.0</vt:lpstr>
      <vt:lpstr>SIMPL_Tab.6_Cod.11359_Lin.0_Typ.Double_Extra.0</vt:lpstr>
      <vt:lpstr>SIMPL_Tab.6_Cod.11361_Lin.0_Typ.Double_Extra.0</vt:lpstr>
      <vt:lpstr>SIMPL_Tab.6_Cod.11362_Lin.0_Typ.Double_Extra.0</vt:lpstr>
      <vt:lpstr>SIMPL_Tab.6_Cod.11363_Lin.0_Typ.Double_Extra.0</vt:lpstr>
      <vt:lpstr>SIMPL_Tab.6_Cod.11364_Lin.0_Typ.Double_Extra.0</vt:lpstr>
      <vt:lpstr>SIMPL_Tab.6_Cod.11366_Lin.0_Typ.Double_Extra.0</vt:lpstr>
      <vt:lpstr>SIMPL_Tab.6_Cod.11367_Lin.0_Typ.Double_Extra.0</vt:lpstr>
      <vt:lpstr>SIMPL_Tab.6_Cod.11368_Lin.0_Typ.Double_Extra.0</vt:lpstr>
      <vt:lpstr>SIMPL_Tab.6_Cod.11369_Lin.0_Typ.Double_Extra.0</vt:lpstr>
      <vt:lpstr>SIMPL_Tab.6_Cod.11371_Lin.0_Typ.Double_Extra.0</vt:lpstr>
      <vt:lpstr>SIMPL_Tab.6_Cod.11372_Lin.0_Typ.Double_Extra.0</vt:lpstr>
      <vt:lpstr>SIMPL_Tab.6_Cod.11373_Lin.0_Typ.Double_Extra.0</vt:lpstr>
      <vt:lpstr>SIMPL_Tab.6_Cod.11374_Lin.0_Typ.Double_Extra.0</vt:lpstr>
      <vt:lpstr>SIMPL_Tab.6_Cod.11376_Lin.0_Typ.Double_Extra.0</vt:lpstr>
      <vt:lpstr>SIMPL_Tab.6_Cod.11377_Lin.0_Typ.Double_Extra.0</vt:lpstr>
      <vt:lpstr>SIMPL_Tab.6_Cod.11378_Lin.0_Typ.Double_Extra.0</vt:lpstr>
      <vt:lpstr>SIMPL_Tab.6_Cod.11379_Lin.0_Typ.Double_Extra.0</vt:lpstr>
      <vt:lpstr>SIMPL_Tab.6_Cod.11381_Lin.0_Typ.Double_Extra.0</vt:lpstr>
      <vt:lpstr>SIMPL_Tab.6_Cod.11382_Lin.0_Typ.Double_Extra.0</vt:lpstr>
      <vt:lpstr>SIMPL_Tab.6_Cod.11383_Lin.0_Typ.Double_Extra.0</vt:lpstr>
      <vt:lpstr>SIMPL_Tab.6_Cod.11384_Lin.0_Typ.Double_Extra.0</vt:lpstr>
      <vt:lpstr>SIMPL_Tab.6_Cod.11386_Lin.0_Typ.Double_Extra.0</vt:lpstr>
      <vt:lpstr>SIMPL_Tab.6_Cod.11387_Lin.0_Typ.Double_Extra.0</vt:lpstr>
      <vt:lpstr>SIMPL_Tab.6_Cod.11388_Lin.0_Typ.Double_Extra.0</vt:lpstr>
      <vt:lpstr>SIMPL_Tab.6_Cod.11389_Lin.0_Typ.Double_Extra.0</vt:lpstr>
      <vt:lpstr>SIMPL_Tab.6_Cod.11391_Lin.0_Typ.Double_Extra.0</vt:lpstr>
      <vt:lpstr>SIMPL_Tab.6_Cod.11392_Lin.0_Typ.Double_Extra.0</vt:lpstr>
      <vt:lpstr>SIMPL_Tab.6_Cod.11393_Lin.0_Typ.Double_Extra.0</vt:lpstr>
      <vt:lpstr>SIMPL_Tab.6_Cod.11394_Lin.0_Typ.Double_Extra.0</vt:lpstr>
      <vt:lpstr>SIMPL_Tab.6_Cod.11396_Lin.0_Typ.Double_Extra.0</vt:lpstr>
      <vt:lpstr>SIMPL_Tab.6_Cod.11397_Lin.0_Typ.Double_Extra.0</vt:lpstr>
      <vt:lpstr>SIMPL_Tab.6_Cod.11398_Lin.0_Typ.Double_Extra.0</vt:lpstr>
      <vt:lpstr>SIMPL_Tab.6_Cod.11399_Lin.0_Typ.Double_Extra.0</vt:lpstr>
      <vt:lpstr>SIMPL_Tab.6_Cod.11401_Lin.0_Typ.Double_Extra.0</vt:lpstr>
      <vt:lpstr>SIMPL_Tab.6_Cod.11402_Lin.0_Typ.Double_Extra.0</vt:lpstr>
      <vt:lpstr>SIMPL_Tab.6_Cod.11403_Lin.0_Typ.Double_Extra.0</vt:lpstr>
      <vt:lpstr>SIMPL_Tab.6_Cod.11404_Lin.0_Typ.Double_Extra.0</vt:lpstr>
      <vt:lpstr>SIMPL_Tab.6_Cod.11406_Lin.0_Typ.Double_Extra.0</vt:lpstr>
      <vt:lpstr>SIMPL_Tab.6_Cod.11407_Lin.0_Typ.Double_Extra.0</vt:lpstr>
      <vt:lpstr>SIMPL_Tab.6_Cod.11408_Lin.0_Typ.Double_Extra.0</vt:lpstr>
      <vt:lpstr>SIMPL_Tab.6_Cod.11409_Lin.0_Typ.Double_Extra.0</vt:lpstr>
      <vt:lpstr>SIMPL_Tab.6_Cod.11411_Lin.0_Typ.Double_Extra.0</vt:lpstr>
      <vt:lpstr>SIMPL_Tab.6_Cod.11412_Lin.0_Typ.Double_Extra.0</vt:lpstr>
      <vt:lpstr>SIMPL_Tab.6_Cod.11413_Lin.0_Typ.Double_Extra.0</vt:lpstr>
      <vt:lpstr>SIMPL_Tab.6_Cod.11414_Lin.0_Typ.Double_Extra.0</vt:lpstr>
      <vt:lpstr>SIMPL_Tab.6_Cod.11416_Lin.0_Typ.Double_Extra.0</vt:lpstr>
      <vt:lpstr>SIMPL_Tab.6_Cod.11417_Lin.0_Typ.Double_Extra.0</vt:lpstr>
      <vt:lpstr>SIMPL_Tab.6_Cod.11418_Lin.0_Typ.Double_Extra.0</vt:lpstr>
      <vt:lpstr>SIMPL_Tab.6_Cod.11419_Lin.0_Typ.Double_Extra.0</vt:lpstr>
      <vt:lpstr>SIMPL_Tab.6_Cod.11421_Lin.0_Typ.Double_Extra.0</vt:lpstr>
      <vt:lpstr>SIMPL_Tab.6_Cod.11422_Lin.0_Typ.Double_Extra.0</vt:lpstr>
      <vt:lpstr>SIMPL_Tab.6_Cod.11423_Lin.0_Typ.Double_Extra.0</vt:lpstr>
      <vt:lpstr>SIMPL_Tab.6_Cod.11424_Lin.0_Typ.Double_Extra.0</vt:lpstr>
      <vt:lpstr>SIMPL_Tab.6_Cod.11426_Lin.0_Typ.Double_Extra.0</vt:lpstr>
      <vt:lpstr>SIMPL_Tab.6_Cod.11427_Lin.0_Typ.Double_Extra.0</vt:lpstr>
      <vt:lpstr>SIMPL_Tab.6_Cod.11428_Lin.0_Typ.Double_Extra.0</vt:lpstr>
      <vt:lpstr>SIMPL_Tab.6_Cod.11429_Lin.0_Typ.Double_Extra.0</vt:lpstr>
      <vt:lpstr>SIMPL_Tab.6_Cod.11431_Lin.0_Typ.Double_Extra.0</vt:lpstr>
      <vt:lpstr>SIMPL_Tab.6_Cod.11432_Lin.0_Typ.Double_Extra.0</vt:lpstr>
      <vt:lpstr>SIMPL_Tab.6_Cod.11433_Lin.0_Typ.Double_Extra.0</vt:lpstr>
      <vt:lpstr>SIMPL_Tab.6_Cod.11434_Lin.0_Typ.Double_Extra.0</vt:lpstr>
      <vt:lpstr>SIMPL_Tab.6_Cod.11436_Lin.0_Typ.Double_Extra.0</vt:lpstr>
      <vt:lpstr>SIMPL_Tab.6_Cod.11437_Lin.0_Typ.Double_Extra.0</vt:lpstr>
      <vt:lpstr>SIMPL_Tab.6_Cod.11438_Lin.0_Typ.Double_Extra.0</vt:lpstr>
      <vt:lpstr>SIMPL_Tab.6_Cod.11439_Lin.0_Typ.Double_Extra.0</vt:lpstr>
      <vt:lpstr>SIMPL_Tab.6_Cod.14021_Lin.0_Typ.Double_Extra.0</vt:lpstr>
      <vt:lpstr>SIMPL_Tab.6_Cod.14022_Lin.0_Typ.Double_Extra.0</vt:lpstr>
      <vt:lpstr>SIMPL_Tab.6_Cod.14023_Lin.0_Typ.Double_Extra.0</vt:lpstr>
      <vt:lpstr>SIMPL_Tab.6_Cod.14024_Lin.0_Typ.Double_Extra.0</vt:lpstr>
      <vt:lpstr>SIMPL_Tab.7_Cod.18009_Lin.0_Typ.Double_Extra.0</vt:lpstr>
      <vt:lpstr>SIMPL_Tab.7_Cod.18010_Lin.0_Typ.Double_Extra.0</vt:lpstr>
      <vt:lpstr>SIMPL_Tab.7_Cod.18012_Lin.0_Typ.Double_Extra.0</vt:lpstr>
      <vt:lpstr>SIMPL_Tab.7_Cod.18013_Lin.0_Typ.Double_Extra.0</vt:lpstr>
      <vt:lpstr>SIMPL_Tab.7_Cod.6872_Lin.0_Typ.Double_Extra.0</vt:lpstr>
      <vt:lpstr>SIMPL_Tab.7_Cod.6873_Lin.0_Typ.Double_Extra.0</vt:lpstr>
      <vt:lpstr>SIMPL_Tab.7_Cod.6874_Lin.0_Typ.Double_Extra.0</vt:lpstr>
      <vt:lpstr>SIMPL_Tab.7_Cod.6875_Lin.0_Typ.Double_Extra.0</vt:lpstr>
      <vt:lpstr>SIMPL_Tab.7_Cod.817_Lin.0_Typ.Double_Extra.0</vt:lpstr>
      <vt:lpstr>SIMPL_Tab.7_Cod.818_Lin.0_Typ.Double_Extra.0</vt:lpstr>
      <vt:lpstr>SIMPL_Tab.7_Cod.819_Lin.0_Typ.Double_Extra.0</vt:lpstr>
      <vt:lpstr>SIMPL_Tab.7_Cod.820_Lin.0_Typ.Double_Extra.0</vt:lpstr>
      <vt:lpstr>SIMPL_Tab.7_Cod.833_Lin.0_Typ.Double_Extra.0</vt:lpstr>
      <vt:lpstr>SIMPL_Tab.7_Cod.834_Lin.0_Typ.Double_Extra.0</vt:lpstr>
      <vt:lpstr>SIMPL_Tab.7_Cod.837_Lin.0_Typ.Double_Extra.0</vt:lpstr>
      <vt:lpstr>SIMPL_Tab.7_Cod.838_Lin.0_Typ.Double_Extra.0</vt:lpstr>
      <vt:lpstr>SIMPL_Tab.7_Cod.839_Lin.0_Typ.Double_Extra.0</vt:lpstr>
      <vt:lpstr>SIMPL_Tab.7_Cod.840_Lin.0_Typ.Double_Extra.0</vt:lpstr>
      <vt:lpstr>SIMPL_Tab.7_Cod.845_Lin.0_Typ.Double_Extra.0</vt:lpstr>
      <vt:lpstr>SIMPL_Tab.7_Cod.846_Lin.0_Typ.Double_Extra.0</vt:lpstr>
      <vt:lpstr>SIMPL_Tab.7_Cod.847_Lin.0_Typ.Double_Extra.0</vt:lpstr>
      <vt:lpstr>SIMPL_Tab.7_Cod.848_Lin.0_Typ.Double_Extra.0</vt:lpstr>
      <vt:lpstr>SIMPL_Tab.7_Cod.849_Lin.0_Typ.Double_Extra.0</vt:lpstr>
      <vt:lpstr>SIMPL_Tab.7_Cod.850_Lin.0_Typ.Double_Extra.0</vt:lpstr>
      <vt:lpstr>SIMPL_Tab.7_Cod.851_Lin.0_Typ.Double_Extra.0</vt:lpstr>
      <vt:lpstr>SIMPL_Tab.7_Cod.852_Lin.0_Typ.Double_Extra.0</vt:lpstr>
      <vt:lpstr>SIMPL_Tab.7_Cod.854_Lin.0_Typ.Double_Extra.0</vt:lpstr>
      <vt:lpstr>SIMPL_Tab.7_Cod.855_Lin.0_Typ.Double_Extra.0</vt:lpstr>
      <vt:lpstr>SIMPL_Tab.7_Cod.860_Lin.0_Typ.Double_Extra.0</vt:lpstr>
      <vt:lpstr>SIMPL_Tab.7_Cod.861_Lin.0_Typ.Double_Extra.0</vt:lpstr>
      <vt:lpstr>SIMPL_Tab.7_Cod.862_Lin.0_Typ.Double_Extra.0</vt:lpstr>
      <vt:lpstr>SIMPL_Tab.7_Cod.863_Lin.0_Typ.Double_Extra.0</vt:lpstr>
      <vt:lpstr>SIMPL_Tab.7_Cod.864_Lin.0_Typ.Double_Extra.0</vt:lpstr>
      <vt:lpstr>SIMPL_Tab.7_Cod.865_Lin.0_Typ.Double_Extra.0</vt:lpstr>
      <vt:lpstr>SIMPL_Tab.7_Cod.866_Lin.0_Typ.Double_Extra.0</vt:lpstr>
      <vt:lpstr>SIMPL_Tab.7_Cod.867_Lin.0_Typ.Double_Extra.0</vt:lpstr>
      <vt:lpstr>Tableaux16_ColonneType</vt:lpstr>
      <vt:lpstr>Tableaux16_ColonneVO</vt:lpstr>
      <vt:lpstr>Tableaux16_Entete</vt:lpstr>
      <vt:lpstr>Tableaux16_Feuille</vt:lpstr>
      <vt:lpstr>Tableaux16_LigneDeb</vt:lpstr>
      <vt:lpstr>Tableaux16_LigneFin</vt:lpstr>
      <vt:lpstr>Tableaux16_NbreElements</vt:lpstr>
      <vt:lpstr>Tableaux16_NbreLignes</vt:lpstr>
      <vt:lpstr>Tableaux16_PlageField1</vt:lpstr>
      <vt:lpstr>Tableaux16_PlageField2</vt:lpstr>
      <vt:lpstr>Verification_Poste_160</vt:lpstr>
      <vt:lpstr>Verification_Poste_160_0</vt:lpstr>
      <vt:lpstr>Verification_Poste_160_1</vt:lpstr>
      <vt:lpstr>Verification_Poste_160_2</vt:lpstr>
      <vt:lpstr>Verifications_N</vt:lpstr>
      <vt:lpstr>Verifications_N_1</vt:lpstr>
      <vt:lpstr>XEDIS_MODULE_GERE_PDF</vt:lpstr>
      <vt:lpstr>XEDIS_MODULE_GERE_XML</vt:lpstr>
      <vt:lpstr>XEDIS_MODULE_ID</vt:lpstr>
      <vt:lpstr>XEDIS_MODULE_VERSION</vt:lpstr>
      <vt:lpstr>'T22'!Zone_d_impression</vt:lpstr>
    </vt:vector>
  </TitlesOfParts>
  <Company>Trixys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D3 Soft</dc:title>
  <dc:subject>Simpl IS en mode EDI</dc:subject>
  <dc:creator>ab</dc:creator>
  <cp:lastModifiedBy>Maria Konstantinova</cp:lastModifiedBy>
  <cp:lastPrinted>2018-01-28T17:45:23Z</cp:lastPrinted>
  <dcterms:created xsi:type="dcterms:W3CDTF">2013-03-22T15:26:16Z</dcterms:created>
  <dcterms:modified xsi:type="dcterms:W3CDTF">2026-07-04T20:57:54Z</dcterms:modified>
</cp:coreProperties>
</file>