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capitulatif" sheetId="1" state="visible" r:id="rId3"/>
    <sheet name="Balance N (2026)" sheetId="2" state="visible" r:id="rId4"/>
    <sheet name="Balance N-1 (2025)" sheetId="3" state="visible" r:id="rId5"/>
    <sheet name="Fiche société" sheetId="4" state="visible" r:id="rId6"/>
    <sheet name="Registre immobilisations" sheetId="5" state="visible" r:id="rId7"/>
    <sheet name="Règles fiscales (T03)" sheetId="6" state="visible" r:id="rId8"/>
    <sheet name="Décision AG (T14)" sheetId="7" state="visible" r:id="rId9"/>
    <sheet name="Modules conditionnels" sheetId="8" state="visible" r:id="rId10"/>
    <sheet name="Politique comptabl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<sst xmlns="http://schemas.openxmlformats.org/spreadsheetml/2006/main" count="581" uniqueCount="390">
  <si>
    <t xml:space="preserve">RÉCAPITULATIF — 7 documents sources → 27 tableaux de la liasse fiscale — D3 Soft SARL AU (Exercice 2026)</t>
  </si>
  <si>
    <t xml:space="preserve">N°</t>
  </si>
  <si>
    <t xml:space="preserve">Document source</t>
  </si>
  <si>
    <t xml:space="preserve">Fréquence</t>
  </si>
  <si>
    <t xml:space="preserve">Tableaux générés</t>
  </si>
  <si>
    <t xml:space="preserve">Statut</t>
  </si>
  <si>
    <t xml:space="preserve">Balance comptable N + N-1</t>
  </si>
  <si>
    <t xml:space="preserve">À chaque clôture</t>
  </si>
  <si>
    <t xml:space="preserve">T01·T02·T04·T05·T06·T08·T09·T12·T20·T22</t>
  </si>
  <si>
    <t xml:space="preserve">Complet et vérifié (T04/T08 100% auto, y compris)</t>
  </si>
  <si>
    <t xml:space="preserve">Fiche société</t>
  </si>
  <si>
    <t xml:space="preserve">Saisie unique</t>
  </si>
  <si>
    <t xml:space="preserve">T00 · T13</t>
  </si>
  <si>
    <t xml:space="preserve">Partiel — identité associé unique à compléter</t>
  </si>
  <si>
    <t xml:space="preserve">Registre des immobilisations</t>
  </si>
  <si>
    <t xml:space="preserve">Chaque acquisition (pour T16 seulement)</t>
  </si>
  <si>
    <t xml:space="preserve">T16 uniquement</t>
  </si>
  <si>
    <t xml:space="preserve">Détail par bien à compléter (T04/T08 ne dépendent PAS de ce document — 100% Balance)</t>
  </si>
  <si>
    <t xml:space="preserve">Règles fiscales</t>
  </si>
  <si>
    <t xml:space="preserve">Chaque année</t>
  </si>
  <si>
    <t xml:space="preserve">T03</t>
  </si>
  <si>
    <t xml:space="preserve">2 réintégrations identifiées, reste à vérifier</t>
  </si>
  <si>
    <t xml:space="preserve">Décision AG</t>
  </si>
  <si>
    <t xml:space="preserve">T14</t>
  </si>
  <si>
    <t xml:space="preserve">À compléter — PV d'AG requis</t>
  </si>
  <si>
    <t xml:space="preserve">Modules conditionnels</t>
  </si>
  <si>
    <t xml:space="preserve">Si concerné</t>
  </si>
  <si>
    <t xml:space="preserve">T07·T09·T10·T11·T18·T19·T21</t>
  </si>
  <si>
    <t xml:space="preserve">T19 connu (total), reste non concerné</t>
  </si>
  <si>
    <t xml:space="preserve">Politique comptable</t>
  </si>
  <si>
    <t xml:space="preserve">T23 · T24 · T25</t>
  </si>
  <si>
    <t xml:space="preserve">Textes adaptés à l'activité</t>
  </si>
  <si>
    <t xml:space="preserve">DOCUMENT 1 — BALANCE COMPTABLE — D3 Soft SARL AU — Exercice N (01/01/2026 au 31/12/2026)</t>
  </si>
  <si>
    <t xml:space="preserve">Reprise telle quelle depuis la liasse fiscale corrigée et vérifiée (D3Simpl2_N_N-1.xlsm).</t>
  </si>
  <si>
    <t xml:space="preserve">N° Compte</t>
  </si>
  <si>
    <t xml:space="preserve">Intitulé du compte</t>
  </si>
  <si>
    <t xml:space="preserve">Solde Débiteur</t>
  </si>
  <si>
    <t xml:space="preserve">Solde Créditeur</t>
  </si>
  <si>
    <t xml:space="preserve">11110000</t>
  </si>
  <si>
    <t xml:space="preserve">Capital Social</t>
  </si>
  <si>
    <t xml:space="preserve">11690000</t>
  </si>
  <si>
    <t xml:space="preserve">Report à nouveau (solde débiteur)</t>
  </si>
  <si>
    <t xml:space="preserve">11990000</t>
  </si>
  <si>
    <t xml:space="preserve">Résultat net de l'exercice (Solde débiteur)</t>
  </si>
  <si>
    <t xml:space="preserve">21110000</t>
  </si>
  <si>
    <t xml:space="preserve">Frais de Constitution</t>
  </si>
  <si>
    <t xml:space="preserve">22200000</t>
  </si>
  <si>
    <t xml:space="preserve">Brevets, marques, droits et valeurs similaires</t>
  </si>
  <si>
    <t xml:space="preserve">23310000</t>
  </si>
  <si>
    <t xml:space="preserve">Installations Techniques</t>
  </si>
  <si>
    <t xml:space="preserve">23400000</t>
  </si>
  <si>
    <t xml:space="preserve">Matériel de transport</t>
  </si>
  <si>
    <t xml:space="preserve">23510000</t>
  </si>
  <si>
    <t xml:space="preserve">Mobilier de bureau</t>
  </si>
  <si>
    <t xml:space="preserve">23550000</t>
  </si>
  <si>
    <t xml:space="preserve">Matériel Informatique</t>
  </si>
  <si>
    <t xml:space="preserve">23560000</t>
  </si>
  <si>
    <t xml:space="preserve">Agencement, installations et aménagements divers (de biens n'appartenant pas à l'entreprise)</t>
  </si>
  <si>
    <t xml:space="preserve">28110000</t>
  </si>
  <si>
    <t xml:space="preserve">Amortissements des frais préliminaires</t>
  </si>
  <si>
    <t xml:space="preserve">28220000</t>
  </si>
  <si>
    <t xml:space="preserve">Amortissements des brevets, marques, droits et valeurs similaires</t>
  </si>
  <si>
    <t xml:space="preserve">28280000</t>
  </si>
  <si>
    <t xml:space="preserve">Amortissements des autres immobilisations incorporelles</t>
  </si>
  <si>
    <t xml:space="preserve">28330000</t>
  </si>
  <si>
    <t xml:space="preserve">Amortissements des Installations techniques, matériels et outillage</t>
  </si>
  <si>
    <t xml:space="preserve">28340000</t>
  </si>
  <si>
    <t xml:space="preserve">Amortissements du matériel de transport</t>
  </si>
  <si>
    <t xml:space="preserve">28356000</t>
  </si>
  <si>
    <t xml:space="preserve">Amortissements des agencements, installations et aménagements divers</t>
  </si>
  <si>
    <t xml:space="preserve">31510000</t>
  </si>
  <si>
    <t xml:space="preserve">Produits Finis (groupe A)</t>
  </si>
  <si>
    <t xml:space="preserve">34210000</t>
  </si>
  <si>
    <t xml:space="preserve">Clients</t>
  </si>
  <si>
    <t xml:space="preserve">34530000</t>
  </si>
  <si>
    <t xml:space="preserve">Acomptes sur impôts sur les résultats</t>
  </si>
  <si>
    <t xml:space="preserve">34550000</t>
  </si>
  <si>
    <t xml:space="preserve">Etat - TVA récupérable</t>
  </si>
  <si>
    <t xml:space="preserve">34551000</t>
  </si>
  <si>
    <t xml:space="preserve">Etat - TVA récupérable sur Immobilisations</t>
  </si>
  <si>
    <t xml:space="preserve">34552000</t>
  </si>
  <si>
    <t xml:space="preserve">Etat - TVA récupérable sur charges</t>
  </si>
  <si>
    <t xml:space="preserve">44110000</t>
  </si>
  <si>
    <t xml:space="preserve">Fournisseurs</t>
  </si>
  <si>
    <t xml:space="preserve">44110001</t>
  </si>
  <si>
    <t xml:space="preserve">SCTE CIVILE IMMOBILIERE</t>
  </si>
  <si>
    <t xml:space="preserve">44110002</t>
  </si>
  <si>
    <t xml:space="preserve">IAM</t>
  </si>
  <si>
    <t xml:space="preserve">44110003</t>
  </si>
  <si>
    <t xml:space="preserve">AMENDIS</t>
  </si>
  <si>
    <t xml:space="preserve">44110012</t>
  </si>
  <si>
    <t xml:space="preserve">NINDO</t>
  </si>
  <si>
    <t xml:space="preserve">44110013</t>
  </si>
  <si>
    <t xml:space="preserve">ORANGE</t>
  </si>
  <si>
    <t xml:space="preserve">44110015</t>
  </si>
  <si>
    <t xml:space="preserve">SONORBOIS</t>
  </si>
  <si>
    <t xml:space="preserve">44110018</t>
  </si>
  <si>
    <t xml:space="preserve">DETROITEL</t>
  </si>
  <si>
    <t xml:space="preserve">44110024</t>
  </si>
  <si>
    <t xml:space="preserve">ACCESS SARL</t>
  </si>
  <si>
    <t xml:space="preserve">44110223</t>
  </si>
  <si>
    <t xml:space="preserve">CAP CONNECT</t>
  </si>
  <si>
    <t xml:space="preserve">44110689</t>
  </si>
  <si>
    <t xml:space="preserve">BESTMARK</t>
  </si>
  <si>
    <t xml:space="preserve">44320000</t>
  </si>
  <si>
    <t xml:space="preserve">Rémunérations dues au personnel</t>
  </si>
  <si>
    <t xml:space="preserve">44410000</t>
  </si>
  <si>
    <t xml:space="preserve">Caisse nationale de la sécurité sociale</t>
  </si>
  <si>
    <t xml:space="preserve">44522000</t>
  </si>
  <si>
    <t xml:space="preserve">Etat, patente</t>
  </si>
  <si>
    <t xml:space="preserve">44525000</t>
  </si>
  <si>
    <t xml:space="preserve">Etat, PTS et PSN</t>
  </si>
  <si>
    <t xml:space="preserve">44530000</t>
  </si>
  <si>
    <t xml:space="preserve">Etat, impôts sur les résultats</t>
  </si>
  <si>
    <t xml:space="preserve">44550000</t>
  </si>
  <si>
    <t xml:space="preserve">Etat, TVA facturée</t>
  </si>
  <si>
    <t xml:space="preserve">44560000</t>
  </si>
  <si>
    <t xml:space="preserve">Etat, TVA due (suivant déclarations)</t>
  </si>
  <si>
    <t xml:space="preserve">44630000</t>
  </si>
  <si>
    <t xml:space="preserve">Comptes courants des associés - créditeurs</t>
  </si>
  <si>
    <t xml:space="preserve">51410000</t>
  </si>
  <si>
    <t xml:space="preserve">Banques (soldes débiteurs)</t>
  </si>
  <si>
    <t xml:space="preserve">51610000</t>
  </si>
  <si>
    <t xml:space="preserve">Caisses</t>
  </si>
  <si>
    <t xml:space="preserve">61250000</t>
  </si>
  <si>
    <t xml:space="preserve">Achats non stockés de matières et fournitures</t>
  </si>
  <si>
    <t xml:space="preserve">61310000</t>
  </si>
  <si>
    <t xml:space="preserve">Locations et charges locatives</t>
  </si>
  <si>
    <t xml:space="preserve">61450000</t>
  </si>
  <si>
    <t xml:space="preserve">Frais postaux et frais de télécommunications</t>
  </si>
  <si>
    <t xml:space="preserve">61470000</t>
  </si>
  <si>
    <t xml:space="preserve">Services bancaires</t>
  </si>
  <si>
    <t xml:space="preserve">61612000</t>
  </si>
  <si>
    <t xml:space="preserve">Patente</t>
  </si>
  <si>
    <t xml:space="preserve">61671000</t>
  </si>
  <si>
    <t xml:space="preserve">Droits d'enregistrement et timbre</t>
  </si>
  <si>
    <t xml:space="preserve">61680000</t>
  </si>
  <si>
    <t xml:space="preserve">Impôts et taxes des exercices antérieurs</t>
  </si>
  <si>
    <t xml:space="preserve">61710000</t>
  </si>
  <si>
    <t xml:space="preserve">Rémunération du personnel</t>
  </si>
  <si>
    <t xml:space="preserve">61712000</t>
  </si>
  <si>
    <t xml:space="preserve">Primes et gratifications</t>
  </si>
  <si>
    <t xml:space="preserve">61740000</t>
  </si>
  <si>
    <t xml:space="preserve">charges sociales</t>
  </si>
  <si>
    <t xml:space="preserve">61850000</t>
  </si>
  <si>
    <t xml:space="preserve">Pertes sur opérations faites en commun</t>
  </si>
  <si>
    <t xml:space="preserve">61935000</t>
  </si>
  <si>
    <t xml:space="preserve">Dotations d'exploitation aux amortissements des mobilier, matériel de bureau et aménagement divers</t>
  </si>
  <si>
    <t xml:space="preserve">65830000</t>
  </si>
  <si>
    <t xml:space="preserve">Pénalités et amendes fiscales ou pénales</t>
  </si>
  <si>
    <t xml:space="preserve">67050000</t>
  </si>
  <si>
    <t xml:space="preserve">Imposition minimale annuelle des sociétés</t>
  </si>
  <si>
    <t xml:space="preserve">71210000</t>
  </si>
  <si>
    <t xml:space="preserve">Ventes de biens et services produits au Maroc</t>
  </si>
  <si>
    <t xml:space="preserve">71240000</t>
  </si>
  <si>
    <t xml:space="preserve">Ventes de services produits au Maroc</t>
  </si>
  <si>
    <t xml:space="preserve">71312000</t>
  </si>
  <si>
    <t xml:space="preserve">Variations des stocks de produits intermédiaires en cours </t>
  </si>
  <si>
    <t xml:space="preserve">71850000</t>
  </si>
  <si>
    <t xml:space="preserve">Profits sur opérations faites en commun</t>
  </si>
  <si>
    <t xml:space="preserve">TOTAL</t>
  </si>
  <si>
    <t xml:space="preserve">DOCUMENT 1 — BALANCE COMPTABLE — D3 Soft SARL AU — Exercice N-1 comparatif (01/01/2025 au 31/12/2025) — CORRIGÉE</t>
  </si>
  <si>
    <t xml:space="preserve">DOCUMENT 2 — FICHE SOCIÉTÉ  (Génère T00 et T13) — D3 Soft SARL AU</t>
  </si>
  <si>
    <t xml:space="preserve">Vert = connu (site officiel / liasse) — Jaune = à compléter (statuts / RC / CIN)</t>
  </si>
  <si>
    <t xml:space="preserve">Champ</t>
  </si>
  <si>
    <t xml:space="preserve">Valeur</t>
  </si>
  <si>
    <t xml:space="preserve">Tableau lié</t>
  </si>
  <si>
    <t xml:space="preserve">IDENTIFICATION GÉNÉRALE</t>
  </si>
  <si>
    <t xml:space="preserve">Raison sociale</t>
  </si>
  <si>
    <t xml:space="preserve">D3 Soft SARL AU</t>
  </si>
  <si>
    <t xml:space="preserve">T00</t>
  </si>
  <si>
    <t xml:space="preserve">Forme juridique</t>
  </si>
  <si>
    <t xml:space="preserve">SARL à Associé Unique</t>
  </si>
  <si>
    <t xml:space="preserve">Activité</t>
  </si>
  <si>
    <t xml:space="preserve">SSII — développement de logiciels, sites web, consulting, audit informatique</t>
  </si>
  <si>
    <t xml:space="preserve">Adresse du siège social</t>
  </si>
  <si>
    <t xml:space="preserve">Avenue de la Paix, Imm Chourouk Bloc B3, 1er étage, App 5, Tanger 90000</t>
  </si>
  <si>
    <t xml:space="preserve">Téléphone</t>
  </si>
  <si>
    <t xml:space="preserve">+212 (0) 539 342 567</t>
  </si>
  <si>
    <t xml:space="preserve">Email</t>
  </si>
  <si>
    <t xml:space="preserve">info@d3soft.ma</t>
  </si>
  <si>
    <t xml:space="preserve">Date de clôture exercice</t>
  </si>
  <si>
    <t xml:space="preserve">31/12</t>
  </si>
  <si>
    <t xml:space="preserve">Exercice du</t>
  </si>
  <si>
    <t xml:space="preserve">01/01/2026</t>
  </si>
  <si>
    <t xml:space="preserve">Exercice au</t>
  </si>
  <si>
    <t xml:space="preserve">31/12/2026</t>
  </si>
  <si>
    <t xml:space="preserve">IDENTIFIANTS FISCAUX &amp; LÉGAUX</t>
  </si>
  <si>
    <t xml:space="preserve">Identifiant fiscal (IF)</t>
  </si>
  <si>
    <t xml:space="preserve">12345678</t>
  </si>
  <si>
    <t xml:space="preserve">ICE (Identifiant Commun Entreprise)</t>
  </si>
  <si>
    <t xml:space="preserve">001234567000089</t>
  </si>
  <si>
    <t xml:space="preserve">N° RC (Registre de Commerce) + ville</t>
  </si>
  <si>
    <t xml:space="preserve">RC 99999 Tanger</t>
  </si>
  <si>
    <t xml:space="preserve">N° CNSS</t>
  </si>
  <si>
    <t xml:space="preserve">Non renseigné</t>
  </si>
  <si>
    <t xml:space="preserve">N° Patente</t>
  </si>
  <si>
    <t xml:space="preserve">48521366</t>
  </si>
  <si>
    <t xml:space="preserve">INFORMATIONS FISCALES</t>
  </si>
  <si>
    <t xml:space="preserve">Taux IS applicable</t>
  </si>
  <si>
    <t xml:space="preserve">20% (indicatif — CA dans la tranche 300K-1M DH, à reconfirmer selon barème IS en vigueur en 2026)</t>
  </si>
  <si>
    <t xml:space="preserve">Régime TVA</t>
  </si>
  <si>
    <t xml:space="preserve">Débit</t>
  </si>
  <si>
    <t xml:space="preserve">T12</t>
  </si>
  <si>
    <t xml:space="preserve">Secteur d'activité</t>
  </si>
  <si>
    <t xml:space="preserve">Services informatiques</t>
  </si>
  <si>
    <t xml:space="preserve">CAPITAL SOCIAL</t>
  </si>
  <si>
    <t xml:space="preserve">Montant du capital social</t>
  </si>
  <si>
    <t xml:space="preserve">T13</t>
  </si>
  <si>
    <t xml:space="preserve">Nombre de parts</t>
  </si>
  <si>
    <t xml:space="preserve">Valeur nominale d'une part</t>
  </si>
  <si>
    <t xml:space="preserve">ASSOCIÉ UNIQUE (SARL AU — une seule ligne, 100% du capital)</t>
  </si>
  <si>
    <t xml:space="preserve">Nom complet de l'associé unique / gérant</t>
  </si>
  <si>
    <t xml:space="preserve">M. EL FASSI Abdelilah</t>
  </si>
  <si>
    <t xml:space="preserve">CIN / Passeport</t>
  </si>
  <si>
    <t xml:space="preserve">CD98452</t>
  </si>
  <si>
    <t xml:space="preserve">IF personnel</t>
  </si>
  <si>
    <t xml:space="preserve">33581245</t>
  </si>
  <si>
    <t xml:space="preserve">Adresse</t>
  </si>
  <si>
    <t xml:space="preserve">Identique à l'adresse du siège (sauf indication contraire)</t>
  </si>
  <si>
    <t xml:space="preserve">% capital</t>
  </si>
  <si>
    <t xml:space="preserve">100%</t>
  </si>
  <si>
    <t xml:space="preserve">Montant capital (MAD)</t>
  </si>
  <si>
    <t xml:space="preserve">Nationalité</t>
  </si>
  <si>
    <t xml:space="preserve">Marocaine (confirmée)</t>
  </si>
  <si>
    <t xml:space="preserve">Note : le fondateur est un DSI/ingénieur informatique, auditeur ISO 27000 certifié TÜV-IT (source : d3soft.ma) — nom légal non public, à confirmer via statuts/RC.</t>
  </si>
  <si>
    <t xml:space="preserve">DOCUMENT 3 — REGISTRE DES IMMOBILISATIONS (Génère T16 uniquement — T04/T08 sont 100% automatiques depuis la Balance) — D3 Soft SARL AU</t>
  </si>
  <si>
    <t xml:space="preserve">Vert = connu (agrégats repris de la balance/T04/T08) — Jaune = détail par bien à compléter (factures)</t>
  </si>
  <si>
    <t xml:space="preserve">Catégorie / Compte</t>
  </si>
  <si>
    <t xml:space="preserve">Désignation du bien
(1 ligne par bien si plusieurs)</t>
  </si>
  <si>
    <t xml:space="preserve">Date d'entrée</t>
  </si>
  <si>
    <t xml:space="preserve">Valeur d'origine (DH)</t>
  </si>
  <si>
    <t xml:space="preserve">Taux amort.</t>
  </si>
  <si>
    <t xml:space="preserve">Durée (ans)</t>
  </si>
  <si>
    <t xml:space="preserve">Cumul amort.
début N (DH)</t>
  </si>
  <si>
    <t xml:space="preserve">Dotation N (DH)</t>
  </si>
  <si>
    <t xml:space="preserve">Cumul fin N (DH)</t>
  </si>
  <si>
    <t xml:space="preserve">21110000 — Frais de constitution</t>
  </si>
  <si>
    <t xml:space="preserve">Frais de constitution de la société</t>
  </si>
  <si>
    <t xml:space="preserve">01/01/2021</t>
  </si>
  <si>
    <t xml:space="preserve">22200000 — Brevets, marques, droits similaires</t>
  </si>
  <si>
    <t xml:space="preserve">Brevets, marques et droits déposés</t>
  </si>
  <si>
    <t xml:space="preserve">23310000 — Installations techniques</t>
  </si>
  <si>
    <t xml:space="preserve">Installations électriques et techniques</t>
  </si>
  <si>
    <t xml:space="preserve">01/09/2024</t>
  </si>
  <si>
    <t xml:space="preserve">23400000 — Matériel de transport</t>
  </si>
  <si>
    <t xml:space="preserve">Flotte de véhicules de service</t>
  </si>
  <si>
    <t xml:space="preserve">23510000 — Mobilier de bureau</t>
  </si>
  <si>
    <t xml:space="preserve">Mobilier de bureau (ensemble)</t>
  </si>
  <si>
    <t xml:space="preserve">01/01/2023</t>
  </si>
  <si>
    <t xml:space="preserve">23550000 — Matériel informatique (ancien)</t>
  </si>
  <si>
    <t xml:space="preserve">Postes informatiques (parc ancien)</t>
  </si>
  <si>
    <t xml:space="preserve">01/06/2025</t>
  </si>
  <si>
    <t xml:space="preserve">23550000 — Matériel informatique (acquis en N)</t>
  </si>
  <si>
    <t xml:space="preserve">Nouveau poste informatique</t>
  </si>
  <si>
    <t xml:space="preserve">01/07/2026</t>
  </si>
  <si>
    <t xml:space="preserve">23560000 — Agencements et aménagements</t>
  </si>
  <si>
    <t xml:space="preserve">Agencements et aménagements locaux</t>
  </si>
  <si>
    <t xml:space="preserve">01/01/2022</t>
  </si>
  <si>
    <t xml:space="preserve">Note : Mobilier (23510000) + Matériel informatique (23550000) + Agencements (23560000) partagent UN SEUL compte d'amortissement groupé (28356000).</t>
  </si>
  <si>
    <t xml:space="preserve">Cumul début N (groupé, ces 3 comptes) = 79 587,65 DH  |  Dotation N (groupé) = 7 815,47 DH  |  Cumul fin N (groupé) = 87 403,12 DH</t>
  </si>
  <si>
    <t xml:space="preserve">Total dotation N attendue (T08, toutes catégories) : 7 815,47 DH  —  Total cumul fin N attendu : 357 427,30 DH</t>
  </si>
  <si>
    <t xml:space="preserve">DOCUMENT 4 — RÈGLES FISCALES (Génère T03 — Résultat fiscal) — D3 Soft SARL AU — Exercice 2026</t>
  </si>
  <si>
    <t xml:space="preserve">Vert = identifié depuis la balance avec certitude — Jaune = à vérifier avec pièces justificatives</t>
  </si>
  <si>
    <t xml:space="preserve">Nature de l'ajustement</t>
  </si>
  <si>
    <t xml:space="preserve">Concerné ?</t>
  </si>
  <si>
    <t xml:space="preserve">Réf. légale</t>
  </si>
  <si>
    <t xml:space="preserve">Montant (DH)</t>
  </si>
  <si>
    <t xml:space="preserve">Compte balance</t>
  </si>
  <si>
    <t xml:space="preserve">A — RÉSULTAT NET COMPTABLE (depuis Balance N)</t>
  </si>
  <si>
    <t xml:space="preserve">Résultat net comptable de l'exercice N (perte)</t>
  </si>
  <si>
    <t xml:space="preserve">=</t>
  </si>
  <si>
    <t xml:space="preserve">T02 → T03</t>
  </si>
  <si>
    <t xml:space="preserve">Classes 6/7</t>
  </si>
  <si>
    <t xml:space="preserve">B — RÉINTÉGRATIONS — Charges non déductibles (+)</t>
  </si>
  <si>
    <t xml:space="preserve">OUI</t>
  </si>
  <si>
    <t xml:space="preserve">Art. 11 CGI</t>
  </si>
  <si>
    <t xml:space="preserve">Impôt sur les résultats / Cotisation Minimale (jamais déductible)</t>
  </si>
  <si>
    <t xml:space="preserve">Intérêts excédentaires comptes courants associés</t>
  </si>
  <si>
    <t xml:space="preserve">NON</t>
  </si>
  <si>
    <t xml:space="preserve">Art. 15 CGI</t>
  </si>
  <si>
    <t xml:space="preserve">aucun compte 631x trouvé</t>
  </si>
  <si>
    <t xml:space="preserve">Dotations amortissements non déductibles (excédent taux fiscal)</t>
  </si>
  <si>
    <t xml:space="preserve">À VÉRIFIER</t>
  </si>
  <si>
    <t xml:space="preserve">Art. 10 CGI</t>
  </si>
  <si>
    <t xml:space="preserve">dépend du taux réel appliqué (voir Registre immo.)</t>
  </si>
  <si>
    <t xml:space="preserve">Provisions non admises en déduction</t>
  </si>
  <si>
    <t xml:space="preserve">aucun compte 68xx/15xx trouvé</t>
  </si>
  <si>
    <t xml:space="preserve">Dons dépassant les plafonds déductibles</t>
  </si>
  <si>
    <t xml:space="preserve">aucun compte 6585 trouvé</t>
  </si>
  <si>
    <t xml:space="preserve">Charges réglées en espèces &gt; 5 000 DH/jour/fournisseur</t>
  </si>
  <si>
    <t xml:space="preserve">impossible à vérifier depuis la balance seule (voir journal de caisse)</t>
  </si>
  <si>
    <t xml:space="preserve">(+) TOTAL RÉINTÉGRATIONS CERTAINES</t>
  </si>
  <si>
    <t xml:space="preserve">C — DÉDUCTIONS — Produits non imposables (–)</t>
  </si>
  <si>
    <t xml:space="preserve">Dividendes filiales — abattement 100%</t>
  </si>
  <si>
    <t xml:space="preserve">Art. 6 CGI</t>
  </si>
  <si>
    <t xml:space="preserve">aucun compte de titres de participation trouvé</t>
  </si>
  <si>
    <t xml:space="preserve">Plus-values sur cessions exonérées</t>
  </si>
  <si>
    <t xml:space="preserve">Art. 161 CGI</t>
  </si>
  <si>
    <t xml:space="preserve">aucune cession d'immobilisation cette année (T04/T10 vides)</t>
  </si>
  <si>
    <t xml:space="preserve">(–) TOTAL DÉDUCTIONS</t>
  </si>
  <si>
    <t xml:space="preserve">D — REPORTS DÉFICITAIRES — 4 exercices max (Art. 12 CGI)</t>
  </si>
  <si>
    <t xml:space="preserve">Déficits fiscaux des exercices N-1 à N-4 reportables</t>
  </si>
  <si>
    <t xml:space="preserve">Art. 12 CGI</t>
  </si>
  <si>
    <t xml:space="preserve">Non déterminable depuis la balance — nécessite les anciennes déclarations IS (bordereau-avis / liasses antérieures)</t>
  </si>
  <si>
    <t xml:space="preserve">E — RÉSULTAT NET FISCAL = A + B – C – D</t>
  </si>
  <si>
    <t xml:space="preserve">Résultat net fiscal (avant imputation déficits antérieurs)</t>
  </si>
  <si>
    <t xml:space="preserve">F — TAUX IS ET CALCUL</t>
  </si>
  <si>
    <t xml:space="preserve">Taux IS applicable (CA ≈ 334 861 DH → tranche 300K-1M DH)</t>
  </si>
  <si>
    <t xml:space="preserve">Art. 19 CGI — à confirmer selon barème IS en vigueur en 2026</t>
  </si>
  <si>
    <t xml:space="preserve">Cotisation Minimale (0,5% du CA hors taxes)</t>
  </si>
  <si>
    <t xml:space="preserve">Art. 144 CGI</t>
  </si>
  <si>
    <t xml:space="preserve">Note : montant IS dû = MAX(IS calculé au taux normal ; Cotisation Minimale), déjà comptabilisé au compte 67050000 (3 000 DH), cohérent avec un résultat fiscal faible.</t>
  </si>
  <si>
    <t xml:space="preserve">Le minimum légal de la Cotisation Minimale (Art. 144 CGI) est de 3 000 DH — cela explique l'écart avec le calcul brut à 0,5% (1 674,29 DH). Le montant comptabilisé (3 000 DH) est donc cohérent.</t>
  </si>
  <si>
    <t xml:space="preserve">DOCUMENT 5 — DÉCISION AG (Génère T14 — Affectation des résultats) — D3 Soft SARL AU</t>
  </si>
  <si>
    <t xml:space="preserve">Jaune = à compléter avec le PV d'AG réel de l'exercice N-1 (2025)</t>
  </si>
  <si>
    <t xml:space="preserve">Règle / Constat</t>
  </si>
  <si>
    <t xml:space="preserve">INFORMATIONS AG</t>
  </si>
  <si>
    <t xml:space="preserve">Date de l'AG</t>
  </si>
  <si>
    <t xml:space="preserve">15/05/2026</t>
  </si>
  <si>
    <t xml:space="preserve">Avant le 30/06/2026</t>
  </si>
  <si>
    <t xml:space="preserve">Exercice concerné</t>
  </si>
  <si>
    <t xml:space="preserve">2025 (N-1)</t>
  </si>
  <si>
    <t xml:space="preserve">Résultat à affecter</t>
  </si>
  <si>
    <t xml:space="preserve">Résultat net N-1 à affecter (MAD)</t>
  </si>
  <si>
    <t xml:space="preserve">Non déterminable depuis la balance seule (classes 6/7 déjà closes en N-1) — nécessite le PV d'AG ou le CPC 2025</t>
  </si>
  <si>
    <t xml:space="preserve">AFFECTATION DÉCIDÉE PAR L'AG</t>
  </si>
  <si>
    <t xml:space="preserve">Réserve légale (5% du bénéfice net)</t>
  </si>
  <si>
    <t xml:space="preserve">Sans objet — l'exercice N-1 était déficitaire (perte cumulée en report à nouveau)</t>
  </si>
  <si>
    <t xml:space="preserve">Dividendes distribués</t>
  </si>
  <si>
    <t xml:space="preserve">Sans objet — pas de bénéfice distribuable, déficit reporté</t>
  </si>
  <si>
    <t xml:space="preserve">Report à nouveau (perte reportée)</t>
  </si>
  <si>
    <t xml:space="preserve">Confirmé et corrigé dans la Balance N-1 (compte 11690000)</t>
  </si>
  <si>
    <t xml:space="preserve">⚠ Important : cette hypothèse (perte intégralement reportée, aucune distribution) est cohérente avec la correction déjà appliquée à la Balance N-1, mais reste à CONFIRMER avec le PV d'AG réel — je n'ai pas ce document.</t>
  </si>
  <si>
    <t xml:space="preserve">DOCUMENT 6 — MODULES CONDITIONNELS (T07·T09·T10·T11·T18·T19·T21) — D3 Soft SARL AU</t>
  </si>
  <si>
    <t xml:space="preserve">Vérifié compte par compte dans la balance N et N-1. Vert = non concerné (confirmé). Jaune = concerné, à compléter.</t>
  </si>
  <si>
    <t xml:space="preserve">T07 — CRÉDIT-BAIL</t>
  </si>
  <si>
    <t xml:space="preserve">NON CONCERNÉ</t>
  </si>
  <si>
    <t xml:space="preserve">Aucun compte de redevances de crédit-bail (613x) trouvé dans la balance.</t>
  </si>
  <si>
    <t xml:space="preserve">T09 — PROVISIONS</t>
  </si>
  <si>
    <t xml:space="preserve">Aucun compte de provisions (68xx charges, 15xx durables) trouvé — toutes les lignes T09 sont à 0, déjà cohérent.</t>
  </si>
  <si>
    <t xml:space="preserve">T10 — PLUS/MOINS-VALUES SUR CESSIONS</t>
  </si>
  <si>
    <t xml:space="preserve">Aucune cession ni retrait d'immobilisation cette année (T04 : colonnes Cession/Retrait à 0).</t>
  </si>
  <si>
    <t xml:space="preserve">T11 — TITRES DE PARTICIPATION</t>
  </si>
  <si>
    <t xml:space="preserve">Aucun compte de titres de participation (261x/2510x) trouvé dans la balance.</t>
  </si>
  <si>
    <t xml:space="preserve">T18 — INTÉRÊTS EMPRUNTS ASSOCIÉS/TIERS</t>
  </si>
  <si>
    <t xml:space="preserve">Le compte courant associés créditeurs (44630000, 497 987,24 DH) existe, mais aucun compte de charge d'intérêts (631x) n'est présent — semble non rémunéré. À confirmer : ce compte porte-t-il intérêt ?</t>
  </si>
  <si>
    <t xml:space="preserve">T19 — LOCATIONS ET BAUX (hors crédit-bail)</t>
  </si>
  <si>
    <t xml:space="preserve">CONCERNÉ — total connu</t>
  </si>
  <si>
    <t xml:space="preserve">Total loyers de l'exercice : 52 800 DH (compte 61310000). Détail des contrats (bailleur, adresse, dates) à compléter ci-dessous.</t>
  </si>
  <si>
    <t xml:space="preserve">T21 — OPÉRATIONS EN DEVISES</t>
  </si>
  <si>
    <t xml:space="preserve">Aucun compte ou opération en devises identifié dans la balance.</t>
  </si>
  <si>
    <t xml:space="preserve">DÉTAIL DES CONTRATS T19 (à compléter)</t>
  </si>
  <si>
    <t xml:space="preserve">Bien loué</t>
  </si>
  <si>
    <t xml:space="preserve">Propriétaire/Bailleur</t>
  </si>
  <si>
    <t xml:space="preserve">Adresse propriétaire</t>
  </si>
  <si>
    <t xml:space="preserve">N° IF/CIN propriétaire</t>
  </si>
  <si>
    <t xml:space="preserve">Date contrat</t>
  </si>
  <si>
    <t xml:space="preserve">Loyer annuel (MAD)</t>
  </si>
  <si>
    <t xml:space="preserve">Bureaux et locaux commerciaux</t>
  </si>
  <si>
    <t xml:space="preserve">TAZI Abdelkader</t>
  </si>
  <si>
    <t xml:space="preserve">12 Rue Mohammed V, Tanger</t>
  </si>
  <si>
    <t xml:space="preserve">IF 18452399 / CIN AB556214</t>
  </si>
  <si>
    <t xml:space="preserve">01/01/2024</t>
  </si>
  <si>
    <t xml:space="preserve">Total attendu : 52 800 DH (= compte 61310000 / T06)</t>
  </si>
  <si>
    <t xml:space="preserve">DOCUMENT 7 — POLITIQUE COMPTABLE (Génère T23, T24, T25) — D3 Soft SARL AU</t>
  </si>
  <si>
    <t xml:space="preserve">Textes adaptés à l'activité réelle (SSII avec produits logiciels) — à valider ou modifier</t>
  </si>
  <si>
    <t xml:space="preserve">Tableau</t>
  </si>
  <si>
    <t xml:space="preserve">Rubrique</t>
  </si>
  <si>
    <t xml:space="preserve">Texte</t>
  </si>
  <si>
    <t xml:space="preserve">T23</t>
  </si>
  <si>
    <t xml:space="preserve">Stocks (Produits Finis)</t>
  </si>
  <si>
    <t xml:space="preserve">Les produits finis (logiciels/produits développés en interne) sont évalués au coût de production. Une provision est constituée si la valeur de réalisation nette est inférieure au coût comptable.</t>
  </si>
  <si>
    <t xml:space="preserve">Immobilisations corp.</t>
  </si>
  <si>
    <t xml:space="preserve">Comptabilisées au coût d'acquisition. Amortissements linéaires aux taux fiscaux en vigueur. Aucune réévaluation pratiquée.</t>
  </si>
  <si>
    <t xml:space="preserve">Immobilisations incorp.</t>
  </si>
  <si>
    <t xml:space="preserve">Amorties linéairement sur leur durée d'utilité (brevets, marques, frais de constitution).</t>
  </si>
  <si>
    <t xml:space="preserve">Créances clients</t>
  </si>
  <si>
    <t xml:space="preserve">Valeur nominale. Aucune provision pour créances douteuses constatée sur l'exercice.</t>
  </si>
  <si>
    <t xml:space="preserve">Dettes / Comptes courants associés</t>
  </si>
  <si>
    <t xml:space="preserve">Comptabilisés à leur valeur de remboursement. Le compte courant associés créditeur ne porte pas intérêt sur l'exercice (à confirmer).</t>
  </si>
  <si>
    <t xml:space="preserve">T24</t>
  </si>
  <si>
    <t xml:space="preserve">Dérogations pratiquées</t>
  </si>
  <si>
    <t xml:space="preserve">Néant — aucune dérogation aux principes comptables fondamentaux n'a été pratiquée au cours de l'exercice.</t>
  </si>
  <si>
    <t xml:space="preserve">Justification</t>
  </si>
  <si>
    <t xml:space="preserve">Sans objet.</t>
  </si>
  <si>
    <t xml:space="preserve">T25</t>
  </si>
  <si>
    <t xml:space="preserve">Changements de méthodes</t>
  </si>
  <si>
    <t xml:space="preserve">Néant — aucun changement de méthode comptable n'est intervenu au cours de l'exercice par rapport à l'exercice précédent.</t>
  </si>
  <si>
    <t xml:space="preserve">Influence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</si>
</sst>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0"/>
      <color rgb="FF555555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i val="true"/>
      <sz val="9"/>
      <color rgb="FFC00000"/>
      <name val="Cambria"/>
      <family val="0"/>
      <charset val="1"/>
    </font>
    <font>
      <b val="true"/>
      <i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BDD7EE"/>
        <bgColor rgb="FFD9E1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5" min="4" style="1" width="42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5" hidden="false" customHeight="true" outlineLevel="0" collapsed="false">
      <c r="A3" s="4" t="n">
        <v>1</v>
      </c>
      <c r="B3" s="4" t="s">
        <v>6</v>
      </c>
      <c r="C3" s="4" t="s">
        <v>7</v>
      </c>
      <c r="D3" s="4" t="s">
        <v>8</v>
      </c>
      <c r="E3" s="4" t="s">
        <v>9</v>
      </c>
    </row>
    <row r="4" customFormat="false" ht="15" hidden="false" customHeight="true" outlineLevel="0" collapsed="false">
      <c r="A4" s="4" t="n">
        <v>2</v>
      </c>
      <c r="B4" s="4" t="s">
        <v>10</v>
      </c>
      <c r="C4" s="4" t="s">
        <v>11</v>
      </c>
      <c r="D4" s="4" t="s">
        <v>12</v>
      </c>
      <c r="E4" s="4" t="s">
        <v>13</v>
      </c>
    </row>
    <row r="5" customFormat="false" ht="15" hidden="false" customHeight="true" outlineLevel="0" collapsed="false">
      <c r="A5" s="4" t="n">
        <v>3</v>
      </c>
      <c r="B5" s="4" t="s">
        <v>14</v>
      </c>
      <c r="C5" s="4" t="s">
        <v>15</v>
      </c>
      <c r="D5" s="4" t="s">
        <v>16</v>
      </c>
      <c r="E5" s="4" t="s">
        <v>17</v>
      </c>
    </row>
    <row r="6" customFormat="false" ht="15" hidden="false" customHeight="true" outlineLevel="0" collapsed="false">
      <c r="A6" s="4" t="n">
        <v>4</v>
      </c>
      <c r="B6" s="4" t="s">
        <v>18</v>
      </c>
      <c r="C6" s="4" t="s">
        <v>19</v>
      </c>
      <c r="D6" s="4" t="s">
        <v>20</v>
      </c>
      <c r="E6" s="4" t="s">
        <v>21</v>
      </c>
    </row>
    <row r="7" customFormat="false" ht="15" hidden="false" customHeight="true" outlineLevel="0" collapsed="false">
      <c r="A7" s="4" t="n">
        <v>5</v>
      </c>
      <c r="B7" s="4" t="s">
        <v>22</v>
      </c>
      <c r="C7" s="4" t="s">
        <v>19</v>
      </c>
      <c r="D7" s="4" t="s">
        <v>23</v>
      </c>
      <c r="E7" s="4" t="s">
        <v>24</v>
      </c>
    </row>
    <row r="8" customFormat="false" ht="15" hidden="false" customHeight="true" outlineLevel="0" collapsed="false">
      <c r="A8" s="4" t="n">
        <v>6</v>
      </c>
      <c r="B8" s="4" t="s">
        <v>25</v>
      </c>
      <c r="C8" s="4" t="s">
        <v>26</v>
      </c>
      <c r="D8" s="4" t="s">
        <v>27</v>
      </c>
      <c r="E8" s="4" t="s">
        <v>28</v>
      </c>
    </row>
    <row r="9" customFormat="false" ht="15" hidden="false" customHeight="true" outlineLevel="0" collapsed="false">
      <c r="A9" s="4" t="n">
        <v>7</v>
      </c>
      <c r="B9" s="4" t="s">
        <v>29</v>
      </c>
      <c r="C9" s="4" t="s">
        <v>11</v>
      </c>
      <c r="D9" s="4" t="s">
        <v>30</v>
      </c>
      <c r="E9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0"/>
    <col collapsed="false" customWidth="true" hidden="false" outlineLevel="0" max="4" min="3" style="1" width="16"/>
  </cols>
  <sheetData>
    <row r="1" customFormat="false" ht="15.75" hidden="false" customHeight="true" outlineLevel="0" collapsed="false">
      <c r="A1" s="2" t="s">
        <v>32</v>
      </c>
    </row>
    <row r="2" customFormat="false" ht="15" hidden="false" customHeight="true" outlineLevel="0" collapsed="false">
      <c r="A2" s="5" t="s">
        <v>33</v>
      </c>
    </row>
    <row r="3" customFormat="false" ht="15" hidden="false" customHeight="true" outlineLevel="0" collapsed="false">
      <c r="A3" s="3" t="s">
        <v>34</v>
      </c>
      <c r="B3" s="3" t="s">
        <v>35</v>
      </c>
      <c r="C3" s="3" t="s">
        <v>36</v>
      </c>
      <c r="D3" s="3" t="s">
        <v>37</v>
      </c>
    </row>
    <row r="4" customFormat="false" ht="15" hidden="false" customHeight="true" outlineLevel="0" collapsed="false">
      <c r="A4" s="6" t="s">
        <v>38</v>
      </c>
      <c r="B4" s="6" t="s">
        <v>39</v>
      </c>
      <c r="C4" s="6" t="n">
        <v>0</v>
      </c>
      <c r="D4" s="6" t="n">
        <v>200000</v>
      </c>
    </row>
    <row r="5" customFormat="false" ht="15" hidden="false" customHeight="true" outlineLevel="0" collapsed="false">
      <c r="A5" s="6" t="s">
        <v>40</v>
      </c>
      <c r="B5" s="6" t="s">
        <v>41</v>
      </c>
      <c r="C5" s="6" t="n">
        <v>311644.68</v>
      </c>
      <c r="D5" s="6" t="n">
        <v>0</v>
      </c>
    </row>
    <row r="6" customFormat="false" ht="15" hidden="false" customHeight="true" outlineLevel="0" collapsed="false">
      <c r="A6" s="6" t="s">
        <v>42</v>
      </c>
      <c r="B6" s="6" t="s">
        <v>43</v>
      </c>
      <c r="C6" s="6" t="n">
        <v>0</v>
      </c>
      <c r="D6" s="6" t="n">
        <v>0</v>
      </c>
    </row>
    <row r="7" customFormat="false" ht="15" hidden="false" customHeight="true" outlineLevel="0" collapsed="false">
      <c r="A7" s="6" t="s">
        <v>44</v>
      </c>
      <c r="B7" s="6" t="s">
        <v>45</v>
      </c>
      <c r="C7" s="6" t="n">
        <v>4106</v>
      </c>
      <c r="D7" s="6" t="n">
        <v>0</v>
      </c>
    </row>
    <row r="8" customFormat="false" ht="15" hidden="false" customHeight="true" outlineLevel="0" collapsed="false">
      <c r="A8" s="6" t="s">
        <v>46</v>
      </c>
      <c r="B8" s="6" t="s">
        <v>47</v>
      </c>
      <c r="C8" s="6" t="n">
        <v>28250</v>
      </c>
      <c r="D8" s="6" t="n">
        <v>0</v>
      </c>
    </row>
    <row r="9" customFormat="false" ht="15" hidden="false" customHeight="true" outlineLevel="0" collapsed="false">
      <c r="A9" s="6" t="s">
        <v>48</v>
      </c>
      <c r="B9" s="6" t="s">
        <v>49</v>
      </c>
      <c r="C9" s="6" t="n">
        <v>14860</v>
      </c>
      <c r="D9" s="6" t="n">
        <v>0</v>
      </c>
    </row>
    <row r="10" customFormat="false" ht="15" hidden="false" customHeight="true" outlineLevel="0" collapsed="false">
      <c r="A10" s="6" t="s">
        <v>50</v>
      </c>
      <c r="B10" s="6" t="s">
        <v>51</v>
      </c>
      <c r="C10" s="6" t="n">
        <v>235875</v>
      </c>
      <c r="D10" s="6" t="n">
        <v>0</v>
      </c>
    </row>
    <row r="11" customFormat="false" ht="15" hidden="false" customHeight="true" outlineLevel="0" collapsed="false">
      <c r="A11" s="6" t="s">
        <v>52</v>
      </c>
      <c r="B11" s="6" t="s">
        <v>53</v>
      </c>
      <c r="C11" s="6" t="n">
        <v>67024.66</v>
      </c>
      <c r="D11" s="6" t="n">
        <v>0</v>
      </c>
    </row>
    <row r="12" customFormat="false" ht="15" hidden="false" customHeight="true" outlineLevel="0" collapsed="false">
      <c r="A12" s="6" t="s">
        <v>54</v>
      </c>
      <c r="B12" s="6" t="s">
        <v>55</v>
      </c>
      <c r="C12" s="6" t="n">
        <v>13287.35</v>
      </c>
      <c r="D12" s="6" t="n">
        <v>0</v>
      </c>
    </row>
    <row r="13" customFormat="false" ht="15" hidden="false" customHeight="true" outlineLevel="0" collapsed="false">
      <c r="A13" s="6" t="s">
        <v>56</v>
      </c>
      <c r="B13" s="6" t="s">
        <v>57</v>
      </c>
      <c r="C13" s="6" t="n">
        <v>4590</v>
      </c>
      <c r="D13" s="6" t="n">
        <v>0</v>
      </c>
    </row>
    <row r="14" customFormat="false" ht="15" hidden="false" customHeight="true" outlineLevel="0" collapsed="false">
      <c r="A14" s="6" t="s">
        <v>58</v>
      </c>
      <c r="B14" s="6" t="s">
        <v>59</v>
      </c>
      <c r="C14" s="6" t="n">
        <v>0</v>
      </c>
      <c r="D14" s="6" t="n">
        <v>4105.6</v>
      </c>
    </row>
    <row r="15" customFormat="false" ht="15" hidden="false" customHeight="true" outlineLevel="0" collapsed="false">
      <c r="A15" s="6" t="s">
        <v>60</v>
      </c>
      <c r="B15" s="6" t="s">
        <v>61</v>
      </c>
      <c r="C15" s="6" t="n">
        <v>0</v>
      </c>
      <c r="D15" s="6" t="n">
        <v>25895.83</v>
      </c>
    </row>
    <row r="16" customFormat="false" ht="15" hidden="false" customHeight="true" outlineLevel="0" collapsed="false">
      <c r="A16" s="6" t="s">
        <v>62</v>
      </c>
      <c r="B16" s="6" t="s">
        <v>63</v>
      </c>
      <c r="C16" s="6" t="n">
        <v>0</v>
      </c>
      <c r="D16" s="6" t="n">
        <v>2354.17</v>
      </c>
    </row>
    <row r="17" customFormat="false" ht="15" hidden="false" customHeight="true" outlineLevel="0" collapsed="false">
      <c r="A17" s="6" t="s">
        <v>64</v>
      </c>
      <c r="B17" s="6" t="s">
        <v>65</v>
      </c>
      <c r="C17" s="6" t="n">
        <v>0</v>
      </c>
      <c r="D17" s="6" t="n">
        <v>1795.58</v>
      </c>
    </row>
    <row r="18" customFormat="false" ht="15" hidden="false" customHeight="true" outlineLevel="0" collapsed="false">
      <c r="A18" s="6" t="s">
        <v>66</v>
      </c>
      <c r="B18" s="6" t="s">
        <v>67</v>
      </c>
      <c r="C18" s="6" t="n">
        <v>0</v>
      </c>
      <c r="D18" s="6" t="n">
        <v>235873</v>
      </c>
    </row>
    <row r="19" customFormat="false" ht="15" hidden="false" customHeight="true" outlineLevel="0" collapsed="false">
      <c r="A19" s="6" t="s">
        <v>68</v>
      </c>
      <c r="B19" s="6" t="s">
        <v>69</v>
      </c>
      <c r="C19" s="6" t="n">
        <v>0</v>
      </c>
      <c r="D19" s="6" t="n">
        <v>87403.12</v>
      </c>
    </row>
    <row r="20" customFormat="false" ht="15" hidden="false" customHeight="true" outlineLevel="0" collapsed="false">
      <c r="A20" s="6" t="s">
        <v>70</v>
      </c>
      <c r="B20" s="6" t="s">
        <v>71</v>
      </c>
      <c r="C20" s="6" t="n">
        <v>471035.17</v>
      </c>
      <c r="D20" s="6" t="n">
        <v>0</v>
      </c>
    </row>
    <row r="21" customFormat="false" ht="15" hidden="false" customHeight="true" outlineLevel="0" collapsed="false">
      <c r="A21" s="6" t="s">
        <v>72</v>
      </c>
      <c r="B21" s="6" t="s">
        <v>73</v>
      </c>
      <c r="C21" s="6" t="n">
        <v>691462.83</v>
      </c>
      <c r="D21" s="6" t="n">
        <v>0</v>
      </c>
    </row>
    <row r="22" customFormat="false" ht="15" hidden="false" customHeight="true" outlineLevel="0" collapsed="false">
      <c r="A22" s="6" t="s">
        <v>74</v>
      </c>
      <c r="B22" s="6" t="s">
        <v>75</v>
      </c>
      <c r="C22" s="6" t="n">
        <v>6268</v>
      </c>
      <c r="D22" s="6" t="n">
        <v>0</v>
      </c>
    </row>
    <row r="23" customFormat="false" ht="15" hidden="false" customHeight="true" outlineLevel="0" collapsed="false">
      <c r="A23" s="6" t="s">
        <v>76</v>
      </c>
      <c r="B23" s="6" t="s">
        <v>77</v>
      </c>
      <c r="C23" s="6" t="n">
        <v>4847.35</v>
      </c>
      <c r="D23" s="6" t="n">
        <v>0</v>
      </c>
    </row>
    <row r="24" customFormat="false" ht="15" hidden="false" customHeight="true" outlineLevel="0" collapsed="false">
      <c r="A24" s="6" t="s">
        <v>78</v>
      </c>
      <c r="B24" s="6" t="s">
        <v>79</v>
      </c>
      <c r="C24" s="6" t="n">
        <v>6370</v>
      </c>
      <c r="D24" s="6" t="n">
        <v>0</v>
      </c>
    </row>
    <row r="25" customFormat="false" ht="15" hidden="false" customHeight="true" outlineLevel="0" collapsed="false">
      <c r="A25" s="6" t="s">
        <v>80</v>
      </c>
      <c r="B25" s="6" t="s">
        <v>81</v>
      </c>
      <c r="C25" s="6" t="n">
        <v>6057.28</v>
      </c>
      <c r="D25" s="6" t="n">
        <v>0</v>
      </c>
    </row>
    <row r="26" customFormat="false" ht="15" hidden="false" customHeight="true" outlineLevel="0" collapsed="false">
      <c r="A26" s="6" t="s">
        <v>82</v>
      </c>
      <c r="B26" s="6" t="s">
        <v>83</v>
      </c>
      <c r="C26" s="6" t="n">
        <v>0</v>
      </c>
      <c r="D26" s="6" t="n">
        <v>1023.97</v>
      </c>
    </row>
    <row r="27" customFormat="false" ht="15" hidden="false" customHeight="true" outlineLevel="0" collapsed="false">
      <c r="A27" s="6" t="s">
        <v>84</v>
      </c>
      <c r="B27" s="6" t="s">
        <v>85</v>
      </c>
      <c r="C27" s="6" t="n">
        <v>0</v>
      </c>
      <c r="D27" s="6" t="n">
        <v>4400</v>
      </c>
    </row>
    <row r="28" customFormat="false" ht="15" hidden="false" customHeight="true" outlineLevel="0" collapsed="false">
      <c r="A28" s="6" t="s">
        <v>86</v>
      </c>
      <c r="B28" s="6" t="s">
        <v>87</v>
      </c>
      <c r="C28" s="6" t="n">
        <v>0</v>
      </c>
      <c r="D28" s="6" t="n">
        <v>1.818989403546E-012</v>
      </c>
    </row>
    <row r="29" customFormat="false" ht="15" hidden="false" customHeight="true" outlineLevel="0" collapsed="false">
      <c r="A29" s="6" t="s">
        <v>88</v>
      </c>
      <c r="B29" s="6" t="s">
        <v>89</v>
      </c>
      <c r="C29" s="6" t="n">
        <v>0</v>
      </c>
      <c r="D29" s="6" t="n">
        <v>1941.53</v>
      </c>
    </row>
    <row r="30" customFormat="false" ht="15" hidden="false" customHeight="true" outlineLevel="0" collapsed="false">
      <c r="A30" s="6" t="s">
        <v>90</v>
      </c>
      <c r="B30" s="6" t="s">
        <v>91</v>
      </c>
      <c r="C30" s="6" t="n">
        <v>0</v>
      </c>
      <c r="D30" s="6" t="n">
        <v>142.8</v>
      </c>
    </row>
    <row r="31" customFormat="false" ht="15" hidden="false" customHeight="true" outlineLevel="0" collapsed="false">
      <c r="A31" s="6" t="s">
        <v>92</v>
      </c>
      <c r="B31" s="6" t="s">
        <v>93</v>
      </c>
      <c r="C31" s="6" t="n">
        <v>0</v>
      </c>
      <c r="D31" s="6" t="n">
        <v>991.42</v>
      </c>
    </row>
    <row r="32" customFormat="false" ht="15" hidden="false" customHeight="true" outlineLevel="0" collapsed="false">
      <c r="A32" s="6" t="s">
        <v>94</v>
      </c>
      <c r="B32" s="6" t="s">
        <v>95</v>
      </c>
      <c r="C32" s="6" t="n">
        <v>0</v>
      </c>
      <c r="D32" s="6" t="n">
        <v>8006.2</v>
      </c>
    </row>
    <row r="33" customFormat="false" ht="15" hidden="false" customHeight="true" outlineLevel="0" collapsed="false">
      <c r="A33" s="6" t="s">
        <v>96</v>
      </c>
      <c r="B33" s="6" t="s">
        <v>97</v>
      </c>
      <c r="C33" s="6" t="n">
        <v>0</v>
      </c>
      <c r="D33" s="6" t="n">
        <v>16500</v>
      </c>
    </row>
    <row r="34" customFormat="false" ht="15" hidden="false" customHeight="true" outlineLevel="0" collapsed="false">
      <c r="A34" s="6" t="s">
        <v>98</v>
      </c>
      <c r="B34" s="6" t="s">
        <v>99</v>
      </c>
      <c r="C34" s="6" t="n">
        <v>0</v>
      </c>
      <c r="D34" s="6" t="n">
        <v>4465.6</v>
      </c>
    </row>
    <row r="35" customFormat="false" ht="15" hidden="false" customHeight="true" outlineLevel="0" collapsed="false">
      <c r="A35" s="6" t="s">
        <v>100</v>
      </c>
      <c r="B35" s="6" t="s">
        <v>101</v>
      </c>
      <c r="C35" s="6" t="n">
        <v>0</v>
      </c>
      <c r="D35" s="6" t="n">
        <v>0</v>
      </c>
    </row>
    <row r="36" customFormat="false" ht="15" hidden="false" customHeight="true" outlineLevel="0" collapsed="false">
      <c r="A36" s="6" t="s">
        <v>102</v>
      </c>
      <c r="B36" s="6" t="s">
        <v>103</v>
      </c>
      <c r="C36" s="6" t="n">
        <v>0</v>
      </c>
      <c r="D36" s="6" t="n">
        <v>7870.8</v>
      </c>
    </row>
    <row r="37" customFormat="false" ht="15" hidden="false" customHeight="true" outlineLevel="0" collapsed="false">
      <c r="A37" s="6" t="s">
        <v>104</v>
      </c>
      <c r="B37" s="6" t="s">
        <v>105</v>
      </c>
      <c r="C37" s="6" t="n">
        <v>0</v>
      </c>
      <c r="D37" s="6" t="n">
        <v>636333.21</v>
      </c>
    </row>
    <row r="38" customFormat="false" ht="15" hidden="false" customHeight="true" outlineLevel="0" collapsed="false">
      <c r="A38" s="6" t="s">
        <v>106</v>
      </c>
      <c r="B38" s="6" t="s">
        <v>107</v>
      </c>
      <c r="C38" s="6" t="n">
        <v>0</v>
      </c>
      <c r="D38" s="6" t="n">
        <v>3462.77</v>
      </c>
    </row>
    <row r="39" customFormat="false" ht="15" hidden="false" customHeight="true" outlineLevel="0" collapsed="false">
      <c r="A39" s="6" t="s">
        <v>108</v>
      </c>
      <c r="B39" s="6" t="s">
        <v>109</v>
      </c>
      <c r="C39" s="6" t="n">
        <v>0</v>
      </c>
      <c r="D39" s="6" t="n">
        <v>4800</v>
      </c>
    </row>
    <row r="40" customFormat="false" ht="15" hidden="false" customHeight="true" outlineLevel="0" collapsed="false">
      <c r="A40" s="6" t="s">
        <v>110</v>
      </c>
      <c r="B40" s="6" t="s">
        <v>111</v>
      </c>
      <c r="C40" s="6" t="n">
        <v>0</v>
      </c>
      <c r="D40" s="6" t="n">
        <v>1637.69</v>
      </c>
    </row>
    <row r="41" customFormat="false" ht="15" hidden="false" customHeight="true" outlineLevel="0" collapsed="false">
      <c r="A41" s="6" t="s">
        <v>112</v>
      </c>
      <c r="B41" s="6" t="s">
        <v>113</v>
      </c>
      <c r="C41" s="6" t="n">
        <v>0</v>
      </c>
      <c r="D41" s="6" t="n">
        <v>2842</v>
      </c>
    </row>
    <row r="42" customFormat="false" ht="15" hidden="false" customHeight="true" outlineLevel="0" collapsed="false">
      <c r="A42" s="6" t="s">
        <v>114</v>
      </c>
      <c r="B42" s="6" t="s">
        <v>115</v>
      </c>
      <c r="C42" s="6" t="n">
        <v>0</v>
      </c>
      <c r="D42" s="6" t="n">
        <v>120708.12</v>
      </c>
    </row>
    <row r="43" customFormat="false" ht="15" hidden="false" customHeight="true" outlineLevel="0" collapsed="false">
      <c r="A43" s="6" t="s">
        <v>116</v>
      </c>
      <c r="B43" s="6" t="s">
        <v>117</v>
      </c>
      <c r="C43" s="6" t="n">
        <v>0</v>
      </c>
      <c r="D43" s="6" t="n">
        <v>9198.09</v>
      </c>
    </row>
    <row r="44" customFormat="false" ht="15" hidden="false" customHeight="true" outlineLevel="0" collapsed="false">
      <c r="A44" s="6" t="s">
        <v>118</v>
      </c>
      <c r="B44" s="6" t="s">
        <v>119</v>
      </c>
      <c r="C44" s="6" t="n">
        <v>0</v>
      </c>
      <c r="D44" s="6" t="n">
        <v>497987.24</v>
      </c>
    </row>
    <row r="45" customFormat="false" ht="15" hidden="false" customHeight="true" outlineLevel="0" collapsed="false">
      <c r="A45" s="6" t="s">
        <v>120</v>
      </c>
      <c r="B45" s="6" t="s">
        <v>121</v>
      </c>
      <c r="C45" s="6" t="n">
        <v>6157.27</v>
      </c>
      <c r="D45" s="6" t="n">
        <v>0</v>
      </c>
    </row>
    <row r="46" customFormat="false" ht="15" hidden="false" customHeight="true" outlineLevel="0" collapsed="false">
      <c r="A46" s="6" t="s">
        <v>122</v>
      </c>
      <c r="B46" s="6" t="s">
        <v>123</v>
      </c>
      <c r="C46" s="6" t="n">
        <v>5237.53</v>
      </c>
      <c r="D46" s="6" t="n">
        <v>0</v>
      </c>
    </row>
    <row r="47" customFormat="false" ht="15" hidden="false" customHeight="true" outlineLevel="0" collapsed="false">
      <c r="A47" s="6" t="s">
        <v>124</v>
      </c>
      <c r="B47" s="6" t="s">
        <v>125</v>
      </c>
      <c r="C47" s="6" t="n">
        <v>10334.04</v>
      </c>
      <c r="D47" s="6" t="n">
        <v>0</v>
      </c>
    </row>
    <row r="48" customFormat="false" ht="15" hidden="false" customHeight="true" outlineLevel="0" collapsed="false">
      <c r="A48" s="6" t="s">
        <v>126</v>
      </c>
      <c r="B48" s="6" t="s">
        <v>127</v>
      </c>
      <c r="C48" s="6" t="n">
        <v>52800</v>
      </c>
      <c r="D48" s="6" t="n">
        <v>0</v>
      </c>
    </row>
    <row r="49" customFormat="false" ht="15" hidden="false" customHeight="true" outlineLevel="0" collapsed="false">
      <c r="A49" s="6" t="s">
        <v>128</v>
      </c>
      <c r="B49" s="6" t="s">
        <v>129</v>
      </c>
      <c r="C49" s="6" t="n">
        <v>12179.26</v>
      </c>
      <c r="D49" s="6" t="n">
        <v>0</v>
      </c>
    </row>
    <row r="50" customFormat="false" ht="15" hidden="false" customHeight="true" outlineLevel="0" collapsed="false">
      <c r="A50" s="6" t="s">
        <v>130</v>
      </c>
      <c r="B50" s="6" t="s">
        <v>131</v>
      </c>
      <c r="C50" s="6" t="n">
        <v>949.82</v>
      </c>
      <c r="D50" s="6" t="n">
        <v>0</v>
      </c>
    </row>
    <row r="51" customFormat="false" ht="15" hidden="false" customHeight="true" outlineLevel="0" collapsed="false">
      <c r="A51" s="6" t="s">
        <v>132</v>
      </c>
      <c r="B51" s="6" t="s">
        <v>133</v>
      </c>
      <c r="C51" s="6" t="n">
        <v>4800</v>
      </c>
      <c r="D51" s="6" t="n">
        <v>0</v>
      </c>
    </row>
    <row r="52" customFormat="false" ht="15" hidden="false" customHeight="true" outlineLevel="0" collapsed="false">
      <c r="A52" s="6" t="s">
        <v>134</v>
      </c>
      <c r="B52" s="6" t="s">
        <v>135</v>
      </c>
      <c r="C52" s="6" t="n">
        <v>16</v>
      </c>
      <c r="D52" s="6" t="n">
        <v>0</v>
      </c>
    </row>
    <row r="53" customFormat="false" ht="15" hidden="false" customHeight="true" outlineLevel="0" collapsed="false">
      <c r="A53" s="6" t="s">
        <v>136</v>
      </c>
      <c r="B53" s="6" t="s">
        <v>137</v>
      </c>
      <c r="C53" s="6" t="n">
        <v>9600</v>
      </c>
      <c r="D53" s="6" t="n">
        <v>0</v>
      </c>
    </row>
    <row r="54" customFormat="false" ht="15" hidden="false" customHeight="true" outlineLevel="0" collapsed="false">
      <c r="A54" s="6" t="s">
        <v>138</v>
      </c>
      <c r="B54" s="6" t="s">
        <v>139</v>
      </c>
      <c r="C54" s="6" t="n">
        <v>151856</v>
      </c>
      <c r="D54" s="6" t="n">
        <v>0</v>
      </c>
    </row>
    <row r="55" customFormat="false" ht="15" hidden="false" customHeight="true" outlineLevel="0" collapsed="false">
      <c r="A55" s="6" t="s">
        <v>140</v>
      </c>
      <c r="B55" s="6" t="s">
        <v>141</v>
      </c>
      <c r="C55" s="6" t="n">
        <v>50905</v>
      </c>
      <c r="D55" s="6" t="n">
        <v>0</v>
      </c>
    </row>
    <row r="56" customFormat="false" ht="15" hidden="false" customHeight="true" outlineLevel="0" collapsed="false">
      <c r="A56" s="6" t="s">
        <v>142</v>
      </c>
      <c r="B56" s="6" t="s">
        <v>143</v>
      </c>
      <c r="C56" s="6" t="n">
        <v>31223.28</v>
      </c>
      <c r="D56" s="6" t="n">
        <v>0</v>
      </c>
    </row>
    <row r="57" customFormat="false" ht="15" hidden="false" customHeight="true" outlineLevel="0" collapsed="false">
      <c r="A57" s="6" t="s">
        <v>144</v>
      </c>
      <c r="B57" s="6" t="s">
        <v>145</v>
      </c>
      <c r="C57" s="6" t="n">
        <v>8.04</v>
      </c>
      <c r="D57" s="6" t="n">
        <v>0</v>
      </c>
    </row>
    <row r="58" customFormat="false" ht="15" hidden="false" customHeight="true" outlineLevel="0" collapsed="false">
      <c r="A58" s="6" t="s">
        <v>146</v>
      </c>
      <c r="B58" s="6" t="s">
        <v>147</v>
      </c>
      <c r="C58" s="6" t="n">
        <v>7815.47</v>
      </c>
      <c r="D58" s="6" t="n">
        <v>0</v>
      </c>
    </row>
    <row r="59" customFormat="false" ht="15" hidden="false" customHeight="true" outlineLevel="0" collapsed="false">
      <c r="A59" s="6" t="s">
        <v>148</v>
      </c>
      <c r="B59" s="6" t="s">
        <v>149</v>
      </c>
      <c r="C59" s="6" t="n">
        <v>2040</v>
      </c>
      <c r="D59" s="6" t="n">
        <v>0</v>
      </c>
    </row>
    <row r="60" customFormat="false" ht="15" hidden="false" customHeight="true" outlineLevel="0" collapsed="false">
      <c r="A60" s="6" t="s">
        <v>150</v>
      </c>
      <c r="B60" s="6" t="s">
        <v>151</v>
      </c>
      <c r="C60" s="6" t="n">
        <v>3000</v>
      </c>
      <c r="D60" s="6" t="n">
        <v>0</v>
      </c>
    </row>
    <row r="61" customFormat="false" ht="15" hidden="false" customHeight="true" outlineLevel="0" collapsed="false">
      <c r="A61" s="6" t="s">
        <v>152</v>
      </c>
      <c r="B61" s="6" t="s">
        <v>153</v>
      </c>
      <c r="C61" s="6" t="n">
        <v>0</v>
      </c>
      <c r="D61" s="6" t="n">
        <v>1500</v>
      </c>
    </row>
    <row r="62" customFormat="false" ht="15" hidden="false" customHeight="true" outlineLevel="0" collapsed="false">
      <c r="A62" s="6" t="s">
        <v>154</v>
      </c>
      <c r="B62" s="6" t="s">
        <v>155</v>
      </c>
      <c r="C62" s="6" t="n">
        <v>0</v>
      </c>
      <c r="D62" s="6" t="n">
        <v>263357.67</v>
      </c>
    </row>
    <row r="63" customFormat="false" ht="15" hidden="false" customHeight="true" outlineLevel="0" collapsed="false">
      <c r="A63" s="6" t="s">
        <v>156</v>
      </c>
      <c r="B63" s="6" t="s">
        <v>157</v>
      </c>
      <c r="C63" s="6" t="n">
        <v>0</v>
      </c>
      <c r="D63" s="6" t="n">
        <v>70000</v>
      </c>
    </row>
    <row r="64" customFormat="false" ht="15" hidden="false" customHeight="true" outlineLevel="0" collapsed="false">
      <c r="A64" s="6" t="s">
        <v>158</v>
      </c>
      <c r="B64" s="6" t="s">
        <v>159</v>
      </c>
      <c r="C64" s="6" t="n">
        <v>0</v>
      </c>
      <c r="D64" s="6" t="n">
        <v>3.62</v>
      </c>
    </row>
    <row r="65" customFormat="false" ht="15" hidden="false" customHeight="true" outlineLevel="0" collapsed="false">
      <c r="A65" s="4"/>
      <c r="B65" s="7" t="s">
        <v>160</v>
      </c>
      <c r="C65" s="7" t="n">
        <f aca="false">SUM(C4:C64)</f>
        <v>2214600.03</v>
      </c>
      <c r="D65" s="7" t="n">
        <f aca="false">SUM(D4:D64)</f>
        <v>2214600.03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0"/>
    <col collapsed="false" customWidth="true" hidden="false" outlineLevel="0" max="4" min="3" style="1" width="16"/>
  </cols>
  <sheetData>
    <row r="1" customFormat="false" ht="15.75" hidden="false" customHeight="true" outlineLevel="0" collapsed="false">
      <c r="A1" s="2" t="s">
        <v>161</v>
      </c>
    </row>
    <row r="2" customFormat="false" ht="15" hidden="false" customHeight="true" outlineLevel="0" collapsed="false">
      <c r="A2" s="5" t="s">
        <v>33</v>
      </c>
    </row>
    <row r="3" customFormat="false" ht="15" hidden="false" customHeight="true" outlineLevel="0" collapsed="false">
      <c r="A3" s="3" t="s">
        <v>34</v>
      </c>
      <c r="B3" s="3" t="s">
        <v>35</v>
      </c>
      <c r="C3" s="3" t="s">
        <v>36</v>
      </c>
      <c r="D3" s="3" t="s">
        <v>37</v>
      </c>
    </row>
    <row r="4" customFormat="false" ht="15" hidden="false" customHeight="true" outlineLevel="0" collapsed="false">
      <c r="A4" s="6" t="s">
        <v>38</v>
      </c>
      <c r="B4" s="6" t="s">
        <v>39</v>
      </c>
      <c r="C4" s="6" t="n">
        <v>0</v>
      </c>
      <c r="D4" s="6" t="n">
        <v>200000</v>
      </c>
    </row>
    <row r="5" customFormat="false" ht="15" hidden="false" customHeight="true" outlineLevel="0" collapsed="false">
      <c r="A5" s="6" t="s">
        <v>40</v>
      </c>
      <c r="B5" s="6" t="s">
        <v>41</v>
      </c>
      <c r="C5" s="6" t="n">
        <v>311644.68</v>
      </c>
      <c r="D5" s="6" t="n">
        <v>0</v>
      </c>
    </row>
    <row r="6" customFormat="false" ht="15" hidden="false" customHeight="true" outlineLevel="0" collapsed="false">
      <c r="A6" s="6" t="s">
        <v>42</v>
      </c>
      <c r="B6" s="6" t="s">
        <v>43</v>
      </c>
      <c r="C6" s="6" t="n">
        <v>0</v>
      </c>
      <c r="D6" s="6" t="n">
        <v>0</v>
      </c>
    </row>
    <row r="7" customFormat="false" ht="15" hidden="false" customHeight="true" outlineLevel="0" collapsed="false">
      <c r="A7" s="6" t="s">
        <v>44</v>
      </c>
      <c r="B7" s="6" t="s">
        <v>45</v>
      </c>
      <c r="C7" s="6" t="n">
        <v>4106</v>
      </c>
      <c r="D7" s="6" t="n">
        <v>0</v>
      </c>
    </row>
    <row r="8" customFormat="false" ht="15" hidden="false" customHeight="true" outlineLevel="0" collapsed="false">
      <c r="A8" s="6" t="s">
        <v>46</v>
      </c>
      <c r="B8" s="6" t="s">
        <v>47</v>
      </c>
      <c r="C8" s="6" t="n">
        <v>28250</v>
      </c>
      <c r="D8" s="6" t="n">
        <v>0</v>
      </c>
    </row>
    <row r="9" customFormat="false" ht="15" hidden="false" customHeight="true" outlineLevel="0" collapsed="false">
      <c r="A9" s="6" t="s">
        <v>48</v>
      </c>
      <c r="B9" s="6" t="s">
        <v>49</v>
      </c>
      <c r="C9" s="6" t="n">
        <v>14860</v>
      </c>
      <c r="D9" s="6" t="n">
        <v>0</v>
      </c>
    </row>
    <row r="10" customFormat="false" ht="15" hidden="false" customHeight="true" outlineLevel="0" collapsed="false">
      <c r="A10" s="6" t="s">
        <v>50</v>
      </c>
      <c r="B10" s="6" t="s">
        <v>51</v>
      </c>
      <c r="C10" s="6" t="n">
        <v>235875</v>
      </c>
      <c r="D10" s="6" t="n">
        <v>0</v>
      </c>
    </row>
    <row r="11" customFormat="false" ht="15" hidden="false" customHeight="true" outlineLevel="0" collapsed="false">
      <c r="A11" s="6" t="s">
        <v>52</v>
      </c>
      <c r="B11" s="6" t="s">
        <v>53</v>
      </c>
      <c r="C11" s="6" t="n">
        <v>67024.66</v>
      </c>
      <c r="D11" s="6" t="n">
        <v>0</v>
      </c>
    </row>
    <row r="12" customFormat="false" ht="15" hidden="false" customHeight="true" outlineLevel="0" collapsed="false">
      <c r="A12" s="6" t="s">
        <v>54</v>
      </c>
      <c r="B12" s="6" t="s">
        <v>55</v>
      </c>
      <c r="C12" s="6" t="n">
        <v>8287.35</v>
      </c>
      <c r="D12" s="6" t="n">
        <v>0</v>
      </c>
    </row>
    <row r="13" customFormat="false" ht="15" hidden="false" customHeight="true" outlineLevel="0" collapsed="false">
      <c r="A13" s="6" t="s">
        <v>56</v>
      </c>
      <c r="B13" s="6" t="s">
        <v>57</v>
      </c>
      <c r="C13" s="6" t="n">
        <v>4590</v>
      </c>
      <c r="D13" s="6" t="n">
        <v>0</v>
      </c>
    </row>
    <row r="14" customFormat="false" ht="15" hidden="false" customHeight="true" outlineLevel="0" collapsed="false">
      <c r="A14" s="6" t="s">
        <v>58</v>
      </c>
      <c r="B14" s="6" t="s">
        <v>59</v>
      </c>
      <c r="C14" s="6" t="n">
        <v>0</v>
      </c>
      <c r="D14" s="6" t="n">
        <v>4105.6</v>
      </c>
    </row>
    <row r="15" customFormat="false" ht="15" hidden="false" customHeight="true" outlineLevel="0" collapsed="false">
      <c r="A15" s="6" t="s">
        <v>60</v>
      </c>
      <c r="B15" s="6" t="s">
        <v>61</v>
      </c>
      <c r="C15" s="6" t="n">
        <v>0</v>
      </c>
      <c r="D15" s="6" t="n">
        <v>25895.83</v>
      </c>
    </row>
    <row r="16" customFormat="false" ht="15" hidden="false" customHeight="true" outlineLevel="0" collapsed="false">
      <c r="A16" s="6" t="s">
        <v>62</v>
      </c>
      <c r="B16" s="6" t="s">
        <v>63</v>
      </c>
      <c r="C16" s="6" t="n">
        <v>0</v>
      </c>
      <c r="D16" s="6" t="n">
        <v>2354.17</v>
      </c>
    </row>
    <row r="17" customFormat="false" ht="15" hidden="false" customHeight="true" outlineLevel="0" collapsed="false">
      <c r="A17" s="6" t="s">
        <v>64</v>
      </c>
      <c r="B17" s="6" t="s">
        <v>65</v>
      </c>
      <c r="C17" s="6" t="n">
        <v>0</v>
      </c>
      <c r="D17" s="6" t="n">
        <v>1795.58</v>
      </c>
    </row>
    <row r="18" customFormat="false" ht="15" hidden="false" customHeight="true" outlineLevel="0" collapsed="false">
      <c r="A18" s="6" t="s">
        <v>66</v>
      </c>
      <c r="B18" s="6" t="s">
        <v>67</v>
      </c>
      <c r="C18" s="6" t="n">
        <v>0</v>
      </c>
      <c r="D18" s="6" t="n">
        <v>235873</v>
      </c>
    </row>
    <row r="19" customFormat="false" ht="15" hidden="false" customHeight="true" outlineLevel="0" collapsed="false">
      <c r="A19" s="6" t="s">
        <v>68</v>
      </c>
      <c r="B19" s="6" t="s">
        <v>69</v>
      </c>
      <c r="C19" s="6" t="n">
        <v>0</v>
      </c>
      <c r="D19" s="6" t="n">
        <v>79587.65</v>
      </c>
    </row>
    <row r="20" customFormat="false" ht="15" hidden="false" customHeight="true" outlineLevel="0" collapsed="false">
      <c r="A20" s="6" t="s">
        <v>70</v>
      </c>
      <c r="B20" s="6" t="s">
        <v>71</v>
      </c>
      <c r="C20" s="6" t="n">
        <v>401035.17</v>
      </c>
      <c r="D20" s="6" t="n">
        <v>0</v>
      </c>
    </row>
    <row r="21" customFormat="false" ht="15" hidden="false" customHeight="true" outlineLevel="0" collapsed="false">
      <c r="A21" s="6" t="s">
        <v>72</v>
      </c>
      <c r="B21" s="6" t="s">
        <v>73</v>
      </c>
      <c r="C21" s="6" t="n">
        <v>622316.55</v>
      </c>
      <c r="D21" s="6" t="n">
        <v>0</v>
      </c>
    </row>
    <row r="22" customFormat="false" ht="15" hidden="false" customHeight="true" outlineLevel="0" collapsed="false">
      <c r="A22" s="6" t="s">
        <v>74</v>
      </c>
      <c r="B22" s="6" t="s">
        <v>75</v>
      </c>
      <c r="C22" s="6" t="n">
        <v>5641.2</v>
      </c>
      <c r="D22" s="6" t="n">
        <v>0</v>
      </c>
    </row>
    <row r="23" customFormat="false" ht="15" hidden="false" customHeight="true" outlineLevel="0" collapsed="false">
      <c r="A23" s="6" t="s">
        <v>76</v>
      </c>
      <c r="B23" s="6" t="s">
        <v>77</v>
      </c>
      <c r="C23" s="6" t="n">
        <v>4362.62</v>
      </c>
      <c r="D23" s="6" t="n">
        <v>0</v>
      </c>
    </row>
    <row r="24" customFormat="false" ht="15" hidden="false" customHeight="true" outlineLevel="0" collapsed="false">
      <c r="A24" s="6" t="s">
        <v>78</v>
      </c>
      <c r="B24" s="6" t="s">
        <v>79</v>
      </c>
      <c r="C24" s="6" t="n">
        <v>5733</v>
      </c>
      <c r="D24" s="6" t="n">
        <v>0</v>
      </c>
    </row>
    <row r="25" customFormat="false" ht="15" hidden="false" customHeight="true" outlineLevel="0" collapsed="false">
      <c r="A25" s="6" t="s">
        <v>80</v>
      </c>
      <c r="B25" s="6" t="s">
        <v>81</v>
      </c>
      <c r="C25" s="6" t="n">
        <v>5451.55</v>
      </c>
      <c r="D25" s="6" t="n">
        <v>0</v>
      </c>
    </row>
    <row r="26" customFormat="false" ht="15" hidden="false" customHeight="true" outlineLevel="0" collapsed="false">
      <c r="A26" s="6" t="s">
        <v>82</v>
      </c>
      <c r="B26" s="6" t="s">
        <v>83</v>
      </c>
      <c r="C26" s="6" t="n">
        <v>0</v>
      </c>
      <c r="D26" s="6" t="n">
        <v>921.57</v>
      </c>
    </row>
    <row r="27" customFormat="false" ht="15" hidden="false" customHeight="true" outlineLevel="0" collapsed="false">
      <c r="A27" s="6" t="s">
        <v>84</v>
      </c>
      <c r="B27" s="6" t="s">
        <v>85</v>
      </c>
      <c r="C27" s="6" t="n">
        <v>0</v>
      </c>
      <c r="D27" s="6" t="n">
        <v>3960</v>
      </c>
    </row>
    <row r="28" customFormat="false" ht="15" hidden="false" customHeight="true" outlineLevel="0" collapsed="false">
      <c r="A28" s="6" t="s">
        <v>86</v>
      </c>
      <c r="B28" s="6" t="s">
        <v>87</v>
      </c>
      <c r="C28" s="6" t="n">
        <v>0</v>
      </c>
      <c r="D28" s="6" t="n">
        <v>0</v>
      </c>
    </row>
    <row r="29" customFormat="false" ht="15" hidden="false" customHeight="true" outlineLevel="0" collapsed="false">
      <c r="A29" s="6" t="s">
        <v>88</v>
      </c>
      <c r="B29" s="6" t="s">
        <v>89</v>
      </c>
      <c r="C29" s="6" t="n">
        <v>0</v>
      </c>
      <c r="D29" s="6" t="n">
        <v>1747.38</v>
      </c>
    </row>
    <row r="30" customFormat="false" ht="15" hidden="false" customHeight="true" outlineLevel="0" collapsed="false">
      <c r="A30" s="6" t="s">
        <v>90</v>
      </c>
      <c r="B30" s="6" t="s">
        <v>91</v>
      </c>
      <c r="C30" s="6" t="n">
        <v>0</v>
      </c>
      <c r="D30" s="6" t="n">
        <v>128.52</v>
      </c>
    </row>
    <row r="31" customFormat="false" ht="15" hidden="false" customHeight="true" outlineLevel="0" collapsed="false">
      <c r="A31" s="6" t="s">
        <v>92</v>
      </c>
      <c r="B31" s="6" t="s">
        <v>93</v>
      </c>
      <c r="C31" s="6" t="n">
        <v>0</v>
      </c>
      <c r="D31" s="6" t="n">
        <v>892.28</v>
      </c>
    </row>
    <row r="32" customFormat="false" ht="15" hidden="false" customHeight="true" outlineLevel="0" collapsed="false">
      <c r="A32" s="6" t="s">
        <v>94</v>
      </c>
      <c r="B32" s="6" t="s">
        <v>95</v>
      </c>
      <c r="C32" s="6" t="n">
        <v>0</v>
      </c>
      <c r="D32" s="6" t="n">
        <v>7205.58</v>
      </c>
    </row>
    <row r="33" customFormat="false" ht="15" hidden="false" customHeight="true" outlineLevel="0" collapsed="false">
      <c r="A33" s="6" t="s">
        <v>96</v>
      </c>
      <c r="B33" s="6" t="s">
        <v>97</v>
      </c>
      <c r="C33" s="6" t="n">
        <v>0</v>
      </c>
      <c r="D33" s="6" t="n">
        <v>14850</v>
      </c>
    </row>
    <row r="34" customFormat="false" ht="15" hidden="false" customHeight="true" outlineLevel="0" collapsed="false">
      <c r="A34" s="6" t="s">
        <v>98</v>
      </c>
      <c r="B34" s="6" t="s">
        <v>99</v>
      </c>
      <c r="C34" s="6" t="n">
        <v>0</v>
      </c>
      <c r="D34" s="6" t="n">
        <v>4019.04</v>
      </c>
    </row>
    <row r="35" customFormat="false" ht="15" hidden="false" customHeight="true" outlineLevel="0" collapsed="false">
      <c r="A35" s="6" t="s">
        <v>100</v>
      </c>
      <c r="B35" s="6" t="s">
        <v>101</v>
      </c>
      <c r="C35" s="6" t="n">
        <v>0</v>
      </c>
      <c r="D35" s="6" t="n">
        <v>0</v>
      </c>
    </row>
    <row r="36" customFormat="false" ht="15" hidden="false" customHeight="true" outlineLevel="0" collapsed="false">
      <c r="A36" s="6" t="s">
        <v>102</v>
      </c>
      <c r="B36" s="6" t="s">
        <v>103</v>
      </c>
      <c r="C36" s="6" t="n">
        <v>0</v>
      </c>
      <c r="D36" s="6" t="n">
        <v>7083.72</v>
      </c>
    </row>
    <row r="37" customFormat="false" ht="15" hidden="false" customHeight="true" outlineLevel="0" collapsed="false">
      <c r="A37" s="6" t="s">
        <v>104</v>
      </c>
      <c r="B37" s="6" t="s">
        <v>105</v>
      </c>
      <c r="C37" s="6" t="n">
        <v>0</v>
      </c>
      <c r="D37" s="6" t="n">
        <v>572699.89</v>
      </c>
    </row>
    <row r="38" customFormat="false" ht="15" hidden="false" customHeight="true" outlineLevel="0" collapsed="false">
      <c r="A38" s="6" t="s">
        <v>106</v>
      </c>
      <c r="B38" s="6" t="s">
        <v>107</v>
      </c>
      <c r="C38" s="6" t="n">
        <v>0</v>
      </c>
      <c r="D38" s="6" t="n">
        <v>3116.49</v>
      </c>
    </row>
    <row r="39" customFormat="false" ht="15" hidden="false" customHeight="true" outlineLevel="0" collapsed="false">
      <c r="A39" s="6" t="s">
        <v>108</v>
      </c>
      <c r="B39" s="6" t="s">
        <v>109</v>
      </c>
      <c r="C39" s="6" t="n">
        <v>0</v>
      </c>
      <c r="D39" s="6" t="n">
        <v>4320</v>
      </c>
    </row>
    <row r="40" customFormat="false" ht="15" hidden="false" customHeight="true" outlineLevel="0" collapsed="false">
      <c r="A40" s="6" t="s">
        <v>110</v>
      </c>
      <c r="B40" s="6" t="s">
        <v>111</v>
      </c>
      <c r="C40" s="6" t="n">
        <v>0</v>
      </c>
      <c r="D40" s="6" t="n">
        <v>1473.92</v>
      </c>
    </row>
    <row r="41" customFormat="false" ht="15" hidden="false" customHeight="true" outlineLevel="0" collapsed="false">
      <c r="A41" s="6" t="s">
        <v>112</v>
      </c>
      <c r="B41" s="6" t="s">
        <v>113</v>
      </c>
      <c r="C41" s="6" t="n">
        <v>0</v>
      </c>
      <c r="D41" s="6" t="n">
        <v>2557.8</v>
      </c>
    </row>
    <row r="42" customFormat="false" ht="15" hidden="false" customHeight="true" outlineLevel="0" collapsed="false">
      <c r="A42" s="6" t="s">
        <v>114</v>
      </c>
      <c r="B42" s="6" t="s">
        <v>115</v>
      </c>
      <c r="C42" s="6" t="n">
        <v>0</v>
      </c>
      <c r="D42" s="6" t="n">
        <v>108637.31</v>
      </c>
    </row>
    <row r="43" customFormat="false" ht="15" hidden="false" customHeight="true" outlineLevel="0" collapsed="false">
      <c r="A43" s="6" t="s">
        <v>116</v>
      </c>
      <c r="B43" s="6" t="s">
        <v>117</v>
      </c>
      <c r="C43" s="6" t="n">
        <v>0</v>
      </c>
      <c r="D43" s="6" t="n">
        <v>8278.28</v>
      </c>
    </row>
    <row r="44" customFormat="false" ht="15" hidden="false" customHeight="true" outlineLevel="0" collapsed="false">
      <c r="A44" s="6" t="s">
        <v>118</v>
      </c>
      <c r="B44" s="6" t="s">
        <v>119</v>
      </c>
      <c r="C44" s="6" t="n">
        <v>0</v>
      </c>
      <c r="D44" s="6" t="n">
        <v>430443.23</v>
      </c>
    </row>
    <row r="45" customFormat="false" ht="15" hidden="false" customHeight="true" outlineLevel="0" collapsed="false">
      <c r="A45" s="6" t="s">
        <v>120</v>
      </c>
      <c r="B45" s="6" t="s">
        <v>121</v>
      </c>
      <c r="C45" s="6" t="n">
        <v>5541.54</v>
      </c>
      <c r="D45" s="6" t="n">
        <v>0</v>
      </c>
    </row>
    <row r="46" customFormat="false" ht="15" hidden="false" customHeight="true" outlineLevel="0" collapsed="false">
      <c r="A46" s="6" t="s">
        <v>122</v>
      </c>
      <c r="B46" s="6" t="s">
        <v>123</v>
      </c>
      <c r="C46" s="6" t="n">
        <v>4713.78</v>
      </c>
      <c r="D46" s="6" t="n">
        <v>0</v>
      </c>
    </row>
    <row r="47" customFormat="false" ht="15" hidden="false" customHeight="true" outlineLevel="0" collapsed="false">
      <c r="A47" s="6" t="s">
        <v>124</v>
      </c>
      <c r="B47" s="6" t="s">
        <v>125</v>
      </c>
      <c r="C47" s="6" t="n">
        <v>9300.64</v>
      </c>
      <c r="D47" s="6" t="n">
        <v>0</v>
      </c>
    </row>
    <row r="48" customFormat="false" ht="15" hidden="false" customHeight="true" outlineLevel="0" collapsed="false">
      <c r="A48" s="6" t="s">
        <v>126</v>
      </c>
      <c r="B48" s="6" t="s">
        <v>127</v>
      </c>
      <c r="C48" s="6" t="n">
        <v>47520</v>
      </c>
      <c r="D48" s="6" t="n">
        <v>0</v>
      </c>
    </row>
    <row r="49" customFormat="false" ht="15" hidden="false" customHeight="true" outlineLevel="0" collapsed="false">
      <c r="A49" s="6" t="s">
        <v>128</v>
      </c>
      <c r="B49" s="6" t="s">
        <v>129</v>
      </c>
      <c r="C49" s="6" t="n">
        <v>10961.33</v>
      </c>
      <c r="D49" s="6" t="n">
        <v>0</v>
      </c>
    </row>
    <row r="50" customFormat="false" ht="15" hidden="false" customHeight="true" outlineLevel="0" collapsed="false">
      <c r="A50" s="6" t="s">
        <v>130</v>
      </c>
      <c r="B50" s="6" t="s">
        <v>131</v>
      </c>
      <c r="C50" s="6" t="n">
        <v>854.84</v>
      </c>
      <c r="D50" s="6" t="n">
        <v>0</v>
      </c>
    </row>
    <row r="51" customFormat="false" ht="15" hidden="false" customHeight="true" outlineLevel="0" collapsed="false">
      <c r="A51" s="6" t="s">
        <v>132</v>
      </c>
      <c r="B51" s="6" t="s">
        <v>133</v>
      </c>
      <c r="C51" s="6" t="n">
        <v>4320</v>
      </c>
      <c r="D51" s="6" t="n">
        <v>0</v>
      </c>
    </row>
    <row r="52" customFormat="false" ht="15" hidden="false" customHeight="true" outlineLevel="0" collapsed="false">
      <c r="A52" s="6" t="s">
        <v>134</v>
      </c>
      <c r="B52" s="6" t="s">
        <v>135</v>
      </c>
      <c r="C52" s="6" t="n">
        <v>9</v>
      </c>
      <c r="D52" s="6" t="n">
        <v>0</v>
      </c>
    </row>
    <row r="53" customFormat="false" ht="15" hidden="false" customHeight="true" outlineLevel="0" collapsed="false">
      <c r="A53" s="6" t="s">
        <v>136</v>
      </c>
      <c r="B53" s="6" t="s">
        <v>137</v>
      </c>
      <c r="C53" s="6" t="n">
        <v>0</v>
      </c>
      <c r="D53" s="6" t="n">
        <v>0</v>
      </c>
    </row>
    <row r="54" customFormat="false" ht="15" hidden="false" customHeight="true" outlineLevel="0" collapsed="false">
      <c r="A54" s="6" t="s">
        <v>138</v>
      </c>
      <c r="B54" s="6" t="s">
        <v>139</v>
      </c>
      <c r="C54" s="6" t="n">
        <v>136670.4</v>
      </c>
      <c r="D54" s="6" t="n">
        <v>0</v>
      </c>
    </row>
    <row r="55" customFormat="false" ht="15" hidden="false" customHeight="true" outlineLevel="0" collapsed="false">
      <c r="A55" s="6" t="s">
        <v>140</v>
      </c>
      <c r="B55" s="6" t="s">
        <v>141</v>
      </c>
      <c r="C55" s="6" t="n">
        <v>45814.5</v>
      </c>
      <c r="D55" s="6" t="n">
        <v>0</v>
      </c>
    </row>
    <row r="56" customFormat="false" ht="15" hidden="false" customHeight="true" outlineLevel="0" collapsed="false">
      <c r="A56" s="6" t="s">
        <v>142</v>
      </c>
      <c r="B56" s="6" t="s">
        <v>143</v>
      </c>
      <c r="C56" s="6" t="n">
        <v>28100.95</v>
      </c>
      <c r="D56" s="6" t="n">
        <v>0</v>
      </c>
    </row>
    <row r="57" customFormat="false" ht="15" hidden="false" customHeight="true" outlineLevel="0" collapsed="false">
      <c r="A57" s="6" t="s">
        <v>144</v>
      </c>
      <c r="B57" s="6" t="s">
        <v>145</v>
      </c>
      <c r="C57" s="6" t="n">
        <v>7.24</v>
      </c>
      <c r="D57" s="6" t="n">
        <v>0</v>
      </c>
    </row>
    <row r="58" customFormat="false" ht="15" hidden="false" customHeight="true" outlineLevel="0" collapsed="false">
      <c r="A58" s="6" t="s">
        <v>146</v>
      </c>
      <c r="B58" s="6" t="s">
        <v>147</v>
      </c>
      <c r="C58" s="6" t="n">
        <v>6800</v>
      </c>
      <c r="D58" s="6" t="n">
        <v>0</v>
      </c>
    </row>
    <row r="59" customFormat="false" ht="15" hidden="false" customHeight="true" outlineLevel="0" collapsed="false">
      <c r="A59" s="6" t="s">
        <v>148</v>
      </c>
      <c r="B59" s="6" t="s">
        <v>149</v>
      </c>
      <c r="C59" s="6" t="n">
        <v>1100</v>
      </c>
      <c r="D59" s="6" t="n">
        <v>0</v>
      </c>
    </row>
    <row r="60" customFormat="false" ht="15" hidden="false" customHeight="true" outlineLevel="0" collapsed="false">
      <c r="A60" s="6" t="s">
        <v>150</v>
      </c>
      <c r="B60" s="6" t="s">
        <v>151</v>
      </c>
      <c r="C60" s="6" t="n">
        <v>2430</v>
      </c>
      <c r="D60" s="6" t="n">
        <v>0</v>
      </c>
    </row>
    <row r="61" customFormat="false" ht="15" hidden="false" customHeight="true" outlineLevel="0" collapsed="false">
      <c r="A61" s="6" t="s">
        <v>152</v>
      </c>
      <c r="B61" s="6" t="s">
        <v>153</v>
      </c>
      <c r="C61" s="6" t="n">
        <v>0</v>
      </c>
      <c r="D61" s="6" t="n">
        <v>1350</v>
      </c>
    </row>
    <row r="62" customFormat="false" ht="15" hidden="false" customHeight="true" outlineLevel="0" collapsed="false">
      <c r="A62" s="6" t="s">
        <v>154</v>
      </c>
      <c r="B62" s="6" t="s">
        <v>155</v>
      </c>
      <c r="C62" s="6" t="n">
        <v>0</v>
      </c>
      <c r="D62" s="6" t="n">
        <v>237021.9</v>
      </c>
    </row>
    <row r="63" customFormat="false" ht="15" hidden="false" customHeight="true" outlineLevel="0" collapsed="false">
      <c r="A63" s="6" t="s">
        <v>156</v>
      </c>
      <c r="B63" s="6" t="s">
        <v>157</v>
      </c>
      <c r="C63" s="6" t="n">
        <v>0</v>
      </c>
      <c r="D63" s="6" t="n">
        <v>63000</v>
      </c>
    </row>
    <row r="64" customFormat="false" ht="15" hidden="false" customHeight="true" outlineLevel="0" collapsed="false">
      <c r="A64" s="6" t="s">
        <v>158</v>
      </c>
      <c r="B64" s="6" t="s">
        <v>159</v>
      </c>
      <c r="C64" s="6" t="n">
        <v>0</v>
      </c>
      <c r="D64" s="6" t="n">
        <v>3.26</v>
      </c>
    </row>
    <row r="65" customFormat="false" ht="15" hidden="false" customHeight="true" outlineLevel="0" collapsed="false">
      <c r="A65" s="4"/>
      <c r="B65" s="7" t="s">
        <v>160</v>
      </c>
      <c r="C65" s="7" t="n">
        <f aca="false">SUM(C4:C64)</f>
        <v>2023322</v>
      </c>
      <c r="D65" s="7" t="n">
        <f aca="false">SUM(D4:D64)</f>
        <v>2023322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65"/>
    <col collapsed="false" customWidth="true" hidden="false" outlineLevel="0" max="3" min="3" style="1" width="12"/>
  </cols>
  <sheetData>
    <row r="1" customFormat="false" ht="15.75" hidden="false" customHeight="true" outlineLevel="0" collapsed="false">
      <c r="A1" s="2" t="s">
        <v>162</v>
      </c>
    </row>
    <row r="2" customFormat="false" ht="15" hidden="false" customHeight="true" outlineLevel="0" collapsed="false">
      <c r="A2" s="5" t="s">
        <v>163</v>
      </c>
    </row>
    <row r="3" customFormat="false" ht="15" hidden="false" customHeight="true" outlineLevel="0" collapsed="false">
      <c r="A3" s="3" t="s">
        <v>164</v>
      </c>
      <c r="B3" s="3" t="s">
        <v>165</v>
      </c>
      <c r="C3" s="3" t="s">
        <v>166</v>
      </c>
    </row>
    <row r="4" customFormat="false" ht="15" hidden="false" customHeight="true" outlineLevel="0" collapsed="false">
      <c r="A4" s="8" t="s">
        <v>167</v>
      </c>
      <c r="B4" s="9"/>
      <c r="C4" s="9"/>
    </row>
    <row r="5" customFormat="false" ht="15" hidden="false" customHeight="true" outlineLevel="0" collapsed="false">
      <c r="A5" s="4" t="s">
        <v>168</v>
      </c>
      <c r="B5" s="6" t="s">
        <v>169</v>
      </c>
      <c r="C5" s="4" t="s">
        <v>170</v>
      </c>
    </row>
    <row r="6" customFormat="false" ht="15" hidden="false" customHeight="true" outlineLevel="0" collapsed="false">
      <c r="A6" s="4" t="s">
        <v>171</v>
      </c>
      <c r="B6" s="6" t="s">
        <v>172</v>
      </c>
      <c r="C6" s="4" t="s">
        <v>170</v>
      </c>
    </row>
    <row r="7" customFormat="false" ht="15" hidden="false" customHeight="true" outlineLevel="0" collapsed="false">
      <c r="A7" s="4" t="s">
        <v>173</v>
      </c>
      <c r="B7" s="6" t="s">
        <v>174</v>
      </c>
      <c r="C7" s="4" t="s">
        <v>170</v>
      </c>
    </row>
    <row r="8" customFormat="false" ht="15" hidden="false" customHeight="true" outlineLevel="0" collapsed="false">
      <c r="A8" s="4" t="s">
        <v>175</v>
      </c>
      <c r="B8" s="6" t="s">
        <v>176</v>
      </c>
      <c r="C8" s="4" t="s">
        <v>170</v>
      </c>
    </row>
    <row r="9" customFormat="false" ht="15" hidden="false" customHeight="true" outlineLevel="0" collapsed="false">
      <c r="A9" s="4" t="s">
        <v>177</v>
      </c>
      <c r="B9" s="6" t="s">
        <v>178</v>
      </c>
      <c r="C9" s="4" t="s">
        <v>170</v>
      </c>
    </row>
    <row r="10" customFormat="false" ht="15" hidden="false" customHeight="true" outlineLevel="0" collapsed="false">
      <c r="A10" s="4" t="s">
        <v>179</v>
      </c>
      <c r="B10" s="6" t="s">
        <v>180</v>
      </c>
      <c r="C10" s="4" t="s">
        <v>170</v>
      </c>
    </row>
    <row r="11" customFormat="false" ht="15" hidden="false" customHeight="true" outlineLevel="0" collapsed="false">
      <c r="A11" s="4" t="s">
        <v>181</v>
      </c>
      <c r="B11" s="6" t="s">
        <v>182</v>
      </c>
      <c r="C11" s="4" t="s">
        <v>170</v>
      </c>
    </row>
    <row r="12" customFormat="false" ht="15" hidden="false" customHeight="true" outlineLevel="0" collapsed="false">
      <c r="A12" s="4" t="s">
        <v>183</v>
      </c>
      <c r="B12" s="6" t="s">
        <v>184</v>
      </c>
      <c r="C12" s="4" t="s">
        <v>170</v>
      </c>
    </row>
    <row r="13" customFormat="false" ht="15" hidden="false" customHeight="true" outlineLevel="0" collapsed="false">
      <c r="A13" s="4" t="s">
        <v>185</v>
      </c>
      <c r="B13" s="6" t="s">
        <v>186</v>
      </c>
      <c r="C13" s="4" t="s">
        <v>170</v>
      </c>
    </row>
    <row r="14" customFormat="false" ht="15" hidden="false" customHeight="true" outlineLevel="0" collapsed="false">
      <c r="A14" s="8" t="s">
        <v>187</v>
      </c>
      <c r="B14" s="9"/>
      <c r="C14" s="9"/>
    </row>
    <row r="15" customFormat="false" ht="15" hidden="false" customHeight="true" outlineLevel="0" collapsed="false">
      <c r="A15" s="4" t="s">
        <v>188</v>
      </c>
      <c r="B15" s="6" t="s">
        <v>189</v>
      </c>
      <c r="C15" s="4" t="s">
        <v>170</v>
      </c>
    </row>
    <row r="16" customFormat="false" ht="15" hidden="false" customHeight="true" outlineLevel="0" collapsed="false">
      <c r="A16" s="4" t="s">
        <v>190</v>
      </c>
      <c r="B16" s="6" t="s">
        <v>191</v>
      </c>
      <c r="C16" s="4" t="s">
        <v>170</v>
      </c>
    </row>
    <row r="17" customFormat="false" ht="15" hidden="false" customHeight="true" outlineLevel="0" collapsed="false">
      <c r="A17" s="4" t="s">
        <v>192</v>
      </c>
      <c r="B17" s="6" t="s">
        <v>193</v>
      </c>
      <c r="C17" s="4" t="s">
        <v>170</v>
      </c>
    </row>
    <row r="18" customFormat="false" ht="15" hidden="false" customHeight="true" outlineLevel="0" collapsed="false">
      <c r="A18" s="4" t="s">
        <v>194</v>
      </c>
      <c r="B18" s="6" t="s">
        <v>195</v>
      </c>
      <c r="C18" s="4" t="s">
        <v>170</v>
      </c>
    </row>
    <row r="19" customFormat="false" ht="15" hidden="false" customHeight="true" outlineLevel="0" collapsed="false">
      <c r="A19" s="4" t="s">
        <v>196</v>
      </c>
      <c r="B19" s="10" t="s">
        <v>197</v>
      </c>
      <c r="C19" s="4" t="s">
        <v>170</v>
      </c>
    </row>
    <row r="20" customFormat="false" ht="15" hidden="false" customHeight="true" outlineLevel="0" collapsed="false">
      <c r="A20" s="8" t="s">
        <v>198</v>
      </c>
      <c r="B20" s="9"/>
      <c r="C20" s="9"/>
    </row>
    <row r="21" customFormat="false" ht="15" hidden="false" customHeight="true" outlineLevel="0" collapsed="false">
      <c r="A21" s="4" t="s">
        <v>199</v>
      </c>
      <c r="B21" s="6" t="s">
        <v>200</v>
      </c>
      <c r="C21" s="4" t="s">
        <v>20</v>
      </c>
    </row>
    <row r="22" customFormat="false" ht="15" hidden="false" customHeight="true" outlineLevel="0" collapsed="false">
      <c r="A22" s="4" t="s">
        <v>201</v>
      </c>
      <c r="B22" s="10" t="s">
        <v>202</v>
      </c>
      <c r="C22" s="4" t="s">
        <v>203</v>
      </c>
    </row>
    <row r="23" customFormat="false" ht="15" hidden="false" customHeight="true" outlineLevel="0" collapsed="false">
      <c r="A23" s="4" t="s">
        <v>204</v>
      </c>
      <c r="B23" s="6" t="s">
        <v>205</v>
      </c>
      <c r="C23" s="4" t="s">
        <v>170</v>
      </c>
    </row>
    <row r="24" customFormat="false" ht="15" hidden="false" customHeight="true" outlineLevel="0" collapsed="false">
      <c r="A24" s="8" t="s">
        <v>206</v>
      </c>
      <c r="B24" s="9"/>
      <c r="C24" s="9"/>
    </row>
    <row r="25" customFormat="false" ht="15" hidden="false" customHeight="true" outlineLevel="0" collapsed="false">
      <c r="A25" s="4" t="s">
        <v>207</v>
      </c>
      <c r="B25" s="6" t="n">
        <v>200000</v>
      </c>
      <c r="C25" s="4" t="s">
        <v>208</v>
      </c>
    </row>
    <row r="26" customFormat="false" ht="15" hidden="false" customHeight="true" outlineLevel="0" collapsed="false">
      <c r="A26" s="4" t="s">
        <v>209</v>
      </c>
      <c r="B26" s="6" t="n">
        <v>2000</v>
      </c>
      <c r="C26" s="4" t="s">
        <v>208</v>
      </c>
    </row>
    <row r="27" customFormat="false" ht="15" hidden="false" customHeight="true" outlineLevel="0" collapsed="false">
      <c r="A27" s="4" t="s">
        <v>210</v>
      </c>
      <c r="B27" s="6" t="n">
        <v>100</v>
      </c>
      <c r="C27" s="4" t="s">
        <v>208</v>
      </c>
    </row>
    <row r="28" customFormat="false" ht="15" hidden="false" customHeight="true" outlineLevel="0" collapsed="false">
      <c r="A28" s="8" t="s">
        <v>211</v>
      </c>
      <c r="B28" s="9"/>
      <c r="C28" s="9"/>
    </row>
    <row r="29" customFormat="false" ht="15" hidden="false" customHeight="true" outlineLevel="0" collapsed="false">
      <c r="A29" s="4" t="s">
        <v>212</v>
      </c>
      <c r="B29" s="6" t="s">
        <v>213</v>
      </c>
      <c r="C29" s="4" t="s">
        <v>208</v>
      </c>
    </row>
    <row r="30" customFormat="false" ht="15" hidden="false" customHeight="true" outlineLevel="0" collapsed="false">
      <c r="A30" s="4" t="s">
        <v>214</v>
      </c>
      <c r="B30" s="10" t="s">
        <v>215</v>
      </c>
      <c r="C30" s="4" t="s">
        <v>208</v>
      </c>
    </row>
    <row r="31" customFormat="false" ht="15" hidden="false" customHeight="true" outlineLevel="0" collapsed="false">
      <c r="A31" s="4" t="s">
        <v>216</v>
      </c>
      <c r="B31" s="10" t="s">
        <v>217</v>
      </c>
      <c r="C31" s="4" t="s">
        <v>208</v>
      </c>
    </row>
    <row r="32" customFormat="false" ht="15" hidden="false" customHeight="true" outlineLevel="0" collapsed="false">
      <c r="A32" s="4" t="s">
        <v>218</v>
      </c>
      <c r="B32" s="6" t="s">
        <v>219</v>
      </c>
      <c r="C32" s="4" t="s">
        <v>208</v>
      </c>
    </row>
    <row r="33" customFormat="false" ht="15" hidden="false" customHeight="true" outlineLevel="0" collapsed="false">
      <c r="A33" s="4" t="s">
        <v>220</v>
      </c>
      <c r="B33" s="6" t="s">
        <v>221</v>
      </c>
      <c r="C33" s="4" t="s">
        <v>208</v>
      </c>
    </row>
    <row r="34" customFormat="false" ht="15" hidden="false" customHeight="true" outlineLevel="0" collapsed="false">
      <c r="A34" s="4" t="s">
        <v>222</v>
      </c>
      <c r="B34" s="6" t="n">
        <v>200000</v>
      </c>
      <c r="C34" s="4" t="s">
        <v>208</v>
      </c>
    </row>
    <row r="35" customFormat="false" ht="15" hidden="false" customHeight="true" outlineLevel="0" collapsed="false">
      <c r="A35" s="4" t="s">
        <v>223</v>
      </c>
      <c r="B35" s="10" t="s">
        <v>224</v>
      </c>
      <c r="C35" s="4" t="s">
        <v>208</v>
      </c>
    </row>
    <row r="37" customFormat="false" ht="15" hidden="false" customHeight="true" outlineLevel="0" collapsed="false">
      <c r="A37" s="11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9" min="7" style="1" width="14"/>
  </cols>
  <sheetData>
    <row r="1" customFormat="false" ht="15.75" hidden="false" customHeight="true" outlineLevel="0" collapsed="false">
      <c r="A1" s="2" t="s">
        <v>226</v>
      </c>
    </row>
    <row r="2" customFormat="false" ht="15" hidden="false" customHeight="true" outlineLevel="0" collapsed="false">
      <c r="A2" s="5" t="s">
        <v>227</v>
      </c>
    </row>
    <row r="4" customFormat="false" ht="27.75" hidden="false" customHeight="true" outlineLevel="0" collapsed="false">
      <c r="A4" s="3" t="s">
        <v>228</v>
      </c>
      <c r="B4" s="3" t="s">
        <v>229</v>
      </c>
      <c r="C4" s="3" t="s">
        <v>230</v>
      </c>
      <c r="D4" s="3" t="s">
        <v>231</v>
      </c>
      <c r="E4" s="3" t="s">
        <v>232</v>
      </c>
      <c r="F4" s="3" t="s">
        <v>233</v>
      </c>
      <c r="G4" s="3" t="s">
        <v>234</v>
      </c>
      <c r="H4" s="3" t="s">
        <v>235</v>
      </c>
      <c r="I4" s="3" t="s">
        <v>236</v>
      </c>
    </row>
    <row r="5" customFormat="false" ht="15" hidden="false" customHeight="true" outlineLevel="0" collapsed="false">
      <c r="A5" s="6" t="s">
        <v>237</v>
      </c>
      <c r="B5" s="10" t="s">
        <v>238</v>
      </c>
      <c r="C5" s="10" t="s">
        <v>239</v>
      </c>
      <c r="D5" s="6" t="n">
        <v>4106</v>
      </c>
      <c r="E5" s="10" t="n">
        <v>0.2</v>
      </c>
      <c r="F5" s="10" t="n">
        <v>5</v>
      </c>
      <c r="G5" s="6" t="n">
        <v>4105.6</v>
      </c>
      <c r="H5" s="6" t="n">
        <v>0</v>
      </c>
      <c r="I5" s="4" t="n">
        <f aca="false">IF(ISNUMBER(G5),IF(ISNUMBER(H5),G5+H5,"(groupé)"),"(groupé)")</f>
        <v>4105.6</v>
      </c>
    </row>
    <row r="6" customFormat="false" ht="15" hidden="false" customHeight="true" outlineLevel="0" collapsed="false">
      <c r="A6" s="6" t="s">
        <v>240</v>
      </c>
      <c r="B6" s="10" t="s">
        <v>241</v>
      </c>
      <c r="C6" s="10" t="s">
        <v>239</v>
      </c>
      <c r="D6" s="6" t="n">
        <v>28250</v>
      </c>
      <c r="E6" s="10" t="n">
        <v>0.2</v>
      </c>
      <c r="F6" s="10" t="n">
        <v>5</v>
      </c>
      <c r="G6" s="6" t="n">
        <v>25895.83</v>
      </c>
      <c r="H6" s="6" t="n">
        <v>0</v>
      </c>
      <c r="I6" s="4" t="n">
        <f aca="false">IF(ISNUMBER(G6),IF(ISNUMBER(H6),G6+H6,"(groupé)"),"(groupé)")</f>
        <v>25895.83</v>
      </c>
    </row>
    <row r="7" customFormat="false" ht="15" hidden="false" customHeight="true" outlineLevel="0" collapsed="false">
      <c r="A7" s="6" t="s">
        <v>242</v>
      </c>
      <c r="B7" s="10" t="s">
        <v>243</v>
      </c>
      <c r="C7" s="10" t="s">
        <v>244</v>
      </c>
      <c r="D7" s="6" t="n">
        <v>14860</v>
      </c>
      <c r="E7" s="10" t="n">
        <v>0.1</v>
      </c>
      <c r="F7" s="10" t="n">
        <v>10</v>
      </c>
      <c r="G7" s="6" t="n">
        <v>1795.58</v>
      </c>
      <c r="H7" s="6" t="n">
        <v>0</v>
      </c>
      <c r="I7" s="4" t="n">
        <f aca="false">IF(ISNUMBER(G7),IF(ISNUMBER(H7),G7+H7,"(groupé)"),"(groupé)")</f>
        <v>1795.58</v>
      </c>
    </row>
    <row r="8" customFormat="false" ht="15" hidden="false" customHeight="true" outlineLevel="0" collapsed="false">
      <c r="A8" s="6" t="s">
        <v>245</v>
      </c>
      <c r="B8" s="10" t="s">
        <v>246</v>
      </c>
      <c r="C8" s="10" t="s">
        <v>239</v>
      </c>
      <c r="D8" s="6" t="n">
        <v>235875</v>
      </c>
      <c r="E8" s="10" t="n">
        <v>0.2</v>
      </c>
      <c r="F8" s="10" t="n">
        <v>5</v>
      </c>
      <c r="G8" s="6" t="n">
        <v>235873</v>
      </c>
      <c r="H8" s="6" t="n">
        <v>0</v>
      </c>
      <c r="I8" s="4" t="n">
        <f aca="false">IF(ISNUMBER(G8),IF(ISNUMBER(H8),G8+H8,"(groupé)"),"(groupé)")</f>
        <v>235873</v>
      </c>
    </row>
    <row r="9" customFormat="false" ht="15" hidden="false" customHeight="true" outlineLevel="0" collapsed="false">
      <c r="A9" s="6" t="s">
        <v>247</v>
      </c>
      <c r="B9" s="10" t="s">
        <v>248</v>
      </c>
      <c r="C9" s="10" t="s">
        <v>249</v>
      </c>
      <c r="D9" s="6" t="n">
        <v>67024.66</v>
      </c>
      <c r="E9" s="10" t="n">
        <v>0.1</v>
      </c>
      <c r="F9" s="10" t="n">
        <v>10</v>
      </c>
      <c r="G9" s="6" t="n">
        <v>20107.4</v>
      </c>
      <c r="H9" s="6" t="n">
        <v>5621.13</v>
      </c>
      <c r="I9" s="4" t="n">
        <f aca="false">IF(ISNUMBER(G9),IF(ISNUMBER(H9),G9+H9,"(groupé)"),"(groupé)")</f>
        <v>25728.53</v>
      </c>
    </row>
    <row r="10" customFormat="false" ht="15" hidden="false" customHeight="true" outlineLevel="0" collapsed="false">
      <c r="A10" s="6" t="s">
        <v>250</v>
      </c>
      <c r="B10" s="10" t="s">
        <v>251</v>
      </c>
      <c r="C10" s="10" t="s">
        <v>252</v>
      </c>
      <c r="D10" s="6" t="n">
        <v>8287.35</v>
      </c>
      <c r="E10" s="10" t="n">
        <v>0.2</v>
      </c>
      <c r="F10" s="10" t="n">
        <v>5</v>
      </c>
      <c r="G10" s="6" t="n">
        <v>828.74</v>
      </c>
      <c r="H10" s="6" t="n">
        <v>1390.06</v>
      </c>
      <c r="I10" s="4" t="n">
        <f aca="false">IF(ISNUMBER(G10),IF(ISNUMBER(H10),G10+H10,"(groupé)"),"(groupé)")</f>
        <v>2218.8</v>
      </c>
    </row>
    <row r="11" customFormat="false" ht="15" hidden="false" customHeight="true" outlineLevel="0" collapsed="false">
      <c r="A11" s="6" t="s">
        <v>253</v>
      </c>
      <c r="B11" s="10" t="s">
        <v>254</v>
      </c>
      <c r="C11" s="10" t="s">
        <v>255</v>
      </c>
      <c r="D11" s="6" t="n">
        <v>5000</v>
      </c>
      <c r="E11" s="10" t="n">
        <v>0.2</v>
      </c>
      <c r="F11" s="10" t="n">
        <v>5</v>
      </c>
      <c r="G11" s="6" t="n">
        <v>0</v>
      </c>
      <c r="H11" s="6" t="n">
        <v>419.33</v>
      </c>
      <c r="I11" s="4" t="n">
        <f aca="false">IF(ISNUMBER(G11),IF(ISNUMBER(H11),G11+H11,"(groupé)"),"(groupé)")</f>
        <v>419.33</v>
      </c>
    </row>
    <row r="12" customFormat="false" ht="15" hidden="false" customHeight="true" outlineLevel="0" collapsed="false">
      <c r="A12" s="6" t="s">
        <v>256</v>
      </c>
      <c r="B12" s="10" t="s">
        <v>257</v>
      </c>
      <c r="C12" s="10" t="s">
        <v>258</v>
      </c>
      <c r="D12" s="6" t="n">
        <v>4590</v>
      </c>
      <c r="E12" s="10" t="n">
        <v>0.1</v>
      </c>
      <c r="F12" s="10" t="n">
        <v>10</v>
      </c>
      <c r="G12" s="6" t="n">
        <v>1836</v>
      </c>
      <c r="H12" s="6" t="n">
        <v>384.95</v>
      </c>
      <c r="I12" s="4" t="n">
        <f aca="false">IF(ISNUMBER(G12),IF(ISNUMBER(H12),G12+H12,"(groupé)"),"(groupé)")</f>
        <v>2220.95</v>
      </c>
    </row>
    <row r="14" customFormat="false" ht="15" hidden="false" customHeight="true" outlineLevel="0" collapsed="false">
      <c r="A14" s="12" t="s">
        <v>259</v>
      </c>
    </row>
    <row r="15" customFormat="false" ht="15" hidden="false" customHeight="true" outlineLevel="0" collapsed="false">
      <c r="A15" s="13" t="s">
        <v>260</v>
      </c>
    </row>
    <row r="16" customFormat="false" ht="15" hidden="false" customHeight="true" outlineLevel="0" collapsed="false">
      <c r="A16" s="13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5" min="5" style="1" width="55"/>
  </cols>
  <sheetData>
    <row r="1" customFormat="false" ht="15.75" hidden="false" customHeight="true" outlineLevel="0" collapsed="false">
      <c r="A1" s="2" t="s">
        <v>262</v>
      </c>
    </row>
    <row r="2" customFormat="false" ht="15" hidden="false" customHeight="true" outlineLevel="0" collapsed="false">
      <c r="A2" s="5" t="s">
        <v>263</v>
      </c>
    </row>
    <row r="4" customFormat="false" ht="15" hidden="false" customHeight="true" outlineLevel="0" collapsed="false">
      <c r="A4" s="3" t="s">
        <v>264</v>
      </c>
      <c r="B4" s="3" t="s">
        <v>265</v>
      </c>
      <c r="C4" s="3" t="s">
        <v>266</v>
      </c>
      <c r="D4" s="3" t="s">
        <v>267</v>
      </c>
      <c r="E4" s="3" t="s">
        <v>268</v>
      </c>
    </row>
    <row r="5" customFormat="false" ht="15" hidden="false" customHeight="true" outlineLevel="0" collapsed="false">
      <c r="A5" s="8" t="s">
        <v>269</v>
      </c>
      <c r="B5" s="9"/>
      <c r="C5" s="9"/>
      <c r="D5" s="9"/>
      <c r="E5" s="9"/>
    </row>
    <row r="6" customFormat="false" ht="15" hidden="false" customHeight="true" outlineLevel="0" collapsed="false">
      <c r="A6" s="1" t="s">
        <v>270</v>
      </c>
      <c r="B6" s="1" t="s">
        <v>271</v>
      </c>
      <c r="C6" s="1" t="s">
        <v>272</v>
      </c>
      <c r="D6" s="14" t="n">
        <v>-2665.62</v>
      </c>
      <c r="E6" s="1" t="s">
        <v>273</v>
      </c>
    </row>
    <row r="7" customFormat="false" ht="15" hidden="false" customHeight="true" outlineLevel="0" collapsed="false">
      <c r="A7" s="8" t="s">
        <v>274</v>
      </c>
      <c r="B7" s="9"/>
      <c r="C7" s="9"/>
      <c r="D7" s="9"/>
      <c r="E7" s="9"/>
    </row>
    <row r="8" customFormat="false" ht="15" hidden="false" customHeight="true" outlineLevel="0" collapsed="false">
      <c r="A8" s="4" t="s">
        <v>149</v>
      </c>
      <c r="B8" s="4" t="s">
        <v>275</v>
      </c>
      <c r="C8" s="4" t="s">
        <v>276</v>
      </c>
      <c r="D8" s="6" t="n">
        <v>2040</v>
      </c>
      <c r="E8" s="4" t="s">
        <v>148</v>
      </c>
    </row>
    <row r="9" customFormat="false" ht="15" hidden="false" customHeight="true" outlineLevel="0" collapsed="false">
      <c r="A9" s="4" t="s">
        <v>277</v>
      </c>
      <c r="B9" s="4" t="s">
        <v>275</v>
      </c>
      <c r="C9" s="4" t="s">
        <v>276</v>
      </c>
      <c r="D9" s="6" t="n">
        <v>3000</v>
      </c>
      <c r="E9" s="4" t="s">
        <v>150</v>
      </c>
    </row>
    <row r="10" customFormat="false" ht="15" hidden="false" customHeight="true" outlineLevel="0" collapsed="false">
      <c r="A10" s="4" t="s">
        <v>278</v>
      </c>
      <c r="B10" s="4" t="s">
        <v>279</v>
      </c>
      <c r="C10" s="4" t="s">
        <v>280</v>
      </c>
      <c r="D10" s="15" t="n">
        <v>0</v>
      </c>
      <c r="E10" s="4" t="s">
        <v>281</v>
      </c>
    </row>
    <row r="11" customFormat="false" ht="15" hidden="false" customHeight="true" outlineLevel="0" collapsed="false">
      <c r="A11" s="4" t="s">
        <v>282</v>
      </c>
      <c r="B11" s="4" t="s">
        <v>283</v>
      </c>
      <c r="C11" s="4" t="s">
        <v>284</v>
      </c>
      <c r="D11" s="16"/>
      <c r="E11" s="4" t="s">
        <v>285</v>
      </c>
    </row>
    <row r="12" customFormat="false" ht="15" hidden="false" customHeight="true" outlineLevel="0" collapsed="false">
      <c r="A12" s="4" t="s">
        <v>286</v>
      </c>
      <c r="B12" s="4" t="s">
        <v>279</v>
      </c>
      <c r="C12" s="4" t="s">
        <v>284</v>
      </c>
      <c r="D12" s="15" t="n">
        <v>0</v>
      </c>
      <c r="E12" s="4" t="s">
        <v>287</v>
      </c>
    </row>
    <row r="13" customFormat="false" ht="15" hidden="false" customHeight="true" outlineLevel="0" collapsed="false">
      <c r="A13" s="4" t="s">
        <v>288</v>
      </c>
      <c r="B13" s="4" t="s">
        <v>279</v>
      </c>
      <c r="C13" s="4" t="s">
        <v>284</v>
      </c>
      <c r="D13" s="15" t="n">
        <v>0</v>
      </c>
      <c r="E13" s="4" t="s">
        <v>289</v>
      </c>
    </row>
    <row r="14" customFormat="false" ht="15" hidden="false" customHeight="true" outlineLevel="0" collapsed="false">
      <c r="A14" s="4" t="s">
        <v>290</v>
      </c>
      <c r="B14" s="4" t="s">
        <v>283</v>
      </c>
      <c r="C14" s="4" t="s">
        <v>276</v>
      </c>
      <c r="D14" s="16"/>
      <c r="E14" s="4" t="s">
        <v>291</v>
      </c>
    </row>
    <row r="15" customFormat="false" ht="15" hidden="false" customHeight="true" outlineLevel="0" collapsed="false">
      <c r="A15" s="17" t="s">
        <v>292</v>
      </c>
      <c r="D15" s="17" t="n">
        <f aca="false">SUMIF(B8:B14,"OUI",D8:D14)</f>
        <v>5040</v>
      </c>
    </row>
    <row r="17" customFormat="false" ht="15" hidden="false" customHeight="true" outlineLevel="0" collapsed="false">
      <c r="A17" s="8" t="s">
        <v>293</v>
      </c>
      <c r="B17" s="9"/>
      <c r="C17" s="9"/>
      <c r="D17" s="9"/>
      <c r="E17" s="9"/>
    </row>
    <row r="18" customFormat="false" ht="15" hidden="false" customHeight="true" outlineLevel="0" collapsed="false">
      <c r="A18" s="4" t="s">
        <v>294</v>
      </c>
      <c r="B18" s="4" t="s">
        <v>279</v>
      </c>
      <c r="C18" s="4" t="s">
        <v>295</v>
      </c>
      <c r="D18" s="15" t="n">
        <v>0</v>
      </c>
      <c r="E18" s="4" t="s">
        <v>296</v>
      </c>
    </row>
    <row r="19" customFormat="false" ht="15" hidden="false" customHeight="true" outlineLevel="0" collapsed="false">
      <c r="A19" s="4" t="s">
        <v>297</v>
      </c>
      <c r="B19" s="4" t="s">
        <v>279</v>
      </c>
      <c r="C19" s="4" t="s">
        <v>298</v>
      </c>
      <c r="D19" s="15" t="n">
        <v>0</v>
      </c>
      <c r="E19" s="4" t="s">
        <v>299</v>
      </c>
    </row>
    <row r="20" customFormat="false" ht="15" hidden="false" customHeight="true" outlineLevel="0" collapsed="false">
      <c r="A20" s="17" t="s">
        <v>300</v>
      </c>
      <c r="D20" s="17" t="n">
        <f aca="false">SUMIF(B18:B19,"OUI",D18:D19)</f>
        <v>0</v>
      </c>
    </row>
    <row r="22" customFormat="false" ht="15" hidden="false" customHeight="true" outlineLevel="0" collapsed="false">
      <c r="A22" s="8" t="s">
        <v>301</v>
      </c>
      <c r="B22" s="9"/>
      <c r="C22" s="9"/>
      <c r="D22" s="9"/>
      <c r="E22" s="9"/>
    </row>
    <row r="23" customFormat="false" ht="15" hidden="false" customHeight="true" outlineLevel="0" collapsed="false">
      <c r="A23" s="4" t="s">
        <v>302</v>
      </c>
      <c r="B23" s="4" t="s">
        <v>283</v>
      </c>
      <c r="C23" s="4" t="s">
        <v>303</v>
      </c>
      <c r="D23" s="16"/>
      <c r="E23" s="4" t="s">
        <v>304</v>
      </c>
    </row>
    <row r="25" customFormat="false" ht="15" hidden="false" customHeight="true" outlineLevel="0" collapsed="false">
      <c r="A25" s="8" t="s">
        <v>305</v>
      </c>
      <c r="B25" s="9"/>
      <c r="C25" s="9"/>
      <c r="D25" s="9"/>
      <c r="E25" s="9"/>
    </row>
    <row r="26" customFormat="false" ht="15" hidden="false" customHeight="true" outlineLevel="0" collapsed="false">
      <c r="A26" s="17" t="s">
        <v>306</v>
      </c>
      <c r="D26" s="17" t="n">
        <f aca="false">D6+D15-D20</f>
        <v>2374.38</v>
      </c>
    </row>
    <row r="28" customFormat="false" ht="15" hidden="false" customHeight="true" outlineLevel="0" collapsed="false">
      <c r="A28" s="8" t="s">
        <v>307</v>
      </c>
      <c r="B28" s="9"/>
      <c r="C28" s="9"/>
      <c r="D28" s="9"/>
      <c r="E28" s="9"/>
    </row>
    <row r="29" customFormat="false" ht="15" hidden="false" customHeight="true" outlineLevel="0" collapsed="false">
      <c r="A29" s="1" t="s">
        <v>308</v>
      </c>
      <c r="C29" s="1" t="s">
        <v>309</v>
      </c>
      <c r="D29" s="14" t="n">
        <v>0.2</v>
      </c>
    </row>
    <row r="30" customFormat="false" ht="15" hidden="false" customHeight="true" outlineLevel="0" collapsed="false">
      <c r="A30" s="1" t="s">
        <v>310</v>
      </c>
      <c r="C30" s="1" t="s">
        <v>311</v>
      </c>
      <c r="D30" s="14" t="n">
        <f aca="false">0.005*(263357.67+1500+70000)</f>
        <v>1674.28835</v>
      </c>
    </row>
    <row r="31" customFormat="false" ht="15" hidden="false" customHeight="true" outlineLevel="0" collapsed="false">
      <c r="A31" s="11" t="s">
        <v>312</v>
      </c>
      <c r="C31" s="1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55"/>
    <col collapsed="false" customWidth="true" hidden="false" outlineLevel="0" max="3" min="3" style="1" width="60"/>
  </cols>
  <sheetData>
    <row r="1" customFormat="false" ht="15.75" hidden="false" customHeight="true" outlineLevel="0" collapsed="false">
      <c r="A1" s="2" t="s">
        <v>314</v>
      </c>
    </row>
    <row r="2" customFormat="false" ht="15" hidden="false" customHeight="true" outlineLevel="0" collapsed="false">
      <c r="A2" s="5" t="s">
        <v>315</v>
      </c>
    </row>
    <row r="3" customFormat="false" ht="15" hidden="false" customHeight="true" outlineLevel="0" collapsed="false">
      <c r="A3" s="3" t="s">
        <v>164</v>
      </c>
      <c r="B3" s="3" t="s">
        <v>165</v>
      </c>
      <c r="C3" s="3" t="s">
        <v>316</v>
      </c>
    </row>
    <row r="4" customFormat="false" ht="15" hidden="false" customHeight="true" outlineLevel="0" collapsed="false">
      <c r="A4" s="8" t="s">
        <v>317</v>
      </c>
      <c r="B4" s="9"/>
      <c r="C4" s="9"/>
    </row>
    <row r="5" customFormat="false" ht="15" hidden="false" customHeight="true" outlineLevel="0" collapsed="false">
      <c r="A5" s="4" t="s">
        <v>318</v>
      </c>
      <c r="B5" s="10" t="s">
        <v>319</v>
      </c>
      <c r="C5" s="4" t="s">
        <v>320</v>
      </c>
    </row>
    <row r="6" customFormat="false" ht="15" hidden="false" customHeight="true" outlineLevel="0" collapsed="false">
      <c r="A6" s="4" t="s">
        <v>321</v>
      </c>
      <c r="B6" s="6" t="s">
        <v>322</v>
      </c>
      <c r="C6" s="4" t="s">
        <v>323</v>
      </c>
    </row>
    <row r="7" customFormat="false" ht="15" hidden="false" customHeight="true" outlineLevel="0" collapsed="false">
      <c r="A7" s="4" t="s">
        <v>324</v>
      </c>
      <c r="B7" s="10" t="n">
        <v>-38000</v>
      </c>
      <c r="C7" s="4" t="s">
        <v>325</v>
      </c>
    </row>
    <row r="8" customFormat="false" ht="15" hidden="false" customHeight="true" outlineLevel="0" collapsed="false">
      <c r="A8" s="8" t="s">
        <v>326</v>
      </c>
      <c r="B8" s="9"/>
      <c r="C8" s="9"/>
    </row>
    <row r="9" customFormat="false" ht="15" hidden="false" customHeight="true" outlineLevel="0" collapsed="false">
      <c r="A9" s="4" t="s">
        <v>327</v>
      </c>
      <c r="B9" s="6" t="n">
        <v>0</v>
      </c>
      <c r="C9" s="4" t="s">
        <v>328</v>
      </c>
    </row>
    <row r="10" customFormat="false" ht="15" hidden="false" customHeight="true" outlineLevel="0" collapsed="false">
      <c r="A10" s="4" t="s">
        <v>329</v>
      </c>
      <c r="B10" s="6" t="n">
        <v>0</v>
      </c>
      <c r="C10" s="4" t="s">
        <v>330</v>
      </c>
    </row>
    <row r="11" customFormat="false" ht="15" hidden="false" customHeight="true" outlineLevel="0" collapsed="false">
      <c r="A11" s="4" t="s">
        <v>331</v>
      </c>
      <c r="B11" s="6" t="n">
        <v>38000</v>
      </c>
      <c r="C11" s="4" t="s">
        <v>332</v>
      </c>
    </row>
    <row r="13" customFormat="false" ht="15" hidden="false" customHeight="true" outlineLevel="0" collapsed="false">
      <c r="A13" s="12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3" min="3" style="1" width="60"/>
  </cols>
  <sheetData>
    <row r="1" customFormat="false" ht="15.75" hidden="false" customHeight="true" outlineLevel="0" collapsed="false">
      <c r="A1" s="2" t="s">
        <v>334</v>
      </c>
    </row>
    <row r="2" customFormat="false" ht="15" hidden="false" customHeight="true" outlineLevel="0" collapsed="false">
      <c r="A2" s="5" t="s">
        <v>335</v>
      </c>
    </row>
    <row r="4" customFormat="false" ht="15" hidden="false" customHeight="true" outlineLevel="0" collapsed="false">
      <c r="A4" s="8" t="s">
        <v>336</v>
      </c>
      <c r="C4" s="9"/>
    </row>
    <row r="5" customFormat="false" ht="15" hidden="false" customHeight="true" outlineLevel="0" collapsed="false">
      <c r="A5" s="4" t="s">
        <v>5</v>
      </c>
      <c r="B5" s="6" t="s">
        <v>337</v>
      </c>
      <c r="C5" s="4" t="s">
        <v>338</v>
      </c>
    </row>
    <row r="7" customFormat="false" ht="15" hidden="false" customHeight="true" outlineLevel="0" collapsed="false">
      <c r="A7" s="8" t="s">
        <v>339</v>
      </c>
      <c r="C7" s="9"/>
    </row>
    <row r="8" customFormat="false" ht="15" hidden="false" customHeight="true" outlineLevel="0" collapsed="false">
      <c r="A8" s="4" t="s">
        <v>5</v>
      </c>
      <c r="B8" s="6" t="s">
        <v>337</v>
      </c>
      <c r="C8" s="4" t="s">
        <v>340</v>
      </c>
    </row>
    <row r="10" customFormat="false" ht="15" hidden="false" customHeight="true" outlineLevel="0" collapsed="false">
      <c r="A10" s="8" t="s">
        <v>341</v>
      </c>
      <c r="C10" s="9"/>
    </row>
    <row r="11" customFormat="false" ht="15" hidden="false" customHeight="true" outlineLevel="0" collapsed="false">
      <c r="A11" s="4" t="s">
        <v>5</v>
      </c>
      <c r="B11" s="6" t="s">
        <v>337</v>
      </c>
      <c r="C11" s="4" t="s">
        <v>342</v>
      </c>
    </row>
    <row r="13" customFormat="false" ht="15" hidden="false" customHeight="true" outlineLevel="0" collapsed="false">
      <c r="A13" s="8" t="s">
        <v>343</v>
      </c>
      <c r="C13" s="9"/>
    </row>
    <row r="14" customFormat="false" ht="15" hidden="false" customHeight="true" outlineLevel="0" collapsed="false">
      <c r="A14" s="4" t="s">
        <v>5</v>
      </c>
      <c r="B14" s="6" t="s">
        <v>337</v>
      </c>
      <c r="C14" s="4" t="s">
        <v>344</v>
      </c>
    </row>
    <row r="16" customFormat="false" ht="15" hidden="false" customHeight="true" outlineLevel="0" collapsed="false">
      <c r="A16" s="8" t="s">
        <v>345</v>
      </c>
      <c r="C16" s="9"/>
    </row>
    <row r="17" customFormat="false" ht="15" hidden="false" customHeight="true" outlineLevel="0" collapsed="false">
      <c r="A17" s="4" t="s">
        <v>5</v>
      </c>
      <c r="B17" s="16" t="s">
        <v>283</v>
      </c>
      <c r="C17" s="4" t="s">
        <v>346</v>
      </c>
    </row>
    <row r="19" customFormat="false" ht="15" hidden="false" customHeight="true" outlineLevel="0" collapsed="false">
      <c r="A19" s="8" t="s">
        <v>347</v>
      </c>
      <c r="C19" s="9"/>
    </row>
    <row r="20" customFormat="false" ht="15" hidden="false" customHeight="true" outlineLevel="0" collapsed="false">
      <c r="A20" s="4" t="s">
        <v>5</v>
      </c>
      <c r="B20" s="16" t="s">
        <v>348</v>
      </c>
      <c r="C20" s="4" t="s">
        <v>349</v>
      </c>
    </row>
    <row r="22" customFormat="false" ht="15" hidden="false" customHeight="true" outlineLevel="0" collapsed="false">
      <c r="A22" s="8" t="s">
        <v>350</v>
      </c>
      <c r="C22" s="9"/>
    </row>
    <row r="23" customFormat="false" ht="15" hidden="false" customHeight="true" outlineLevel="0" collapsed="false">
      <c r="A23" s="4" t="s">
        <v>5</v>
      </c>
      <c r="B23" s="6" t="s">
        <v>337</v>
      </c>
      <c r="C23" s="4" t="s">
        <v>351</v>
      </c>
    </row>
    <row r="25" customFormat="false" ht="15" hidden="false" customHeight="true" outlineLevel="0" collapsed="false">
      <c r="A25" s="17" t="s">
        <v>352</v>
      </c>
    </row>
    <row r="26" customFormat="false" ht="54.75" hidden="false" customHeight="true" outlineLevel="0" collapsed="false">
      <c r="A26" s="3" t="s">
        <v>353</v>
      </c>
      <c r="B26" s="3" t="s">
        <v>354</v>
      </c>
      <c r="C26" s="3" t="s">
        <v>355</v>
      </c>
      <c r="D26" s="3" t="s">
        <v>356</v>
      </c>
      <c r="E26" s="3" t="s">
        <v>357</v>
      </c>
      <c r="F26" s="3" t="s">
        <v>358</v>
      </c>
    </row>
    <row r="27" customFormat="false" ht="15" hidden="false" customHeight="true" outlineLevel="0" collapsed="false">
      <c r="A27" s="10" t="s">
        <v>359</v>
      </c>
      <c r="B27" s="10" t="s">
        <v>360</v>
      </c>
      <c r="C27" s="10" t="s">
        <v>361</v>
      </c>
      <c r="D27" s="10" t="s">
        <v>362</v>
      </c>
      <c r="E27" s="10" t="s">
        <v>363</v>
      </c>
      <c r="F27" s="10" t="n">
        <v>52800</v>
      </c>
    </row>
    <row r="28" customFormat="false" ht="15" hidden="false" customHeight="true" outlineLevel="0" collapsed="false">
      <c r="A28" s="13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3" min="3" style="1" width="90"/>
  </cols>
  <sheetData>
    <row r="1" customFormat="false" ht="15.75" hidden="false" customHeight="true" outlineLevel="0" collapsed="false">
      <c r="A1" s="2" t="s">
        <v>365</v>
      </c>
    </row>
    <row r="2" customFormat="false" ht="15" hidden="false" customHeight="true" outlineLevel="0" collapsed="false">
      <c r="A2" s="5" t="s">
        <v>366</v>
      </c>
    </row>
    <row r="3" customFormat="false" ht="15" hidden="false" customHeight="true" outlineLevel="0" collapsed="false">
      <c r="A3" s="3" t="s">
        <v>367</v>
      </c>
      <c r="B3" s="3" t="s">
        <v>368</v>
      </c>
      <c r="C3" s="3" t="s">
        <v>369</v>
      </c>
    </row>
    <row r="4" customFormat="false" ht="27.75" hidden="false" customHeight="true" outlineLevel="0" collapsed="false">
      <c r="A4" s="18" t="s">
        <v>370</v>
      </c>
      <c r="B4" s="18" t="s">
        <v>371</v>
      </c>
      <c r="C4" s="19" t="s">
        <v>372</v>
      </c>
    </row>
    <row r="5" customFormat="false" ht="27.75" hidden="false" customHeight="true" outlineLevel="0" collapsed="false">
      <c r="A5" s="18" t="s">
        <v>370</v>
      </c>
      <c r="B5" s="18" t="s">
        <v>373</v>
      </c>
      <c r="C5" s="19" t="s">
        <v>374</v>
      </c>
    </row>
    <row r="6" customFormat="false" ht="15" hidden="false" customHeight="true" outlineLevel="0" collapsed="false">
      <c r="A6" s="18" t="s">
        <v>370</v>
      </c>
      <c r="B6" s="18" t="s">
        <v>375</v>
      </c>
      <c r="C6" s="19" t="s">
        <v>376</v>
      </c>
    </row>
    <row r="7" customFormat="false" ht="15" hidden="false" customHeight="true" outlineLevel="0" collapsed="false">
      <c r="A7" s="18" t="s">
        <v>370</v>
      </c>
      <c r="B7" s="18" t="s">
        <v>377</v>
      </c>
      <c r="C7" s="19" t="s">
        <v>378</v>
      </c>
    </row>
    <row r="8" customFormat="false" ht="27.75" hidden="false" customHeight="true" outlineLevel="0" collapsed="false">
      <c r="A8" s="18" t="s">
        <v>370</v>
      </c>
      <c r="B8" s="18" t="s">
        <v>379</v>
      </c>
      <c r="C8" s="19" t="s">
        <v>380</v>
      </c>
    </row>
    <row r="9" customFormat="false" ht="27.75" hidden="false" customHeight="true" outlineLevel="0" collapsed="false">
      <c r="A9" s="18" t="s">
        <v>381</v>
      </c>
      <c r="B9" s="18" t="s">
        <v>382</v>
      </c>
      <c r="C9" s="19" t="s">
        <v>383</v>
      </c>
    </row>
    <row r="10" customFormat="false" ht="15" hidden="false" customHeight="true" outlineLevel="0" collapsed="false">
      <c r="A10" s="18" t="s">
        <v>381</v>
      </c>
      <c r="B10" s="18" t="s">
        <v>384</v>
      </c>
      <c r="C10" s="19" t="s">
        <v>385</v>
      </c>
    </row>
    <row r="11" customFormat="false" ht="27.75" hidden="false" customHeight="true" outlineLevel="0" collapsed="false">
      <c r="A11" s="18" t="s">
        <v>386</v>
      </c>
      <c r="B11" s="18" t="s">
        <v>387</v>
      </c>
      <c r="C11" s="19" t="s">
        <v>388</v>
      </c>
    </row>
    <row r="12" customFormat="false" ht="15" hidden="false" customHeight="true" outlineLevel="0" collapsed="false">
      <c r="A12" s="18" t="s">
        <v>386</v>
      </c>
      <c r="B12" s="18" t="s">
        <v>389</v>
      </c>
      <c r="C12" s="19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2027-01-15T09:30:00Z</dcterms:created>
  <dc:creator>M. EL FASSI Abdelilah</dc:creator>
  <dc:description>Documents sources - Exercice 2026</dc:description>
  <dc:language>fr-FR</dc:language>
  <cp:lastModifiedBy>M. EL FASSI Abdelilah</cp:lastModifiedBy>
  <dcterms:modified xsi:type="dcterms:W3CDTF">2026-07-27T21:15:33Z</dcterms:modified>
  <cp:revision>4</cp:revision>
  <dc:subject>Liasse fiscale IS 2026</dc:subject>
  <dc:title>Documents Sources D3 Soft SARL AU 2026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